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BaiduSyncdisk\lngsea\stx\longsea\"/>
    </mc:Choice>
  </mc:AlternateContent>
  <xr:revisionPtr revIDLastSave="0" documentId="13_ncr:1_{A3BD980C-6BB1-4B98-97C5-2A9A32F45CC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八年级2025" sheetId="13" r:id="rId1"/>
    <sheet name="七年级2025" sheetId="11" r:id="rId2"/>
    <sheet name="九年级2025" sheetId="10" r:id="rId3"/>
    <sheet name="九年级" sheetId="6" r:id="rId4"/>
    <sheet name="八年级" sheetId="5" r:id="rId5"/>
    <sheet name="八年级新" sheetId="12" r:id="rId6"/>
    <sheet name="七年级" sheetId="8" r:id="rId7"/>
    <sheet name="空白" sheetId="9" r:id="rId8"/>
  </sheets>
  <definedNames>
    <definedName name="_xlnm.Print_Area" localSheetId="4">八年级!$A$1:$X$140</definedName>
    <definedName name="_xlnm.Print_Area" localSheetId="0">八年级2025!$A$1:$W$157</definedName>
    <definedName name="_xlnm.Print_Area" localSheetId="5">八年级新!$A$1:$X$140</definedName>
    <definedName name="_xlnm.Print_Area" localSheetId="3">九年级!$A$1:$X$142</definedName>
    <definedName name="_xlnm.Print_Area" localSheetId="2">九年级2025!$A$1:$P$140</definedName>
    <definedName name="_xlnm.Print_Area" localSheetId="6">七年级!$A$1:$X$141</definedName>
    <definedName name="_xlnm.Print_Area" localSheetId="1">七年级2025!$A$1:$W$157</definedName>
    <definedName name="_xlnm.Print_Titles" localSheetId="4">八年级!$1:$1</definedName>
    <definedName name="_xlnm.Print_Titles" localSheetId="0">八年级2025!$1:$1</definedName>
    <definedName name="_xlnm.Print_Titles" localSheetId="5">八年级新!$1:$1</definedName>
    <definedName name="_xlnm.Print_Titles" localSheetId="3">九年级!$1:$1</definedName>
    <definedName name="_xlnm.Print_Titles" localSheetId="2">九年级2025!$1:$1</definedName>
    <definedName name="_xlnm.Print_Titles" localSheetId="6">七年级!$1:$1</definedName>
    <definedName name="_xlnm.Print_Titles" localSheetId="1">七年级2025!$1:$1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8" i="11" l="1"/>
  <c r="W107" i="11"/>
  <c r="W106" i="11"/>
  <c r="W105" i="11"/>
  <c r="W104" i="11"/>
  <c r="W103" i="11"/>
  <c r="W102" i="11"/>
  <c r="W101" i="11"/>
  <c r="W92" i="11"/>
  <c r="W91" i="11"/>
  <c r="W90" i="11"/>
  <c r="W89" i="11"/>
  <c r="W88" i="11"/>
  <c r="W87" i="11"/>
  <c r="W86" i="11"/>
  <c r="W85" i="11"/>
  <c r="W76" i="11"/>
  <c r="W75" i="11"/>
  <c r="W74" i="11"/>
  <c r="W73" i="11"/>
  <c r="W72" i="11"/>
  <c r="W71" i="11"/>
  <c r="W70" i="11"/>
  <c r="W69" i="11"/>
  <c r="W60" i="11"/>
  <c r="W59" i="11"/>
  <c r="W58" i="11"/>
  <c r="W57" i="11"/>
  <c r="W56" i="11"/>
  <c r="W55" i="11"/>
  <c r="W54" i="11"/>
  <c r="W53" i="11"/>
  <c r="W44" i="11"/>
  <c r="W43" i="11"/>
  <c r="W42" i="11"/>
  <c r="W41" i="11"/>
  <c r="W40" i="11"/>
  <c r="W39" i="11"/>
  <c r="W38" i="11"/>
  <c r="W37" i="11"/>
  <c r="W28" i="11"/>
  <c r="W27" i="11"/>
  <c r="W26" i="11"/>
  <c r="W25" i="11"/>
  <c r="W24" i="11"/>
  <c r="W23" i="11"/>
  <c r="W22" i="11"/>
  <c r="W21" i="11"/>
  <c r="W12" i="11"/>
  <c r="W11" i="11"/>
  <c r="W10" i="11"/>
  <c r="W9" i="11"/>
  <c r="W8" i="11"/>
  <c r="W7" i="11"/>
  <c r="W6" i="11"/>
  <c r="W5" i="11"/>
  <c r="W124" i="13"/>
  <c r="W123" i="13"/>
  <c r="W122" i="13"/>
  <c r="W121" i="13"/>
  <c r="W120" i="13"/>
  <c r="W119" i="13"/>
  <c r="W118" i="13"/>
  <c r="W117" i="13"/>
  <c r="W108" i="13"/>
  <c r="W107" i="13"/>
  <c r="W106" i="13"/>
  <c r="W105" i="13"/>
  <c r="W104" i="13"/>
  <c r="W103" i="13"/>
  <c r="W102" i="13"/>
  <c r="W101" i="13"/>
  <c r="W92" i="13"/>
  <c r="W91" i="13"/>
  <c r="W90" i="13"/>
  <c r="W89" i="13"/>
  <c r="W88" i="13"/>
  <c r="W87" i="13"/>
  <c r="W86" i="13"/>
  <c r="W85" i="13"/>
  <c r="W76" i="13"/>
  <c r="W75" i="13"/>
  <c r="W74" i="13"/>
  <c r="W73" i="13"/>
  <c r="W72" i="13"/>
  <c r="W71" i="13"/>
  <c r="W70" i="13"/>
  <c r="W69" i="13"/>
  <c r="W60" i="13"/>
  <c r="W59" i="13"/>
  <c r="W58" i="13"/>
  <c r="W57" i="13"/>
  <c r="W56" i="13"/>
  <c r="W55" i="13"/>
  <c r="W54" i="13"/>
  <c r="W53" i="13"/>
  <c r="W44" i="13"/>
  <c r="W43" i="13"/>
  <c r="W42" i="13"/>
  <c r="W41" i="13"/>
  <c r="W40" i="13"/>
  <c r="W39" i="13"/>
  <c r="W38" i="13"/>
  <c r="W37" i="13"/>
  <c r="W28" i="13"/>
  <c r="W27" i="13"/>
  <c r="W26" i="13"/>
  <c r="W25" i="13"/>
  <c r="W24" i="13"/>
  <c r="W23" i="13"/>
  <c r="W22" i="13"/>
  <c r="W21" i="13"/>
  <c r="W12" i="13"/>
  <c r="W11" i="13"/>
  <c r="W10" i="13"/>
  <c r="W9" i="13"/>
  <c r="W8" i="13"/>
  <c r="W7" i="13"/>
  <c r="W6" i="13"/>
  <c r="W5" i="13"/>
  <c r="U61" i="13"/>
  <c r="S61" i="13"/>
  <c r="R61" i="13"/>
  <c r="P61" i="13"/>
  <c r="O61" i="13"/>
  <c r="U125" i="13"/>
  <c r="S125" i="13"/>
  <c r="R125" i="13"/>
  <c r="P125" i="13"/>
  <c r="O125" i="13"/>
  <c r="U109" i="13"/>
  <c r="S109" i="13"/>
  <c r="R109" i="13"/>
  <c r="P109" i="13"/>
  <c r="O109" i="13"/>
  <c r="U93" i="13"/>
  <c r="S93" i="13"/>
  <c r="R93" i="13"/>
  <c r="P93" i="13"/>
  <c r="O93" i="13"/>
  <c r="U77" i="13"/>
  <c r="S77" i="13"/>
  <c r="R77" i="13"/>
  <c r="P77" i="13"/>
  <c r="O77" i="13"/>
  <c r="U45" i="13"/>
  <c r="S45" i="13"/>
  <c r="R45" i="13"/>
  <c r="P45" i="13"/>
  <c r="O45" i="13"/>
  <c r="U29" i="13"/>
  <c r="S29" i="13"/>
  <c r="R29" i="13"/>
  <c r="P29" i="13"/>
  <c r="O29" i="13"/>
  <c r="U13" i="13"/>
  <c r="S13" i="13"/>
  <c r="R13" i="13"/>
  <c r="P13" i="13"/>
  <c r="O13" i="13"/>
  <c r="U13" i="12"/>
  <c r="S13" i="12"/>
  <c r="R13" i="12"/>
  <c r="P13" i="12"/>
  <c r="O13" i="12"/>
  <c r="W12" i="12"/>
  <c r="W11" i="12"/>
  <c r="W10" i="12"/>
  <c r="W9" i="12"/>
  <c r="W8" i="12"/>
  <c r="W7" i="12"/>
  <c r="W6" i="12"/>
  <c r="W5" i="12"/>
  <c r="U109" i="11"/>
  <c r="S109" i="11"/>
  <c r="R109" i="11"/>
  <c r="P109" i="11"/>
  <c r="O109" i="11"/>
  <c r="U93" i="11"/>
  <c r="S93" i="11"/>
  <c r="R93" i="11"/>
  <c r="P93" i="11"/>
  <c r="O93" i="11"/>
  <c r="U77" i="11"/>
  <c r="S77" i="11"/>
  <c r="R77" i="11"/>
  <c r="P77" i="11"/>
  <c r="O77" i="11"/>
  <c r="U61" i="11"/>
  <c r="S61" i="11"/>
  <c r="R61" i="11"/>
  <c r="P61" i="11"/>
  <c r="O61" i="11"/>
  <c r="U45" i="11"/>
  <c r="S45" i="11"/>
  <c r="R45" i="11"/>
  <c r="P45" i="11"/>
  <c r="O45" i="11"/>
  <c r="U29" i="11"/>
  <c r="S29" i="11"/>
  <c r="R29" i="11"/>
  <c r="P29" i="11"/>
  <c r="O29" i="11"/>
  <c r="X125" i="12"/>
  <c r="W125" i="12"/>
  <c r="V125" i="12"/>
  <c r="U125" i="12"/>
  <c r="T125" i="12"/>
  <c r="X109" i="12"/>
  <c r="W109" i="12"/>
  <c r="V109" i="12"/>
  <c r="U109" i="12"/>
  <c r="T109" i="12"/>
  <c r="X93" i="12"/>
  <c r="W93" i="12"/>
  <c r="V93" i="12"/>
  <c r="U93" i="12"/>
  <c r="T93" i="12"/>
  <c r="X77" i="12"/>
  <c r="W77" i="12"/>
  <c r="V77" i="12"/>
  <c r="U77" i="12"/>
  <c r="T77" i="12"/>
  <c r="X61" i="12"/>
  <c r="W61" i="12"/>
  <c r="V61" i="12"/>
  <c r="U61" i="12"/>
  <c r="T61" i="12"/>
  <c r="X45" i="12"/>
  <c r="W45" i="12"/>
  <c r="V45" i="12"/>
  <c r="U45" i="12"/>
  <c r="T45" i="12"/>
  <c r="X29" i="12"/>
  <c r="W29" i="12"/>
  <c r="V29" i="12"/>
  <c r="U29" i="12"/>
  <c r="T29" i="12"/>
  <c r="U13" i="11"/>
  <c r="S13" i="11"/>
  <c r="R13" i="11"/>
  <c r="P13" i="11"/>
  <c r="O13" i="11"/>
  <c r="P109" i="10"/>
  <c r="O109" i="10"/>
  <c r="N109" i="10"/>
  <c r="M109" i="10"/>
  <c r="L109" i="10"/>
  <c r="P93" i="10"/>
  <c r="O93" i="10"/>
  <c r="N93" i="10"/>
  <c r="M93" i="10"/>
  <c r="L93" i="10"/>
  <c r="P77" i="10"/>
  <c r="O77" i="10"/>
  <c r="N77" i="10"/>
  <c r="M77" i="10"/>
  <c r="L77" i="10"/>
  <c r="M61" i="10"/>
  <c r="P61" i="10"/>
  <c r="O61" i="10"/>
  <c r="N61" i="10"/>
  <c r="L61" i="10"/>
  <c r="P45" i="10"/>
  <c r="O45" i="10"/>
  <c r="N45" i="10"/>
  <c r="M45" i="10"/>
  <c r="L45" i="10"/>
  <c r="P29" i="10"/>
  <c r="O29" i="10"/>
  <c r="N29" i="10"/>
  <c r="M29" i="10"/>
  <c r="L29" i="10"/>
  <c r="P13" i="10"/>
  <c r="O13" i="10"/>
  <c r="N13" i="10"/>
  <c r="M13" i="10"/>
  <c r="L13" i="10"/>
  <c r="X111" i="6"/>
  <c r="W111" i="6"/>
  <c r="V111" i="6"/>
  <c r="U111" i="6"/>
  <c r="T111" i="6"/>
  <c r="X95" i="6"/>
  <c r="W95" i="6"/>
  <c r="V95" i="6"/>
  <c r="U95" i="6"/>
  <c r="T95" i="6"/>
  <c r="X79" i="6"/>
  <c r="W79" i="6"/>
  <c r="V79" i="6"/>
  <c r="U79" i="6"/>
  <c r="T79" i="6"/>
  <c r="X63" i="6"/>
  <c r="W63" i="6"/>
  <c r="V63" i="6"/>
  <c r="U63" i="6"/>
  <c r="T63" i="6"/>
  <c r="X47" i="6"/>
  <c r="W47" i="6"/>
  <c r="V47" i="6"/>
  <c r="U47" i="6"/>
  <c r="T47" i="6"/>
  <c r="X31" i="6"/>
  <c r="W31" i="6"/>
  <c r="V31" i="6"/>
  <c r="U31" i="6"/>
  <c r="T31" i="6"/>
  <c r="W13" i="8"/>
  <c r="T13" i="8"/>
  <c r="X109" i="8"/>
  <c r="W109" i="8"/>
  <c r="V109" i="8"/>
  <c r="U109" i="8"/>
  <c r="T109" i="8"/>
  <c r="X93" i="8"/>
  <c r="W93" i="8"/>
  <c r="V93" i="8"/>
  <c r="U93" i="8"/>
  <c r="T93" i="8"/>
  <c r="X77" i="8"/>
  <c r="W77" i="8"/>
  <c r="V77" i="8"/>
  <c r="U77" i="8"/>
  <c r="T77" i="8"/>
  <c r="X61" i="8"/>
  <c r="W61" i="8"/>
  <c r="V61" i="8"/>
  <c r="U61" i="8"/>
  <c r="T61" i="8"/>
  <c r="X45" i="8"/>
  <c r="W45" i="8"/>
  <c r="V45" i="8"/>
  <c r="U45" i="8"/>
  <c r="T45" i="8"/>
  <c r="E45" i="8"/>
  <c r="X29" i="8"/>
  <c r="W29" i="8"/>
  <c r="V29" i="8"/>
  <c r="U29" i="8"/>
  <c r="T29" i="8"/>
  <c r="X13" i="8"/>
  <c r="V13" i="8"/>
  <c r="U13" i="8"/>
  <c r="V15" i="6"/>
  <c r="T15" i="6"/>
  <c r="X15" i="6"/>
  <c r="W15" i="6"/>
  <c r="U15" i="6"/>
  <c r="X125" i="5"/>
  <c r="W125" i="5"/>
  <c r="V125" i="5"/>
  <c r="U125" i="5"/>
  <c r="T125" i="5"/>
  <c r="X109" i="5"/>
  <c r="W109" i="5"/>
  <c r="V109" i="5"/>
  <c r="U109" i="5"/>
  <c r="T109" i="5"/>
  <c r="X93" i="5"/>
  <c r="W93" i="5"/>
  <c r="V93" i="5"/>
  <c r="U93" i="5"/>
  <c r="T93" i="5"/>
  <c r="X77" i="5"/>
  <c r="W77" i="5"/>
  <c r="V77" i="5"/>
  <c r="U77" i="5"/>
  <c r="T77" i="5"/>
  <c r="X61" i="5"/>
  <c r="W61" i="5"/>
  <c r="V61" i="5"/>
  <c r="U61" i="5"/>
  <c r="T61" i="5"/>
  <c r="X45" i="5"/>
  <c r="W45" i="5"/>
  <c r="V45" i="5"/>
  <c r="U45" i="5"/>
  <c r="T45" i="5"/>
  <c r="X29" i="5"/>
  <c r="W29" i="5"/>
  <c r="V29" i="5"/>
  <c r="U29" i="5"/>
  <c r="T29" i="5"/>
  <c r="X13" i="5"/>
  <c r="W13" i="5"/>
  <c r="V13" i="5"/>
  <c r="U13" i="5"/>
  <c r="T13" i="5"/>
</calcChain>
</file>

<file path=xl/sharedStrings.xml><?xml version="1.0" encoding="utf-8"?>
<sst xmlns="http://schemas.openxmlformats.org/spreadsheetml/2006/main" count="1961" uniqueCount="170">
  <si>
    <t>语文</t>
  </si>
  <si>
    <t>班级</t>
  </si>
  <si>
    <t>参考人数</t>
  </si>
  <si>
    <t>积分</t>
  </si>
  <si>
    <t>名次</t>
  </si>
  <si>
    <t>学生成绩分布</t>
  </si>
  <si>
    <t>两率一平（参考）</t>
  </si>
  <si>
    <t>36-47</t>
  </si>
  <si>
    <t>48-59</t>
  </si>
  <si>
    <t>60-71</t>
  </si>
  <si>
    <t>72-77</t>
  </si>
  <si>
    <t>78-83</t>
  </si>
  <si>
    <t>84-89</t>
  </si>
  <si>
    <t>90-95</t>
  </si>
  <si>
    <t>96-101</t>
  </si>
  <si>
    <t>102-107</t>
  </si>
  <si>
    <t>108-113</t>
  </si>
  <si>
    <t>114-119</t>
  </si>
  <si>
    <t>及格人数</t>
  </si>
  <si>
    <t>及格率</t>
  </si>
  <si>
    <t>优秀人数</t>
  </si>
  <si>
    <t>优秀率</t>
  </si>
  <si>
    <t>平均分</t>
  </si>
  <si>
    <t>数学</t>
  </si>
  <si>
    <t>得分</t>
  </si>
  <si>
    <t>英语</t>
  </si>
  <si>
    <t>21-27</t>
  </si>
  <si>
    <t>28-34</t>
  </si>
  <si>
    <t>35-41</t>
  </si>
  <si>
    <t>42-44</t>
  </si>
  <si>
    <t>45-48</t>
  </si>
  <si>
    <t>49-51</t>
  </si>
  <si>
    <t>52-55</t>
  </si>
  <si>
    <t>56-59</t>
  </si>
  <si>
    <t>60-62</t>
  </si>
  <si>
    <t>63-65</t>
  </si>
  <si>
    <t>66-69</t>
  </si>
  <si>
    <t>化学</t>
    <phoneticPr fontId="4" type="noConversion"/>
  </si>
  <si>
    <t>15-19</t>
  </si>
  <si>
    <t>20-24</t>
  </si>
  <si>
    <t>25-29</t>
  </si>
  <si>
    <t>30-31</t>
  </si>
  <si>
    <t>32-34</t>
  </si>
  <si>
    <t>35-36</t>
  </si>
  <si>
    <t>37-39</t>
  </si>
  <si>
    <t>40-41</t>
  </si>
  <si>
    <t>45-47</t>
  </si>
  <si>
    <t>48-49</t>
  </si>
  <si>
    <t>政治</t>
    <phoneticPr fontId="4" type="noConversion"/>
  </si>
  <si>
    <t>历史</t>
    <phoneticPr fontId="4" type="noConversion"/>
  </si>
  <si>
    <t>班级成绩</t>
  </si>
  <si>
    <t xml:space="preserve">参评人数 </t>
    <phoneticPr fontId="4" type="noConversion"/>
  </si>
  <si>
    <t>总分分布</t>
  </si>
  <si>
    <t>分数段累计</t>
    <phoneticPr fontId="4" type="noConversion"/>
  </si>
  <si>
    <t>前10</t>
  </si>
  <si>
    <t>前50</t>
  </si>
  <si>
    <t>前100</t>
  </si>
  <si>
    <t>前150</t>
  </si>
  <si>
    <t>前200</t>
  </si>
  <si>
    <t>前250</t>
  </si>
  <si>
    <t>前300</t>
  </si>
  <si>
    <t>前350</t>
  </si>
  <si>
    <t>前400</t>
  </si>
  <si>
    <t>400后</t>
  </si>
  <si>
    <t>八1</t>
    <phoneticPr fontId="4" type="noConversion"/>
  </si>
  <si>
    <t>八2</t>
    <phoneticPr fontId="4" type="noConversion"/>
  </si>
  <si>
    <t>八3</t>
  </si>
  <si>
    <t>八4</t>
  </si>
  <si>
    <t>八5</t>
  </si>
  <si>
    <t>八6</t>
  </si>
  <si>
    <t>八7</t>
  </si>
  <si>
    <t>八8</t>
  </si>
  <si>
    <t>物理</t>
    <phoneticPr fontId="4" type="noConversion"/>
  </si>
  <si>
    <t>地理</t>
    <phoneticPr fontId="4" type="noConversion"/>
  </si>
  <si>
    <t>生物</t>
    <phoneticPr fontId="4" type="noConversion"/>
  </si>
  <si>
    <t>八1</t>
  </si>
  <si>
    <t>八2</t>
  </si>
  <si>
    <t>教师</t>
    <phoneticPr fontId="1" type="noConversion"/>
  </si>
  <si>
    <t>九1</t>
    <phoneticPr fontId="4" type="noConversion"/>
  </si>
  <si>
    <t>九2</t>
    <phoneticPr fontId="4" type="noConversion"/>
  </si>
  <si>
    <t>九3</t>
  </si>
  <si>
    <t>九4</t>
  </si>
  <si>
    <t>九5</t>
  </si>
  <si>
    <t>九6</t>
  </si>
  <si>
    <t>九7</t>
  </si>
  <si>
    <t>九8</t>
  </si>
  <si>
    <t>九9</t>
  </si>
  <si>
    <t>九10</t>
  </si>
  <si>
    <t>七1</t>
    <phoneticPr fontId="4" type="noConversion"/>
  </si>
  <si>
    <t>七2</t>
    <phoneticPr fontId="4" type="noConversion"/>
  </si>
  <si>
    <t>七3</t>
    <phoneticPr fontId="1" type="noConversion"/>
  </si>
  <si>
    <t>七4</t>
  </si>
  <si>
    <t>七5</t>
  </si>
  <si>
    <t>七6</t>
  </si>
  <si>
    <t>七7</t>
  </si>
  <si>
    <t>七8</t>
  </si>
  <si>
    <t>七9</t>
  </si>
  <si>
    <t>生物</t>
    <phoneticPr fontId="1" type="noConversion"/>
  </si>
  <si>
    <t>前200名</t>
  </si>
  <si>
    <t>2023－2024学年九年级考试成绩统计表</t>
    <phoneticPr fontId="4" type="noConversion"/>
  </si>
  <si>
    <t>2023－2024学年七年级考试成绩统计表</t>
    <phoneticPr fontId="4" type="noConversion"/>
  </si>
  <si>
    <t>序号</t>
    <phoneticPr fontId="1" type="noConversion"/>
  </si>
  <si>
    <t>2024－2025学年八年级考试成绩统计表</t>
    <phoneticPr fontId="4" type="noConversion"/>
  </si>
  <si>
    <t>前260名</t>
    <phoneticPr fontId="1" type="noConversion"/>
  </si>
  <si>
    <t>前260</t>
    <phoneticPr fontId="1" type="noConversion"/>
  </si>
  <si>
    <t>考试人数</t>
  </si>
  <si>
    <t>考试人数</t>
    <phoneticPr fontId="1" type="noConversion"/>
  </si>
  <si>
    <t>参评人数</t>
    <phoneticPr fontId="1" type="noConversion"/>
  </si>
  <si>
    <t>九1</t>
  </si>
  <si>
    <t>九2</t>
  </si>
  <si>
    <t>排序</t>
  </si>
  <si>
    <t>排序</t>
    <phoneticPr fontId="1" type="noConversion"/>
  </si>
  <si>
    <t>备注</t>
    <phoneticPr fontId="1" type="noConversion"/>
  </si>
  <si>
    <t>300→
240-1</t>
  </si>
  <si>
    <t>300→
240-1</t>
    <phoneticPr fontId="1" type="noConversion"/>
  </si>
  <si>
    <t>240→</t>
  </si>
  <si>
    <t>240→</t>
    <phoneticPr fontId="1" type="noConversion"/>
  </si>
  <si>
    <t>→180
240-10</t>
  </si>
  <si>
    <t>→180
240-10</t>
    <phoneticPr fontId="1" type="noConversion"/>
  </si>
  <si>
    <t>→240
240-9</t>
  </si>
  <si>
    <t>→240
240-9</t>
    <phoneticPr fontId="1" type="noConversion"/>
  </si>
  <si>
    <t>→300
240-2</t>
  </si>
  <si>
    <t>→300
240-2</t>
    <phoneticPr fontId="1" type="noConversion"/>
  </si>
  <si>
    <t>48→
1</t>
  </si>
  <si>
    <t>48→
1</t>
    <phoneticPr fontId="1" type="noConversion"/>
  </si>
  <si>
    <t>60→
2</t>
  </si>
  <si>
    <t>60→
2</t>
    <phoneticPr fontId="1" type="noConversion"/>
  </si>
  <si>
    <t>72→
6</t>
  </si>
  <si>
    <t>72→
6</t>
    <phoneticPr fontId="1" type="noConversion"/>
  </si>
  <si>
    <t>84→
7</t>
  </si>
  <si>
    <t>84→
7</t>
    <phoneticPr fontId="1" type="noConversion"/>
  </si>
  <si>
    <t>96→
7</t>
  </si>
  <si>
    <t>96→
7</t>
    <phoneticPr fontId="1" type="noConversion"/>
  </si>
  <si>
    <t>108→
7</t>
  </si>
  <si>
    <t>108→
7</t>
    <phoneticPr fontId="1" type="noConversion"/>
  </si>
  <si>
    <t>120
7</t>
  </si>
  <si>
    <t>120
7</t>
    <phoneticPr fontId="1" type="noConversion"/>
  </si>
  <si>
    <t>备注</t>
  </si>
  <si>
    <t>积分</t>
    <phoneticPr fontId="1" type="noConversion"/>
  </si>
  <si>
    <t>物理</t>
    <phoneticPr fontId="1" type="noConversion"/>
  </si>
  <si>
    <t>28→
1</t>
  </si>
  <si>
    <t>28→
1</t>
    <phoneticPr fontId="1" type="noConversion"/>
  </si>
  <si>
    <t>35→
2</t>
  </si>
  <si>
    <t>35→
2</t>
    <phoneticPr fontId="1" type="noConversion"/>
  </si>
  <si>
    <t>42→
6</t>
  </si>
  <si>
    <t>42→
6</t>
    <phoneticPr fontId="1" type="noConversion"/>
  </si>
  <si>
    <t>49→
7</t>
  </si>
  <si>
    <t>49→
7</t>
    <phoneticPr fontId="1" type="noConversion"/>
  </si>
  <si>
    <t>56→
7</t>
  </si>
  <si>
    <t>56→
7</t>
    <phoneticPr fontId="1" type="noConversion"/>
  </si>
  <si>
    <t>63→
7</t>
  </si>
  <si>
    <t>63→
7</t>
    <phoneticPr fontId="1" type="noConversion"/>
  </si>
  <si>
    <t>70→
7</t>
  </si>
  <si>
    <t>70→
7</t>
    <phoneticPr fontId="1" type="noConversion"/>
  </si>
  <si>
    <t>20→
1</t>
  </si>
  <si>
    <t>20→
1</t>
    <phoneticPr fontId="1" type="noConversion"/>
  </si>
  <si>
    <t>25→
2</t>
  </si>
  <si>
    <t>25→
2</t>
    <phoneticPr fontId="1" type="noConversion"/>
  </si>
  <si>
    <t>30→
6</t>
  </si>
  <si>
    <t>30→
6</t>
    <phoneticPr fontId="1" type="noConversion"/>
  </si>
  <si>
    <t>35→
7</t>
  </si>
  <si>
    <t>35→
7</t>
    <phoneticPr fontId="1" type="noConversion"/>
  </si>
  <si>
    <t>40→
7</t>
  </si>
  <si>
    <t>40→
7</t>
    <phoneticPr fontId="1" type="noConversion"/>
  </si>
  <si>
    <t>45→
7</t>
  </si>
  <si>
    <t>45→
7</t>
    <phoneticPr fontId="1" type="noConversion"/>
  </si>
  <si>
    <t>50→
7</t>
  </si>
  <si>
    <t>50→
7</t>
    <phoneticPr fontId="1" type="noConversion"/>
  </si>
  <si>
    <t>八3</t>
    <phoneticPr fontId="1" type="noConversion"/>
  </si>
  <si>
    <t>八8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</si>
</sst>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);[Red]\(0.00\)"/>
    <numFmt numFmtId="177" formatCode="0.0%"/>
    <numFmt numFmtId="178" formatCode="0.00_ "/>
    <numFmt numFmtId="179" formatCode="0.0_ "/>
    <numFmt numFmtId="180" formatCode="0.0_);[Red]\(0.0\)"/>
  </numFmts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6"/>
      <name val="华文中宋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1"/>
      <name val="宋体"/>
      <family val="3"/>
      <charset val="134"/>
    </font>
    <font>
      <sz val="10"/>
      <name val="仿宋"/>
      <family val="3"/>
      <charset val="134"/>
    </font>
    <font>
      <sz val="11"/>
      <name val="宋体"/>
      <family val="3"/>
      <charset val="134"/>
    </font>
    <font>
      <sz val="10"/>
      <name val="黑体"/>
      <family val="3"/>
      <charset val="134"/>
    </font>
    <font>
      <sz val="9"/>
      <name val="仿宋"/>
      <family val="3"/>
      <charset val="134"/>
    </font>
    <font>
      <sz val="10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2"/>
      <name val="仿宋"/>
      <family val="3"/>
      <charset val="134"/>
    </font>
    <font>
      <sz val="9"/>
      <name val="黑体"/>
      <family val="3"/>
      <charset val="134"/>
    </font>
    <font>
      <sz val="12"/>
      <name val="华文中宋"/>
      <family val="3"/>
      <charset val="134"/>
    </font>
    <font>
      <sz val="9"/>
      <name val="微软雅黑"/>
      <family val="2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11" fillId="0" borderId="0"/>
    <xf numFmtId="0" fontId="1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</cellStyleXfs>
  <cellXfs count="357">
    <xf numFmtId="0" fontId="0" fillId="0" borderId="0" xfId="0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10" fontId="7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58" fontId="9" fillId="0" borderId="12" xfId="1" applyNumberFormat="1" applyFont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  <xf numFmtId="58" fontId="9" fillId="0" borderId="29" xfId="1" applyNumberFormat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5" fillId="0" borderId="0" xfId="1" applyFont="1" applyAlignment="1" applyProtection="1">
      <alignment horizontal="center" vertical="center"/>
      <protection locked="0"/>
    </xf>
    <xf numFmtId="14" fontId="8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176" fontId="8" fillId="0" borderId="0" xfId="1" applyNumberFormat="1" applyFont="1" applyAlignment="1">
      <alignment vertical="center"/>
    </xf>
    <xf numFmtId="0" fontId="8" fillId="0" borderId="0" xfId="1" applyFont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 wrapText="1"/>
      <protection locked="0"/>
    </xf>
    <xf numFmtId="176" fontId="9" fillId="0" borderId="13" xfId="1" applyNumberFormat="1" applyFont="1" applyBorder="1" applyAlignment="1">
      <alignment horizontal="center" vertical="center" wrapText="1"/>
    </xf>
    <xf numFmtId="0" fontId="10" fillId="2" borderId="2" xfId="2" applyFont="1" applyFill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>
      <alignment horizontal="center" vertical="center"/>
    </xf>
    <xf numFmtId="0" fontId="10" fillId="2" borderId="1" xfId="1" applyFont="1" applyFill="1" applyBorder="1" applyAlignment="1" applyProtection="1">
      <alignment horizontal="center" vertical="center"/>
      <protection locked="0"/>
    </xf>
    <xf numFmtId="0" fontId="11" fillId="2" borderId="5" xfId="3" applyFill="1" applyBorder="1" applyAlignment="1" applyProtection="1">
      <alignment horizontal="center" vertical="center"/>
      <protection locked="0"/>
    </xf>
    <xf numFmtId="0" fontId="11" fillId="2" borderId="6" xfId="3" applyFill="1" applyBorder="1" applyAlignment="1" applyProtection="1">
      <alignment horizontal="center" vertical="center"/>
      <protection locked="0"/>
    </xf>
    <xf numFmtId="0" fontId="11" fillId="2" borderId="7" xfId="3" applyFill="1" applyBorder="1" applyAlignment="1" applyProtection="1">
      <alignment horizontal="center" vertical="center"/>
      <protection locked="0"/>
    </xf>
    <xf numFmtId="0" fontId="10" fillId="0" borderId="5" xfId="1" applyFont="1" applyBorder="1" applyAlignment="1">
      <alignment horizontal="center" vertical="center" shrinkToFit="1"/>
    </xf>
    <xf numFmtId="177" fontId="10" fillId="0" borderId="6" xfId="1" applyNumberFormat="1" applyFont="1" applyBorder="1" applyAlignment="1">
      <alignment horizontal="center" vertical="center" shrinkToFit="1"/>
    </xf>
    <xf numFmtId="0" fontId="10" fillId="0" borderId="6" xfId="1" applyFont="1" applyBorder="1" applyAlignment="1">
      <alignment horizontal="center" vertical="center" shrinkToFit="1"/>
    </xf>
    <xf numFmtId="10" fontId="10" fillId="0" borderId="15" xfId="1" applyNumberFormat="1" applyFont="1" applyBorder="1" applyAlignment="1" applyProtection="1">
      <alignment horizontal="center" vertical="center" shrinkToFit="1"/>
      <protection hidden="1"/>
    </xf>
    <xf numFmtId="178" fontId="11" fillId="2" borderId="1" xfId="1" applyNumberFormat="1" applyFont="1" applyFill="1" applyBorder="1" applyAlignment="1" applyProtection="1">
      <alignment horizontal="center" shrinkToFit="1"/>
      <protection locked="0"/>
    </xf>
    <xf numFmtId="0" fontId="10" fillId="2" borderId="18" xfId="2" applyFont="1" applyFill="1" applyBorder="1" applyAlignment="1" applyProtection="1">
      <alignment horizontal="center" vertical="center" wrapText="1"/>
      <protection locked="0"/>
    </xf>
    <xf numFmtId="0" fontId="10" fillId="0" borderId="19" xfId="1" applyFont="1" applyBorder="1" applyAlignment="1">
      <alignment horizontal="center" vertical="center"/>
    </xf>
    <xf numFmtId="0" fontId="10" fillId="2" borderId="17" xfId="1" applyFont="1" applyFill="1" applyBorder="1" applyAlignment="1" applyProtection="1">
      <alignment horizontal="center" vertical="center"/>
      <protection locked="0"/>
    </xf>
    <xf numFmtId="0" fontId="11" fillId="2" borderId="20" xfId="3" applyFill="1" applyBorder="1" applyAlignment="1" applyProtection="1">
      <alignment horizontal="center" vertical="center"/>
      <protection locked="0"/>
    </xf>
    <xf numFmtId="0" fontId="11" fillId="2" borderId="21" xfId="3" applyFill="1" applyBorder="1" applyAlignment="1" applyProtection="1">
      <alignment horizontal="center" vertical="center"/>
      <protection locked="0"/>
    </xf>
    <xf numFmtId="0" fontId="11" fillId="2" borderId="24" xfId="3" applyFill="1" applyBorder="1" applyAlignment="1" applyProtection="1">
      <alignment horizontal="center" vertical="center"/>
      <protection locked="0"/>
    </xf>
    <xf numFmtId="0" fontId="10" fillId="0" borderId="20" xfId="1" applyFont="1" applyBorder="1" applyAlignment="1">
      <alignment horizontal="center" vertical="center" shrinkToFit="1"/>
    </xf>
    <xf numFmtId="177" fontId="10" fillId="0" borderId="21" xfId="1" applyNumberFormat="1" applyFont="1" applyBorder="1" applyAlignment="1">
      <alignment horizontal="center" vertical="center" shrinkToFit="1"/>
    </xf>
    <xf numFmtId="0" fontId="10" fillId="0" borderId="21" xfId="1" applyFont="1" applyBorder="1" applyAlignment="1">
      <alignment horizontal="center" vertical="center" shrinkToFit="1"/>
    </xf>
    <xf numFmtId="10" fontId="10" fillId="0" borderId="22" xfId="1" applyNumberFormat="1" applyFont="1" applyBorder="1" applyAlignment="1" applyProtection="1">
      <alignment horizontal="center" vertical="center" shrinkToFit="1"/>
      <protection hidden="1"/>
    </xf>
    <xf numFmtId="178" fontId="11" fillId="2" borderId="17" xfId="1" applyNumberFormat="1" applyFont="1" applyFill="1" applyBorder="1" applyAlignment="1" applyProtection="1">
      <alignment horizontal="center" shrinkToFit="1"/>
      <protection locked="0"/>
    </xf>
    <xf numFmtId="0" fontId="10" fillId="2" borderId="26" xfId="2" applyFont="1" applyFill="1" applyBorder="1" applyAlignment="1" applyProtection="1">
      <alignment horizontal="center" vertical="center" wrapText="1"/>
      <protection locked="0"/>
    </xf>
    <xf numFmtId="0" fontId="10" fillId="0" borderId="27" xfId="1" applyFont="1" applyBorder="1" applyAlignment="1">
      <alignment horizontal="center" vertical="center"/>
    </xf>
    <xf numFmtId="0" fontId="10" fillId="2" borderId="25" xfId="1" applyFont="1" applyFill="1" applyBorder="1" applyAlignment="1" applyProtection="1">
      <alignment horizontal="center" vertical="center"/>
      <protection locked="0"/>
    </xf>
    <xf numFmtId="0" fontId="11" fillId="2" borderId="28" xfId="3" applyFill="1" applyBorder="1" applyAlignment="1" applyProtection="1">
      <alignment horizontal="center" vertical="center"/>
      <protection locked="0"/>
    </xf>
    <xf numFmtId="0" fontId="11" fillId="2" borderId="29" xfId="3" applyFill="1" applyBorder="1" applyAlignment="1" applyProtection="1">
      <alignment horizontal="center" vertical="center"/>
      <protection locked="0"/>
    </xf>
    <xf numFmtId="177" fontId="10" fillId="0" borderId="29" xfId="1" applyNumberFormat="1" applyFont="1" applyBorder="1" applyAlignment="1">
      <alignment horizontal="center" vertical="center" shrinkToFit="1"/>
    </xf>
    <xf numFmtId="0" fontId="10" fillId="0" borderId="29" xfId="1" applyFont="1" applyBorder="1" applyAlignment="1">
      <alignment horizontal="center" vertical="center" shrinkToFit="1"/>
    </xf>
    <xf numFmtId="0" fontId="10" fillId="0" borderId="44" xfId="1" applyFont="1" applyBorder="1" applyAlignment="1">
      <alignment horizontal="center" vertical="center"/>
    </xf>
    <xf numFmtId="0" fontId="10" fillId="0" borderId="45" xfId="2" applyFont="1" applyBorder="1" applyAlignment="1">
      <alignment horizontal="center" vertical="center" wrapText="1"/>
    </xf>
    <xf numFmtId="0" fontId="10" fillId="0" borderId="46" xfId="1" applyFont="1" applyBorder="1" applyAlignment="1">
      <alignment horizontal="center" vertical="center"/>
    </xf>
    <xf numFmtId="0" fontId="10" fillId="0" borderId="47" xfId="1" applyFont="1" applyBorder="1" applyAlignment="1">
      <alignment horizontal="center" vertical="center"/>
    </xf>
    <xf numFmtId="0" fontId="10" fillId="0" borderId="48" xfId="1" applyFont="1" applyBorder="1" applyAlignment="1">
      <alignment horizontal="center" vertical="center"/>
    </xf>
    <xf numFmtId="0" fontId="14" fillId="0" borderId="45" xfId="1" applyFont="1" applyBorder="1" applyAlignment="1">
      <alignment horizontal="center" vertical="center"/>
    </xf>
    <xf numFmtId="0" fontId="14" fillId="0" borderId="46" xfId="1" applyFont="1" applyBorder="1" applyAlignment="1">
      <alignment horizontal="center" vertical="center"/>
    </xf>
    <xf numFmtId="0" fontId="14" fillId="0" borderId="49" xfId="1" applyFont="1" applyBorder="1" applyAlignment="1">
      <alignment horizontal="center" vertical="center"/>
    </xf>
    <xf numFmtId="0" fontId="10" fillId="0" borderId="45" xfId="1" applyFont="1" applyBorder="1" applyAlignment="1">
      <alignment horizontal="center" vertical="center" shrinkToFit="1"/>
    </xf>
    <xf numFmtId="10" fontId="10" fillId="0" borderId="46" xfId="1" applyNumberFormat="1" applyFont="1" applyBorder="1" applyAlignment="1">
      <alignment horizontal="center" vertical="center" shrinkToFit="1"/>
    </xf>
    <xf numFmtId="0" fontId="10" fillId="0" borderId="46" xfId="1" applyFont="1" applyBorder="1" applyAlignment="1">
      <alignment horizontal="center" vertical="center" shrinkToFit="1"/>
    </xf>
    <xf numFmtId="178" fontId="10" fillId="0" borderId="46" xfId="1" applyNumberFormat="1" applyFont="1" applyBorder="1" applyAlignment="1">
      <alignment horizontal="center" vertical="center" shrinkToFit="1"/>
    </xf>
    <xf numFmtId="10" fontId="10" fillId="0" borderId="0" xfId="1" applyNumberFormat="1" applyFont="1" applyAlignment="1">
      <alignment horizontal="center" vertical="center"/>
    </xf>
    <xf numFmtId="176" fontId="10" fillId="0" borderId="0" xfId="6" applyNumberFormat="1" applyFont="1" applyBorder="1" applyAlignment="1">
      <alignment horizontal="center" vertical="center"/>
    </xf>
    <xf numFmtId="10" fontId="5" fillId="0" borderId="33" xfId="1" applyNumberFormat="1" applyFont="1" applyBorder="1" applyAlignment="1">
      <alignment horizontal="center" vertical="center"/>
    </xf>
    <xf numFmtId="176" fontId="5" fillId="0" borderId="33" xfId="6" applyNumberFormat="1" applyFont="1" applyBorder="1" applyAlignment="1">
      <alignment horizontal="center" vertical="center"/>
    </xf>
    <xf numFmtId="0" fontId="11" fillId="2" borderId="15" xfId="3" applyFill="1" applyBorder="1" applyAlignment="1" applyProtection="1">
      <alignment horizontal="center" vertical="center"/>
      <protection locked="0"/>
    </xf>
    <xf numFmtId="0" fontId="10" fillId="0" borderId="16" xfId="1" applyFont="1" applyBorder="1" applyAlignment="1">
      <alignment horizontal="center" vertical="center" shrinkToFit="1"/>
    </xf>
    <xf numFmtId="10" fontId="10" fillId="0" borderId="6" xfId="1" applyNumberFormat="1" applyFont="1" applyBorder="1" applyAlignment="1" applyProtection="1">
      <alignment horizontal="center" vertical="center" shrinkToFit="1"/>
      <protection hidden="1"/>
    </xf>
    <xf numFmtId="178" fontId="11" fillId="2" borderId="7" xfId="3" applyNumberFormat="1" applyFill="1" applyBorder="1" applyAlignment="1" applyProtection="1">
      <alignment horizontal="center" shrinkToFit="1"/>
      <protection locked="0"/>
    </xf>
    <xf numFmtId="0" fontId="11" fillId="2" borderId="22" xfId="3" applyFill="1" applyBorder="1" applyAlignment="1" applyProtection="1">
      <alignment horizontal="center" vertical="center"/>
      <protection locked="0"/>
    </xf>
    <xf numFmtId="0" fontId="10" fillId="0" borderId="23" xfId="1" applyFont="1" applyBorder="1" applyAlignment="1">
      <alignment horizontal="center" vertical="center" shrinkToFit="1"/>
    </xf>
    <xf numFmtId="10" fontId="10" fillId="0" borderId="21" xfId="1" applyNumberFormat="1" applyFont="1" applyBorder="1" applyAlignment="1" applyProtection="1">
      <alignment horizontal="center" vertical="center" shrinkToFit="1"/>
      <protection hidden="1"/>
    </xf>
    <xf numFmtId="178" fontId="11" fillId="2" borderId="24" xfId="3" applyNumberFormat="1" applyFill="1" applyBorder="1" applyAlignment="1" applyProtection="1">
      <alignment horizontal="center" shrinkToFit="1"/>
      <protection locked="0"/>
    </xf>
    <xf numFmtId="0" fontId="11" fillId="2" borderId="30" xfId="3" applyFill="1" applyBorder="1" applyAlignment="1" applyProtection="1">
      <alignment horizontal="center" vertical="center"/>
      <protection locked="0"/>
    </xf>
    <xf numFmtId="0" fontId="10" fillId="0" borderId="31" xfId="1" applyFont="1" applyBorder="1" applyAlignment="1">
      <alignment horizontal="center" vertical="center" shrinkToFit="1"/>
    </xf>
    <xf numFmtId="10" fontId="10" fillId="0" borderId="29" xfId="1" applyNumberFormat="1" applyFont="1" applyBorder="1" applyAlignment="1" applyProtection="1">
      <alignment horizontal="center" vertical="center" shrinkToFit="1"/>
      <protection hidden="1"/>
    </xf>
    <xf numFmtId="0" fontId="14" fillId="0" borderId="50" xfId="1" applyFont="1" applyBorder="1" applyAlignment="1">
      <alignment horizontal="center" vertical="center"/>
    </xf>
    <xf numFmtId="0" fontId="14" fillId="0" borderId="47" xfId="1" applyFont="1" applyBorder="1" applyAlignment="1">
      <alignment horizontal="center" vertical="center"/>
    </xf>
    <xf numFmtId="0" fontId="10" fillId="0" borderId="50" xfId="1" applyFont="1" applyBorder="1" applyAlignment="1">
      <alignment horizontal="center" vertical="center" shrinkToFit="1"/>
    </xf>
    <xf numFmtId="10" fontId="5" fillId="0" borderId="0" xfId="1" applyNumberFormat="1" applyFont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0" fontId="10" fillId="0" borderId="45" xfId="1" applyFont="1" applyBorder="1" applyAlignment="1">
      <alignment horizontal="center" vertical="center"/>
    </xf>
    <xf numFmtId="179" fontId="10" fillId="0" borderId="46" xfId="1" applyNumberFormat="1" applyFont="1" applyBorder="1" applyAlignment="1">
      <alignment horizontal="center" vertical="center" shrinkToFit="1"/>
    </xf>
    <xf numFmtId="0" fontId="10" fillId="2" borderId="3" xfId="1" applyFont="1" applyFill="1" applyBorder="1" applyAlignment="1" applyProtection="1">
      <alignment horizontal="center" vertical="center"/>
      <protection locked="0"/>
    </xf>
    <xf numFmtId="0" fontId="10" fillId="2" borderId="19" xfId="1" applyFont="1" applyFill="1" applyBorder="1" applyAlignment="1" applyProtection="1">
      <alignment horizontal="center" vertical="center"/>
      <protection locked="0"/>
    </xf>
    <xf numFmtId="0" fontId="7" fillId="0" borderId="44" xfId="1" applyFont="1" applyBorder="1" applyAlignment="1">
      <alignment horizontal="center" vertical="center"/>
    </xf>
    <xf numFmtId="0" fontId="7" fillId="0" borderId="45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7" fillId="2" borderId="5" xfId="3" applyFont="1" applyFill="1" applyBorder="1" applyAlignment="1" applyProtection="1">
      <alignment horizontal="center" vertical="center"/>
      <protection locked="0"/>
    </xf>
    <xf numFmtId="0" fontId="7" fillId="2" borderId="6" xfId="3" applyFont="1" applyFill="1" applyBorder="1" applyAlignment="1" applyProtection="1">
      <alignment horizontal="center" vertical="center"/>
      <protection locked="0"/>
    </xf>
    <xf numFmtId="0" fontId="7" fillId="2" borderId="15" xfId="3" applyFont="1" applyFill="1" applyBorder="1" applyAlignment="1" applyProtection="1">
      <alignment horizontal="center" vertical="center"/>
      <protection locked="0"/>
    </xf>
    <xf numFmtId="178" fontId="7" fillId="2" borderId="7" xfId="3" applyNumberFormat="1" applyFont="1" applyFill="1" applyBorder="1" applyAlignment="1" applyProtection="1">
      <alignment horizontal="center" shrinkToFit="1"/>
      <protection locked="0"/>
    </xf>
    <xf numFmtId="0" fontId="7" fillId="2" borderId="20" xfId="3" applyFont="1" applyFill="1" applyBorder="1" applyAlignment="1" applyProtection="1">
      <alignment horizontal="center" vertical="center"/>
      <protection locked="0"/>
    </xf>
    <xf numFmtId="0" fontId="7" fillId="2" borderId="21" xfId="3" applyFont="1" applyFill="1" applyBorder="1" applyAlignment="1" applyProtection="1">
      <alignment horizontal="center" vertical="center"/>
      <protection locked="0"/>
    </xf>
    <xf numFmtId="0" fontId="7" fillId="2" borderId="22" xfId="3" applyFont="1" applyFill="1" applyBorder="1" applyAlignment="1" applyProtection="1">
      <alignment horizontal="center" vertical="center"/>
      <protection locked="0"/>
    </xf>
    <xf numFmtId="178" fontId="7" fillId="2" borderId="24" xfId="3" applyNumberFormat="1" applyFont="1" applyFill="1" applyBorder="1" applyAlignment="1" applyProtection="1">
      <alignment horizontal="center" shrinkToFit="1"/>
      <protection locked="0"/>
    </xf>
    <xf numFmtId="0" fontId="7" fillId="0" borderId="46" xfId="1" applyFont="1" applyBorder="1" applyAlignment="1">
      <alignment horizontal="center" vertical="center"/>
    </xf>
    <xf numFmtId="0" fontId="7" fillId="2" borderId="37" xfId="3" applyFont="1" applyFill="1" applyBorder="1" applyAlignment="1" applyProtection="1">
      <alignment horizontal="center" vertical="center"/>
      <protection locked="0"/>
    </xf>
    <xf numFmtId="0" fontId="7" fillId="2" borderId="38" xfId="3" applyFont="1" applyFill="1" applyBorder="1" applyAlignment="1" applyProtection="1">
      <alignment horizontal="center" vertical="center"/>
      <protection locked="0"/>
    </xf>
    <xf numFmtId="0" fontId="7" fillId="2" borderId="39" xfId="3" applyFont="1" applyFill="1" applyBorder="1" applyAlignment="1" applyProtection="1">
      <alignment horizontal="center" vertical="center"/>
      <protection locked="0"/>
    </xf>
    <xf numFmtId="0" fontId="9" fillId="0" borderId="48" xfId="1" applyFont="1" applyBorder="1" applyAlignment="1">
      <alignment horizontal="center" vertical="center"/>
    </xf>
    <xf numFmtId="176" fontId="5" fillId="0" borderId="33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2" borderId="37" xfId="3" applyFont="1" applyFill="1" applyBorder="1" applyAlignment="1" applyProtection="1">
      <alignment horizontal="center" vertical="center"/>
      <protection locked="0"/>
    </xf>
    <xf numFmtId="0" fontId="9" fillId="2" borderId="38" xfId="3" applyFont="1" applyFill="1" applyBorder="1" applyAlignment="1" applyProtection="1">
      <alignment horizontal="center" vertical="center"/>
      <protection locked="0"/>
    </xf>
    <xf numFmtId="0" fontId="9" fillId="2" borderId="39" xfId="3" applyFont="1" applyFill="1" applyBorder="1" applyAlignment="1" applyProtection="1">
      <alignment horizontal="center" vertical="center"/>
      <protection locked="0"/>
    </xf>
    <xf numFmtId="0" fontId="9" fillId="0" borderId="16" xfId="1" applyFont="1" applyBorder="1" applyAlignment="1">
      <alignment horizontal="center" vertical="center" shrinkToFit="1"/>
    </xf>
    <xf numFmtId="177" fontId="9" fillId="0" borderId="6" xfId="1" applyNumberFormat="1" applyFont="1" applyBorder="1" applyAlignment="1">
      <alignment horizontal="center" vertical="center" shrinkToFit="1"/>
    </xf>
    <xf numFmtId="0" fontId="9" fillId="0" borderId="6" xfId="1" applyFont="1" applyBorder="1" applyAlignment="1">
      <alignment horizontal="center" vertical="center" shrinkToFit="1"/>
    </xf>
    <xf numFmtId="10" fontId="9" fillId="0" borderId="6" xfId="1" applyNumberFormat="1" applyFont="1" applyBorder="1" applyAlignment="1" applyProtection="1">
      <alignment horizontal="center" vertical="center" shrinkToFit="1"/>
      <protection hidden="1"/>
    </xf>
    <xf numFmtId="0" fontId="9" fillId="0" borderId="17" xfId="1" applyFont="1" applyBorder="1" applyAlignment="1">
      <alignment horizontal="center" vertical="center"/>
    </xf>
    <xf numFmtId="0" fontId="9" fillId="2" borderId="20" xfId="3" applyFont="1" applyFill="1" applyBorder="1" applyAlignment="1" applyProtection="1">
      <alignment horizontal="center" vertical="center"/>
      <protection locked="0"/>
    </xf>
    <xf numFmtId="0" fontId="9" fillId="2" borderId="21" xfId="3" applyFont="1" applyFill="1" applyBorder="1" applyAlignment="1" applyProtection="1">
      <alignment horizontal="center" vertical="center"/>
      <protection locked="0"/>
    </xf>
    <xf numFmtId="0" fontId="9" fillId="2" borderId="22" xfId="3" applyFont="1" applyFill="1" applyBorder="1" applyAlignment="1" applyProtection="1">
      <alignment horizontal="center" vertical="center"/>
      <protection locked="0"/>
    </xf>
    <xf numFmtId="0" fontId="9" fillId="0" borderId="23" xfId="1" applyFont="1" applyBorder="1" applyAlignment="1">
      <alignment horizontal="center" vertical="center" shrinkToFit="1"/>
    </xf>
    <xf numFmtId="177" fontId="9" fillId="0" borderId="21" xfId="1" applyNumberFormat="1" applyFont="1" applyBorder="1" applyAlignment="1">
      <alignment horizontal="center" vertical="center" shrinkToFit="1"/>
    </xf>
    <xf numFmtId="0" fontId="9" fillId="0" borderId="21" xfId="1" applyFont="1" applyBorder="1" applyAlignment="1">
      <alignment horizontal="center" vertical="center" shrinkToFit="1"/>
    </xf>
    <xf numFmtId="10" fontId="9" fillId="0" borderId="21" xfId="1" applyNumberFormat="1" applyFont="1" applyBorder="1" applyAlignment="1" applyProtection="1">
      <alignment horizontal="center" vertical="center" shrinkToFit="1"/>
      <protection hidden="1"/>
    </xf>
    <xf numFmtId="0" fontId="9" fillId="0" borderId="44" xfId="1" applyFont="1" applyBorder="1" applyAlignment="1">
      <alignment horizontal="center" vertical="center"/>
    </xf>
    <xf numFmtId="0" fontId="9" fillId="0" borderId="45" xfId="1" applyFont="1" applyBorder="1" applyAlignment="1">
      <alignment horizontal="center" vertical="center"/>
    </xf>
    <xf numFmtId="0" fontId="9" fillId="0" borderId="46" xfId="1" applyFont="1" applyBorder="1" applyAlignment="1">
      <alignment horizontal="center" vertical="center"/>
    </xf>
    <xf numFmtId="0" fontId="9" fillId="0" borderId="47" xfId="1" applyFont="1" applyBorder="1" applyAlignment="1">
      <alignment horizontal="center" vertical="center"/>
    </xf>
    <xf numFmtId="0" fontId="9" fillId="0" borderId="50" xfId="1" applyFont="1" applyBorder="1" applyAlignment="1">
      <alignment horizontal="center" vertical="center" shrinkToFit="1"/>
    </xf>
    <xf numFmtId="10" fontId="9" fillId="0" borderId="46" xfId="1" applyNumberFormat="1" applyFont="1" applyBorder="1" applyAlignment="1">
      <alignment horizontal="center" vertical="center" shrinkToFit="1"/>
    </xf>
    <xf numFmtId="0" fontId="9" fillId="0" borderId="46" xfId="1" applyFont="1" applyBorder="1" applyAlignment="1">
      <alignment horizontal="center" vertical="center" shrinkToFit="1"/>
    </xf>
    <xf numFmtId="58" fontId="9" fillId="0" borderId="11" xfId="1" applyNumberFormat="1" applyFont="1" applyBorder="1" applyAlignment="1">
      <alignment horizontal="center" vertical="center" wrapText="1"/>
    </xf>
    <xf numFmtId="0" fontId="15" fillId="0" borderId="12" xfId="1" applyFont="1" applyBorder="1" applyAlignment="1">
      <alignment horizontal="center" vertical="center" wrapText="1"/>
    </xf>
    <xf numFmtId="0" fontId="10" fillId="3" borderId="2" xfId="2" applyFont="1" applyFill="1" applyBorder="1" applyAlignment="1" applyProtection="1">
      <alignment horizontal="center" vertical="center" wrapText="1"/>
      <protection locked="0"/>
    </xf>
    <xf numFmtId="0" fontId="10" fillId="3" borderId="18" xfId="2" applyFont="1" applyFill="1" applyBorder="1" applyAlignment="1" applyProtection="1">
      <alignment horizontal="center" vertical="center" wrapText="1"/>
      <protection locked="0"/>
    </xf>
    <xf numFmtId="0" fontId="10" fillId="3" borderId="26" xfId="2" applyFont="1" applyFill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51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9" fillId="0" borderId="51" xfId="1" applyFont="1" applyBorder="1" applyAlignment="1">
      <alignment horizontal="center" vertical="center"/>
    </xf>
    <xf numFmtId="0" fontId="15" fillId="0" borderId="52" xfId="1" applyFont="1" applyBorder="1" applyAlignment="1">
      <alignment horizontal="center" vertical="center" wrapText="1"/>
    </xf>
    <xf numFmtId="58" fontId="9" fillId="0" borderId="55" xfId="1" applyNumberFormat="1" applyFont="1" applyBorder="1" applyAlignment="1">
      <alignment horizontal="center" vertical="center" wrapText="1"/>
    </xf>
    <xf numFmtId="0" fontId="9" fillId="0" borderId="56" xfId="1" applyFont="1" applyBorder="1" applyAlignment="1">
      <alignment horizontal="center" vertical="center" wrapText="1"/>
    </xf>
    <xf numFmtId="0" fontId="9" fillId="0" borderId="57" xfId="1" applyFont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/>
    </xf>
    <xf numFmtId="0" fontId="5" fillId="2" borderId="53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5" fillId="2" borderId="38" xfId="1" applyFont="1" applyFill="1" applyBorder="1" applyAlignment="1" applyProtection="1">
      <alignment horizontal="center" vertical="center"/>
      <protection locked="0"/>
    </xf>
    <xf numFmtId="0" fontId="5" fillId="2" borderId="54" xfId="1" applyFont="1" applyFill="1" applyBorder="1" applyAlignment="1" applyProtection="1">
      <alignment horizontal="center" vertical="center"/>
      <protection locked="0"/>
    </xf>
    <xf numFmtId="0" fontId="10" fillId="2" borderId="22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21" xfId="1" applyFont="1" applyFill="1" applyBorder="1" applyAlignment="1" applyProtection="1">
      <alignment horizontal="center" vertical="center"/>
      <protection locked="0"/>
    </xf>
    <xf numFmtId="0" fontId="5" fillId="2" borderId="24" xfId="1" applyFont="1" applyFill="1" applyBorder="1" applyAlignment="1" applyProtection="1">
      <alignment horizontal="center" vertical="center"/>
      <protection locked="0"/>
    </xf>
    <xf numFmtId="0" fontId="10" fillId="2" borderId="30" xfId="1" applyFont="1" applyFill="1" applyBorder="1" applyAlignment="1">
      <alignment horizontal="center" vertical="center"/>
    </xf>
    <xf numFmtId="0" fontId="5" fillId="2" borderId="31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0" fontId="5" fillId="2" borderId="29" xfId="1" applyFont="1" applyFill="1" applyBorder="1" applyAlignment="1" applyProtection="1">
      <alignment horizontal="center" vertical="center"/>
      <protection locked="0"/>
    </xf>
    <xf numFmtId="0" fontId="5" fillId="2" borderId="32" xfId="1" applyFont="1" applyFill="1" applyBorder="1" applyAlignment="1" applyProtection="1">
      <alignment horizontal="center" vertical="center"/>
      <protection locked="0"/>
    </xf>
    <xf numFmtId="0" fontId="7" fillId="0" borderId="59" xfId="1" applyFont="1" applyBorder="1" applyAlignment="1">
      <alignment horizontal="center" vertical="center"/>
    </xf>
    <xf numFmtId="0" fontId="10" fillId="0" borderId="58" xfId="1" applyFont="1" applyBorder="1" applyAlignment="1">
      <alignment horizontal="center" vertical="center"/>
    </xf>
    <xf numFmtId="0" fontId="10" fillId="0" borderId="59" xfId="1" applyFont="1" applyBorder="1" applyAlignment="1">
      <alignment horizontal="center" vertical="center"/>
    </xf>
    <xf numFmtId="0" fontId="10" fillId="0" borderId="51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shrinkToFit="1"/>
    </xf>
    <xf numFmtId="10" fontId="10" fillId="0" borderId="0" xfId="1" applyNumberFormat="1" applyFont="1" applyAlignment="1">
      <alignment horizontal="center" vertical="center" shrinkToFit="1"/>
    </xf>
    <xf numFmtId="178" fontId="10" fillId="0" borderId="0" xfId="1" applyNumberFormat="1" applyFont="1" applyAlignment="1">
      <alignment horizontal="center" vertical="center" shrinkToFit="1"/>
    </xf>
    <xf numFmtId="179" fontId="10" fillId="0" borderId="0" xfId="1" applyNumberFormat="1" applyFont="1" applyAlignment="1">
      <alignment horizontal="center" vertical="center" shrinkToFit="1"/>
    </xf>
    <xf numFmtId="178" fontId="11" fillId="2" borderId="7" xfId="1" applyNumberFormat="1" applyFont="1" applyFill="1" applyBorder="1" applyAlignment="1" applyProtection="1">
      <alignment horizontal="center" shrinkToFit="1"/>
      <protection locked="0"/>
    </xf>
    <xf numFmtId="178" fontId="11" fillId="2" borderId="24" xfId="1" applyNumberFormat="1" applyFont="1" applyFill="1" applyBorder="1" applyAlignment="1" applyProtection="1">
      <alignment horizontal="center" shrinkToFit="1"/>
      <protection locked="0"/>
    </xf>
    <xf numFmtId="178" fontId="11" fillId="2" borderId="32" xfId="1" applyNumberFormat="1" applyFont="1" applyFill="1" applyBorder="1" applyAlignment="1" applyProtection="1">
      <alignment horizontal="center" shrinkToFit="1"/>
      <protection locked="0"/>
    </xf>
    <xf numFmtId="0" fontId="5" fillId="2" borderId="16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6" xfId="1" applyFont="1" applyFill="1" applyBorder="1" applyAlignment="1" applyProtection="1">
      <alignment horizontal="center" vertical="center"/>
      <protection locked="0"/>
    </xf>
    <xf numFmtId="0" fontId="5" fillId="2" borderId="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>
      <alignment horizontal="center" vertical="center"/>
    </xf>
    <xf numFmtId="0" fontId="9" fillId="0" borderId="59" xfId="1" applyFont="1" applyBorder="1" applyAlignment="1">
      <alignment horizontal="center" vertical="center"/>
    </xf>
    <xf numFmtId="0" fontId="9" fillId="0" borderId="58" xfId="1" applyFont="1" applyBorder="1" applyAlignment="1">
      <alignment horizontal="center" vertical="center"/>
    </xf>
    <xf numFmtId="0" fontId="10" fillId="0" borderId="55" xfId="1" applyFont="1" applyBorder="1" applyAlignment="1">
      <alignment horizontal="center" vertical="center" shrinkToFit="1"/>
    </xf>
    <xf numFmtId="10" fontId="10" fillId="0" borderId="56" xfId="1" applyNumberFormat="1" applyFont="1" applyBorder="1" applyAlignment="1">
      <alignment horizontal="center" vertical="center" shrinkToFit="1"/>
    </xf>
    <xf numFmtId="0" fontId="10" fillId="0" borderId="56" xfId="1" applyFont="1" applyBorder="1" applyAlignment="1">
      <alignment horizontal="center" vertical="center" shrinkToFit="1"/>
    </xf>
    <xf numFmtId="178" fontId="10" fillId="0" borderId="57" xfId="1" applyNumberFormat="1" applyFont="1" applyBorder="1" applyAlignment="1">
      <alignment horizontal="center" vertical="center" shrinkToFit="1"/>
    </xf>
    <xf numFmtId="176" fontId="9" fillId="0" borderId="12" xfId="1" applyNumberFormat="1" applyFont="1" applyBorder="1" applyAlignment="1">
      <alignment horizontal="center" vertical="center" wrapText="1"/>
    </xf>
    <xf numFmtId="180" fontId="9" fillId="0" borderId="13" xfId="1" applyNumberFormat="1" applyFont="1" applyBorder="1" applyAlignment="1">
      <alignment horizontal="center" vertical="center" shrinkToFit="1"/>
    </xf>
    <xf numFmtId="0" fontId="10" fillId="2" borderId="24" xfId="1" applyFont="1" applyFill="1" applyBorder="1" applyAlignment="1">
      <alignment horizontal="center" vertical="center"/>
    </xf>
    <xf numFmtId="0" fontId="10" fillId="2" borderId="32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 shrinkToFit="1"/>
    </xf>
    <xf numFmtId="10" fontId="9" fillId="0" borderId="0" xfId="1" applyNumberFormat="1" applyFont="1" applyAlignment="1">
      <alignment horizontal="center" vertical="center" shrinkToFit="1"/>
    </xf>
    <xf numFmtId="0" fontId="2" fillId="0" borderId="0" xfId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5" fillId="0" borderId="13" xfId="1" applyFont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/>
    </xf>
    <xf numFmtId="0" fontId="11" fillId="2" borderId="16" xfId="3" applyFill="1" applyBorder="1" applyAlignment="1" applyProtection="1">
      <alignment horizontal="center" vertical="center"/>
      <protection locked="0"/>
    </xf>
    <xf numFmtId="0" fontId="11" fillId="2" borderId="23" xfId="3" applyFill="1" applyBorder="1" applyAlignment="1" applyProtection="1">
      <alignment horizontal="center" vertical="center"/>
      <protection locked="0"/>
    </xf>
    <xf numFmtId="0" fontId="9" fillId="0" borderId="61" xfId="1" applyFont="1" applyBorder="1" applyAlignment="1">
      <alignment horizontal="center" vertical="center" wrapText="1"/>
    </xf>
    <xf numFmtId="0" fontId="9" fillId="0" borderId="62" xfId="1" applyFont="1" applyBorder="1" applyAlignment="1">
      <alignment horizontal="center" vertical="center" wrapText="1"/>
    </xf>
    <xf numFmtId="176" fontId="9" fillId="0" borderId="63" xfId="1" applyNumberFormat="1" applyFont="1" applyBorder="1" applyAlignment="1">
      <alignment horizontal="center" vertical="center" wrapText="1"/>
    </xf>
    <xf numFmtId="0" fontId="10" fillId="2" borderId="23" xfId="1" applyFont="1" applyFill="1" applyBorder="1" applyAlignment="1" applyProtection="1">
      <alignment horizontal="center" vertical="center"/>
      <protection locked="0"/>
    </xf>
    <xf numFmtId="0" fontId="10" fillId="0" borderId="31" xfId="1" applyFont="1" applyBorder="1" applyAlignment="1">
      <alignment horizontal="center" vertical="center"/>
    </xf>
    <xf numFmtId="0" fontId="14" fillId="0" borderId="29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9" fillId="0" borderId="41" xfId="1" applyFont="1" applyBorder="1" applyAlignment="1">
      <alignment horizontal="center" vertical="center" wrapText="1"/>
    </xf>
    <xf numFmtId="176" fontId="9" fillId="0" borderId="64" xfId="1" applyNumberFormat="1" applyFont="1" applyBorder="1" applyAlignment="1">
      <alignment horizontal="center" vertical="center" wrapText="1"/>
    </xf>
    <xf numFmtId="178" fontId="11" fillId="2" borderId="15" xfId="1" applyNumberFormat="1" applyFont="1" applyFill="1" applyBorder="1" applyAlignment="1" applyProtection="1">
      <alignment horizontal="center" shrinkToFit="1"/>
      <protection locked="0"/>
    </xf>
    <xf numFmtId="178" fontId="11" fillId="2" borderId="22" xfId="1" applyNumberFormat="1" applyFont="1" applyFill="1" applyBorder="1" applyAlignment="1" applyProtection="1">
      <alignment horizontal="center" shrinkToFit="1"/>
      <protection locked="0"/>
    </xf>
    <xf numFmtId="178" fontId="10" fillId="0" borderId="49" xfId="1" applyNumberFormat="1" applyFont="1" applyBorder="1" applyAlignment="1">
      <alignment horizontal="center" vertical="center" shrinkToFit="1"/>
    </xf>
    <xf numFmtId="0" fontId="5" fillId="0" borderId="7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178" fontId="11" fillId="2" borderId="30" xfId="1" applyNumberFormat="1" applyFont="1" applyFill="1" applyBorder="1" applyAlignment="1" applyProtection="1">
      <alignment horizontal="center" shrinkToFit="1"/>
      <protection locked="0"/>
    </xf>
    <xf numFmtId="0" fontId="5" fillId="0" borderId="32" xfId="1" applyFont="1" applyBorder="1" applyAlignment="1">
      <alignment horizontal="center" vertical="center"/>
    </xf>
    <xf numFmtId="0" fontId="5" fillId="0" borderId="57" xfId="1" applyFont="1" applyBorder="1" applyAlignment="1">
      <alignment horizontal="center" vertical="center"/>
    </xf>
    <xf numFmtId="0" fontId="9" fillId="0" borderId="64" xfId="1" applyFont="1" applyBorder="1" applyAlignment="1">
      <alignment horizontal="center" vertical="center" wrapText="1"/>
    </xf>
    <xf numFmtId="0" fontId="5" fillId="0" borderId="63" xfId="1" applyFont="1" applyBorder="1" applyAlignment="1">
      <alignment horizontal="center" vertical="center" wrapText="1"/>
    </xf>
    <xf numFmtId="0" fontId="5" fillId="0" borderId="47" xfId="1" applyFont="1" applyBorder="1" applyAlignment="1">
      <alignment horizontal="center" vertical="center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10" fillId="2" borderId="31" xfId="1" applyFont="1" applyFill="1" applyBorder="1" applyAlignment="1" applyProtection="1">
      <alignment horizontal="center" vertical="center"/>
      <protection locked="0"/>
    </xf>
    <xf numFmtId="0" fontId="10" fillId="0" borderId="8" xfId="1" applyFont="1" applyBorder="1" applyAlignment="1">
      <alignment horizontal="center" vertical="center"/>
    </xf>
    <xf numFmtId="0" fontId="10" fillId="0" borderId="34" xfId="1" applyFont="1" applyBorder="1" applyAlignment="1">
      <alignment horizontal="center" vertical="center"/>
    </xf>
    <xf numFmtId="0" fontId="10" fillId="2" borderId="9" xfId="2" applyFont="1" applyFill="1" applyBorder="1" applyAlignment="1" applyProtection="1">
      <alignment horizontal="center" vertical="center" wrapText="1"/>
      <protection locked="0"/>
    </xf>
    <xf numFmtId="0" fontId="10" fillId="0" borderId="10" xfId="1" applyFont="1" applyBorder="1" applyAlignment="1">
      <alignment horizontal="center" vertical="center"/>
    </xf>
    <xf numFmtId="0" fontId="10" fillId="2" borderId="11" xfId="1" applyFont="1" applyFill="1" applyBorder="1" applyAlignment="1" applyProtection="1">
      <alignment horizontal="center" vertical="center"/>
      <protection locked="0"/>
    </xf>
    <xf numFmtId="0" fontId="11" fillId="2" borderId="12" xfId="3" applyFill="1" applyBorder="1" applyAlignment="1" applyProtection="1">
      <alignment horizontal="center" vertical="center"/>
      <protection locked="0"/>
    </xf>
    <xf numFmtId="0" fontId="11" fillId="2" borderId="52" xfId="3" applyFill="1" applyBorder="1" applyAlignment="1" applyProtection="1">
      <alignment horizontal="center" vertical="center"/>
      <protection locked="0"/>
    </xf>
    <xf numFmtId="0" fontId="10" fillId="0" borderId="11" xfId="1" applyFont="1" applyBorder="1" applyAlignment="1">
      <alignment horizontal="center" vertical="center" shrinkToFit="1"/>
    </xf>
    <xf numFmtId="177" fontId="10" fillId="0" borderId="12" xfId="1" applyNumberFormat="1" applyFont="1" applyBorder="1" applyAlignment="1">
      <alignment horizontal="center" vertical="center" shrinkToFit="1"/>
    </xf>
    <xf numFmtId="0" fontId="10" fillId="0" borderId="12" xfId="1" applyFont="1" applyBorder="1" applyAlignment="1">
      <alignment horizontal="center" vertical="center" shrinkToFit="1"/>
    </xf>
    <xf numFmtId="10" fontId="10" fillId="0" borderId="12" xfId="1" applyNumberFormat="1" applyFont="1" applyBorder="1" applyAlignment="1" applyProtection="1">
      <alignment horizontal="center" vertical="center" shrinkToFit="1"/>
      <protection hidden="1"/>
    </xf>
    <xf numFmtId="178" fontId="11" fillId="2" borderId="13" xfId="1" applyNumberFormat="1" applyFont="1" applyFill="1" applyBorder="1" applyAlignment="1" applyProtection="1">
      <alignment horizontal="center" shrinkToFit="1"/>
      <protection locked="0"/>
    </xf>
    <xf numFmtId="0" fontId="5" fillId="0" borderId="13" xfId="1" applyFont="1" applyBorder="1" applyAlignment="1">
      <alignment horizontal="center" vertical="center"/>
    </xf>
    <xf numFmtId="0" fontId="10" fillId="0" borderId="66" xfId="1" applyFont="1" applyBorder="1" applyAlignment="1">
      <alignment horizontal="center" vertical="center"/>
    </xf>
    <xf numFmtId="0" fontId="10" fillId="0" borderId="66" xfId="2" applyFont="1" applyBorder="1" applyAlignment="1">
      <alignment horizontal="center" vertical="center" wrapText="1"/>
    </xf>
    <xf numFmtId="0" fontId="10" fillId="0" borderId="67" xfId="1" applyFont="1" applyBorder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4" fillId="0" borderId="56" xfId="1" applyFont="1" applyBorder="1" applyAlignment="1">
      <alignment horizontal="center" vertical="center"/>
    </xf>
    <xf numFmtId="0" fontId="14" fillId="0" borderId="65" xfId="1" applyFont="1" applyBorder="1" applyAlignment="1">
      <alignment horizontal="center" vertical="center"/>
    </xf>
    <xf numFmtId="0" fontId="9" fillId="0" borderId="66" xfId="1" applyFont="1" applyBorder="1" applyAlignment="1">
      <alignment horizontal="centerContinuous" vertical="center" wrapText="1"/>
    </xf>
    <xf numFmtId="0" fontId="9" fillId="0" borderId="68" xfId="1" applyFont="1" applyBorder="1" applyAlignment="1">
      <alignment horizontal="centerContinuous" vertical="center" wrapText="1"/>
    </xf>
    <xf numFmtId="0" fontId="9" fillId="0" borderId="67" xfId="1" applyFont="1" applyBorder="1" applyAlignment="1">
      <alignment horizontal="centerContinuous" vertical="center" wrapText="1"/>
    </xf>
    <xf numFmtId="0" fontId="10" fillId="0" borderId="55" xfId="2" applyFont="1" applyBorder="1" applyAlignment="1">
      <alignment horizontal="center" vertical="center" wrapText="1"/>
    </xf>
    <xf numFmtId="0" fontId="10" fillId="0" borderId="56" xfId="1" applyFont="1" applyBorder="1" applyAlignment="1">
      <alignment horizontal="center" vertical="center"/>
    </xf>
    <xf numFmtId="0" fontId="10" fillId="0" borderId="57" xfId="1" applyFont="1" applyBorder="1" applyAlignment="1">
      <alignment horizontal="center" vertical="center"/>
    </xf>
    <xf numFmtId="178" fontId="10" fillId="0" borderId="56" xfId="1" applyNumberFormat="1" applyFont="1" applyBorder="1" applyAlignment="1">
      <alignment horizontal="center" vertical="center" shrinkToFit="1"/>
    </xf>
    <xf numFmtId="0" fontId="9" fillId="0" borderId="41" xfId="1" applyFont="1" applyBorder="1" applyAlignment="1">
      <alignment horizontal="centerContinuous" vertical="center" wrapText="1"/>
    </xf>
    <xf numFmtId="0" fontId="10" fillId="0" borderId="65" xfId="1" applyFont="1" applyBorder="1" applyAlignment="1">
      <alignment horizontal="center" vertical="center"/>
    </xf>
    <xf numFmtId="0" fontId="9" fillId="0" borderId="66" xfId="1" applyFont="1" applyBorder="1" applyAlignment="1">
      <alignment horizontal="center" vertical="center" wrapText="1"/>
    </xf>
    <xf numFmtId="178" fontId="10" fillId="0" borderId="55" xfId="1" applyNumberFormat="1" applyFont="1" applyBorder="1" applyAlignment="1">
      <alignment horizontal="center" vertical="center" shrinkToFit="1"/>
    </xf>
    <xf numFmtId="0" fontId="9" fillId="0" borderId="65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5" borderId="2" xfId="2" applyFont="1" applyFill="1" applyBorder="1" applyAlignment="1" applyProtection="1">
      <alignment horizontal="center" vertical="center" wrapText="1"/>
      <protection locked="0"/>
    </xf>
    <xf numFmtId="0" fontId="17" fillId="5" borderId="1" xfId="1" applyFont="1" applyFill="1" applyBorder="1" applyAlignment="1">
      <alignment horizontal="center" vertical="center"/>
    </xf>
    <xf numFmtId="0" fontId="17" fillId="5" borderId="3" xfId="1" applyFont="1" applyFill="1" applyBorder="1" applyAlignment="1">
      <alignment horizontal="center" vertical="center"/>
    </xf>
    <xf numFmtId="0" fontId="17" fillId="2" borderId="33" xfId="1" applyFont="1" applyFill="1" applyBorder="1" applyAlignment="1">
      <alignment horizontal="center" vertical="center"/>
    </xf>
    <xf numFmtId="0" fontId="18" fillId="2" borderId="38" xfId="3" applyFont="1" applyFill="1" applyBorder="1" applyAlignment="1" applyProtection="1">
      <alignment horizontal="center" vertical="center"/>
      <protection locked="0"/>
    </xf>
    <xf numFmtId="0" fontId="18" fillId="2" borderId="39" xfId="3" applyFont="1" applyFill="1" applyBorder="1" applyAlignment="1" applyProtection="1">
      <alignment horizontal="center" vertical="center"/>
      <protection locked="0"/>
    </xf>
    <xf numFmtId="0" fontId="17" fillId="0" borderId="17" xfId="1" applyFont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17" fillId="5" borderId="18" xfId="2" applyFont="1" applyFill="1" applyBorder="1" applyAlignment="1" applyProtection="1">
      <alignment horizontal="center" vertical="center" wrapText="1"/>
      <protection locked="0"/>
    </xf>
    <xf numFmtId="0" fontId="17" fillId="5" borderId="17" xfId="1" applyFont="1" applyFill="1" applyBorder="1" applyAlignment="1">
      <alignment horizontal="center" vertical="center"/>
    </xf>
    <xf numFmtId="0" fontId="17" fillId="5" borderId="19" xfId="1" applyFont="1" applyFill="1" applyBorder="1" applyAlignment="1">
      <alignment horizontal="center" vertical="center"/>
    </xf>
    <xf numFmtId="0" fontId="17" fillId="2" borderId="35" xfId="1" applyFont="1" applyFill="1" applyBorder="1" applyAlignment="1">
      <alignment horizontal="center" vertical="center"/>
    </xf>
    <xf numFmtId="0" fontId="18" fillId="2" borderId="21" xfId="3" applyFont="1" applyFill="1" applyBorder="1" applyAlignment="1" applyProtection="1">
      <alignment horizontal="center" vertical="center"/>
      <protection locked="0"/>
    </xf>
    <xf numFmtId="0" fontId="18" fillId="2" borderId="22" xfId="3" applyFont="1" applyFill="1" applyBorder="1" applyAlignment="1" applyProtection="1">
      <alignment horizontal="center" vertical="center"/>
      <protection locked="0"/>
    </xf>
    <xf numFmtId="0" fontId="18" fillId="5" borderId="23" xfId="1" applyFont="1" applyFill="1" applyBorder="1" applyAlignment="1" applyProtection="1">
      <alignment horizontal="center" shrinkToFit="1"/>
      <protection locked="0"/>
    </xf>
    <xf numFmtId="0" fontId="17" fillId="5" borderId="21" xfId="1" applyFont="1" applyFill="1" applyBorder="1" applyAlignment="1">
      <alignment horizontal="center" vertical="center" shrinkToFit="1"/>
    </xf>
    <xf numFmtId="177" fontId="17" fillId="5" borderId="21" xfId="1" applyNumberFormat="1" applyFont="1" applyFill="1" applyBorder="1" applyAlignment="1">
      <alignment horizontal="center" vertical="center" shrinkToFit="1"/>
    </xf>
    <xf numFmtId="10" fontId="17" fillId="5" borderId="21" xfId="1" applyNumberFormat="1" applyFont="1" applyFill="1" applyBorder="1" applyAlignment="1" applyProtection="1">
      <alignment horizontal="center" vertical="center" shrinkToFit="1"/>
      <protection hidden="1"/>
    </xf>
    <xf numFmtId="0" fontId="17" fillId="5" borderId="21" xfId="1" applyFont="1" applyFill="1" applyBorder="1" applyAlignment="1" applyProtection="1">
      <alignment horizontal="center" vertical="center" shrinkToFit="1"/>
      <protection hidden="1"/>
    </xf>
    <xf numFmtId="178" fontId="18" fillId="5" borderId="21" xfId="1" applyNumberFormat="1" applyFont="1" applyFill="1" applyBorder="1" applyAlignment="1" applyProtection="1">
      <alignment horizontal="center" shrinkToFit="1"/>
      <protection locked="0"/>
    </xf>
    <xf numFmtId="178" fontId="18" fillId="5" borderId="24" xfId="1" applyNumberFormat="1" applyFont="1" applyFill="1" applyBorder="1" applyAlignment="1" applyProtection="1">
      <alignment horizontal="center" shrinkToFit="1"/>
      <protection locked="0"/>
    </xf>
    <xf numFmtId="0" fontId="17" fillId="0" borderId="8" xfId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center"/>
    </xf>
    <xf numFmtId="0" fontId="17" fillId="5" borderId="9" xfId="2" applyFont="1" applyFill="1" applyBorder="1" applyAlignment="1" applyProtection="1">
      <alignment horizontal="center" vertical="center" wrapText="1"/>
      <protection locked="0"/>
    </xf>
    <xf numFmtId="0" fontId="17" fillId="5" borderId="8" xfId="1" applyFont="1" applyFill="1" applyBorder="1" applyAlignment="1">
      <alignment horizontal="center" vertical="center"/>
    </xf>
    <xf numFmtId="0" fontId="17" fillId="5" borderId="10" xfId="1" applyFont="1" applyFill="1" applyBorder="1" applyAlignment="1">
      <alignment horizontal="center" vertical="center"/>
    </xf>
    <xf numFmtId="0" fontId="17" fillId="2" borderId="34" xfId="1" applyFont="1" applyFill="1" applyBorder="1" applyAlignment="1">
      <alignment horizontal="center" vertical="center"/>
    </xf>
    <xf numFmtId="0" fontId="18" fillId="2" borderId="12" xfId="3" applyFont="1" applyFill="1" applyBorder="1" applyAlignment="1" applyProtection="1">
      <alignment horizontal="center" vertical="center"/>
      <protection locked="0"/>
    </xf>
    <xf numFmtId="0" fontId="18" fillId="2" borderId="52" xfId="3" applyFont="1" applyFill="1" applyBorder="1" applyAlignment="1" applyProtection="1">
      <alignment horizontal="center" vertical="center"/>
      <protection locked="0"/>
    </xf>
    <xf numFmtId="0" fontId="18" fillId="5" borderId="11" xfId="1" applyFont="1" applyFill="1" applyBorder="1" applyAlignment="1" applyProtection="1">
      <alignment horizontal="center" shrinkToFit="1"/>
      <protection locked="0"/>
    </xf>
    <xf numFmtId="0" fontId="17" fillId="5" borderId="12" xfId="1" applyFont="1" applyFill="1" applyBorder="1" applyAlignment="1">
      <alignment horizontal="center" vertical="center" shrinkToFit="1"/>
    </xf>
    <xf numFmtId="177" fontId="17" fillId="5" borderId="12" xfId="1" applyNumberFormat="1" applyFont="1" applyFill="1" applyBorder="1" applyAlignment="1">
      <alignment horizontal="center" vertical="center" shrinkToFit="1"/>
    </xf>
    <xf numFmtId="10" fontId="17" fillId="5" borderId="12" xfId="1" applyNumberFormat="1" applyFont="1" applyFill="1" applyBorder="1" applyAlignment="1" applyProtection="1">
      <alignment horizontal="center" vertical="center" shrinkToFit="1"/>
      <protection hidden="1"/>
    </xf>
    <xf numFmtId="0" fontId="17" fillId="5" borderId="12" xfId="1" applyFont="1" applyFill="1" applyBorder="1" applyAlignment="1" applyProtection="1">
      <alignment horizontal="center" vertical="center" shrinkToFit="1"/>
      <protection hidden="1"/>
    </xf>
    <xf numFmtId="178" fontId="18" fillId="5" borderId="12" xfId="1" applyNumberFormat="1" applyFont="1" applyFill="1" applyBorder="1" applyAlignment="1" applyProtection="1">
      <alignment horizontal="center" shrinkToFit="1"/>
      <protection locked="0"/>
    </xf>
    <xf numFmtId="178" fontId="18" fillId="5" borderId="13" xfId="1" applyNumberFormat="1" applyFont="1" applyFill="1" applyBorder="1" applyAlignment="1" applyProtection="1">
      <alignment horizontal="center" shrinkToFit="1"/>
      <protection locked="0"/>
    </xf>
    <xf numFmtId="0" fontId="3" fillId="0" borderId="0" xfId="1" applyFont="1" applyAlignment="1">
      <alignment horizontal="center" vertical="center"/>
    </xf>
    <xf numFmtId="0" fontId="10" fillId="2" borderId="53" xfId="1" applyFont="1" applyFill="1" applyBorder="1" applyAlignment="1" applyProtection="1">
      <alignment horizontal="center" vertical="center"/>
      <protection locked="0"/>
    </xf>
    <xf numFmtId="0" fontId="11" fillId="2" borderId="38" xfId="3" applyFill="1" applyBorder="1" applyAlignment="1" applyProtection="1">
      <alignment horizontal="center" vertical="center"/>
      <protection locked="0"/>
    </xf>
    <xf numFmtId="0" fontId="11" fillId="2" borderId="39" xfId="3" applyFill="1" applyBorder="1" applyAlignment="1" applyProtection="1">
      <alignment horizontal="center" vertical="center"/>
      <protection locked="0"/>
    </xf>
    <xf numFmtId="0" fontId="9" fillId="0" borderId="55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178" fontId="10" fillId="0" borderId="65" xfId="1" applyNumberFormat="1" applyFont="1" applyBorder="1" applyAlignment="1">
      <alignment horizontal="center" vertical="center" shrinkToFit="1"/>
    </xf>
    <xf numFmtId="180" fontId="9" fillId="0" borderId="61" xfId="1" applyNumberFormat="1" applyFont="1" applyBorder="1" applyAlignment="1">
      <alignment horizontal="center" vertical="center" wrapText="1" shrinkToFit="1"/>
    </xf>
    <xf numFmtId="176" fontId="9" fillId="0" borderId="62" xfId="1" applyNumberFormat="1" applyFont="1" applyBorder="1" applyAlignment="1">
      <alignment horizontal="center" vertical="center" wrapText="1"/>
    </xf>
    <xf numFmtId="180" fontId="9" fillId="0" borderId="62" xfId="1" applyNumberFormat="1" applyFont="1" applyBorder="1" applyAlignment="1">
      <alignment horizontal="center" vertical="center" wrapText="1" shrinkToFit="1"/>
    </xf>
    <xf numFmtId="180" fontId="9" fillId="0" borderId="63" xfId="1" applyNumberFormat="1" applyFont="1" applyBorder="1" applyAlignment="1">
      <alignment horizontal="center" vertical="center" wrapText="1" shrinkToFit="1"/>
    </xf>
    <xf numFmtId="0" fontId="18" fillId="5" borderId="16" xfId="1" applyFont="1" applyFill="1" applyBorder="1" applyAlignment="1" applyProtection="1">
      <alignment horizontal="center" shrinkToFit="1"/>
      <protection locked="0"/>
    </xf>
    <xf numFmtId="0" fontId="17" fillId="5" borderId="6" xfId="1" applyFont="1" applyFill="1" applyBorder="1" applyAlignment="1">
      <alignment horizontal="center" vertical="center" shrinkToFit="1"/>
    </xf>
    <xf numFmtId="177" fontId="17" fillId="5" borderId="6" xfId="1" applyNumberFormat="1" applyFont="1" applyFill="1" applyBorder="1" applyAlignment="1">
      <alignment horizontal="center" vertical="center" shrinkToFit="1"/>
    </xf>
    <xf numFmtId="10" fontId="17" fillId="5" borderId="6" xfId="1" applyNumberFormat="1" applyFont="1" applyFill="1" applyBorder="1" applyAlignment="1" applyProtection="1">
      <alignment horizontal="center" vertical="center" shrinkToFit="1"/>
      <protection hidden="1"/>
    </xf>
    <xf numFmtId="0" fontId="17" fillId="5" borderId="6" xfId="1" applyFont="1" applyFill="1" applyBorder="1" applyAlignment="1" applyProtection="1">
      <alignment horizontal="center" vertical="center" shrinkToFit="1"/>
      <protection hidden="1"/>
    </xf>
    <xf numFmtId="178" fontId="18" fillId="5" borderId="6" xfId="1" applyNumberFormat="1" applyFont="1" applyFill="1" applyBorder="1" applyAlignment="1" applyProtection="1">
      <alignment horizontal="center" shrinkToFit="1"/>
      <protection locked="0"/>
    </xf>
    <xf numFmtId="178" fontId="18" fillId="5" borderId="7" xfId="1" applyNumberFormat="1" applyFont="1" applyFill="1" applyBorder="1" applyAlignment="1" applyProtection="1">
      <alignment horizontal="center" shrinkToFit="1"/>
      <protection locked="0"/>
    </xf>
    <xf numFmtId="180" fontId="9" fillId="0" borderId="64" xfId="1" applyNumberFormat="1" applyFont="1" applyBorder="1" applyAlignment="1">
      <alignment horizontal="center" vertical="center" wrapText="1" shrinkToFit="1"/>
    </xf>
    <xf numFmtId="0" fontId="18" fillId="5" borderId="15" xfId="1" applyFont="1" applyFill="1" applyBorder="1" applyAlignment="1" applyProtection="1">
      <alignment horizontal="center" shrinkToFit="1"/>
      <protection locked="0"/>
    </xf>
    <xf numFmtId="0" fontId="18" fillId="5" borderId="22" xfId="1" applyFont="1" applyFill="1" applyBorder="1" applyAlignment="1" applyProtection="1">
      <alignment horizontal="center" shrinkToFit="1"/>
      <protection locked="0"/>
    </xf>
    <xf numFmtId="0" fontId="18" fillId="5" borderId="52" xfId="1" applyFont="1" applyFill="1" applyBorder="1" applyAlignment="1" applyProtection="1">
      <alignment horizontal="center" shrinkToFit="1"/>
      <protection locked="0"/>
    </xf>
    <xf numFmtId="178" fontId="18" fillId="5" borderId="16" xfId="1" applyNumberFormat="1" applyFont="1" applyFill="1" applyBorder="1" applyAlignment="1" applyProtection="1">
      <alignment horizontal="center" shrinkToFit="1"/>
      <protection locked="0"/>
    </xf>
    <xf numFmtId="178" fontId="18" fillId="5" borderId="23" xfId="1" applyNumberFormat="1" applyFont="1" applyFill="1" applyBorder="1" applyAlignment="1" applyProtection="1">
      <alignment horizontal="center" shrinkToFit="1"/>
      <protection locked="0"/>
    </xf>
    <xf numFmtId="178" fontId="18" fillId="5" borderId="11" xfId="1" applyNumberFormat="1" applyFont="1" applyFill="1" applyBorder="1" applyAlignment="1" applyProtection="1">
      <alignment horizontal="center" shrinkToFit="1"/>
      <protection locked="0"/>
    </xf>
    <xf numFmtId="0" fontId="18" fillId="5" borderId="7" xfId="1" applyFont="1" applyFill="1" applyBorder="1" applyAlignment="1" applyProtection="1">
      <alignment horizontal="center" shrinkToFit="1"/>
      <protection locked="0"/>
    </xf>
    <xf numFmtId="0" fontId="18" fillId="5" borderId="24" xfId="1" applyFont="1" applyFill="1" applyBorder="1" applyAlignment="1" applyProtection="1">
      <alignment horizontal="center" shrinkToFit="1"/>
      <protection locked="0"/>
    </xf>
    <xf numFmtId="0" fontId="18" fillId="5" borderId="13" xfId="1" applyFont="1" applyFill="1" applyBorder="1" applyAlignment="1" applyProtection="1">
      <alignment horizontal="center" shrinkToFit="1"/>
      <protection locked="0"/>
    </xf>
    <xf numFmtId="0" fontId="3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40" xfId="1" applyFont="1" applyBorder="1" applyAlignment="1">
      <alignment horizontal="center" vertical="center"/>
    </xf>
    <xf numFmtId="0" fontId="9" fillId="0" borderId="41" xfId="1" applyFont="1" applyBorder="1" applyAlignment="1">
      <alignment horizontal="center" vertical="center"/>
    </xf>
    <xf numFmtId="0" fontId="9" fillId="0" borderId="42" xfId="1" applyFont="1" applyBorder="1" applyAlignment="1">
      <alignment horizontal="center" vertical="center"/>
    </xf>
    <xf numFmtId="0" fontId="13" fillId="0" borderId="48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40" xfId="1" applyFont="1" applyBorder="1" applyAlignment="1">
      <alignment horizontal="center" vertical="center" wrapText="1"/>
    </xf>
    <xf numFmtId="0" fontId="9" fillId="0" borderId="41" xfId="1" applyFont="1" applyBorder="1" applyAlignment="1">
      <alignment horizontal="center" vertical="center" wrapText="1"/>
    </xf>
    <xf numFmtId="0" fontId="9" fillId="0" borderId="60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/>
    </xf>
  </cellXfs>
  <cellStyles count="7">
    <cellStyle name="百分比 2" xfId="6" xr:uid="{AE475A6B-0E40-435F-971B-FDA91B73FBA1}"/>
    <cellStyle name="常规" xfId="0" builtinId="0"/>
    <cellStyle name="常规 10" xfId="1" xr:uid="{F723920F-F75D-4F81-934C-9FABB1331B70}"/>
    <cellStyle name="常规 16" xfId="3" xr:uid="{98CBDDE8-0486-4B0F-B668-45F0435B91F6}"/>
    <cellStyle name="常规 16 4_第二批分班名单" xfId="4" xr:uid="{F0205C33-20CC-4D67-A29D-E760F2F4A337}"/>
    <cellStyle name="常规 2 10" xfId="5" xr:uid="{24750E53-BF1F-4FD0-9F33-27E174DA375D}"/>
    <cellStyle name="常规_八06.10" xfId="2" xr:uid="{C2496726-88D3-4A45-BFCE-302E12B892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F12C-F4E1-4984-BA96-27479A734F3D}">
  <sheetPr>
    <tabColor theme="4" tint="-0.249977111117893"/>
  </sheetPr>
  <dimension ref="A1:DD197"/>
  <sheetViews>
    <sheetView topLeftCell="A121" zoomScaleNormal="100" zoomScaleSheetLayoutView="100" workbookViewId="0">
      <selection activeCell="W117" sqref="W117:X124"/>
    </sheetView>
  </sheetViews>
  <sheetFormatPr defaultColWidth="9" defaultRowHeight="12.95" customHeight="1" x14ac:dyDescent="0.2"/>
  <cols>
    <col min="1" max="1" width="0.75" style="1" customWidth="1"/>
    <col min="2" max="3" width="3.625" style="1" customWidth="1"/>
    <col min="4" max="4" width="4.5" style="1" customWidth="1"/>
    <col min="5" max="5" width="5.375" style="1" customWidth="1"/>
    <col min="6" max="6" width="4.75" style="1" customWidth="1"/>
    <col min="7" max="24" width="5.125" style="1" customWidth="1"/>
    <col min="25" max="108" width="9" style="24"/>
    <col min="109" max="16384" width="9" style="1"/>
  </cols>
  <sheetData>
    <row r="1" spans="2:108" ht="17.25" customHeight="1" x14ac:dyDescent="0.2">
      <c r="B1" s="325" t="s">
        <v>100</v>
      </c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297"/>
    </row>
    <row r="2" spans="2:108" s="5" customFormat="1" ht="15" customHeight="1" thickBot="1" x14ac:dyDescent="0.25">
      <c r="B2" s="2" t="s">
        <v>0</v>
      </c>
      <c r="C2" s="2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</row>
    <row r="3" spans="2:108" s="6" customFormat="1" ht="13.5" customHeight="1" thickBot="1" x14ac:dyDescent="0.25">
      <c r="B3" s="326" t="s">
        <v>1</v>
      </c>
      <c r="C3" s="328" t="s">
        <v>77</v>
      </c>
      <c r="D3" s="330" t="s">
        <v>2</v>
      </c>
      <c r="E3" s="326" t="s">
        <v>3</v>
      </c>
      <c r="F3" s="332" t="s">
        <v>112</v>
      </c>
      <c r="G3" s="213"/>
      <c r="H3" s="254" t="s">
        <v>5</v>
      </c>
      <c r="I3" s="254"/>
      <c r="J3" s="254"/>
      <c r="K3" s="254"/>
      <c r="L3" s="254"/>
      <c r="M3" s="254"/>
      <c r="N3" s="247" t="s">
        <v>6</v>
      </c>
      <c r="O3" s="248"/>
      <c r="P3" s="248"/>
      <c r="Q3" s="248"/>
      <c r="R3" s="248"/>
      <c r="S3" s="248"/>
      <c r="T3" s="248"/>
      <c r="U3" s="248"/>
      <c r="V3" s="248"/>
      <c r="W3" s="249"/>
      <c r="X3" s="249"/>
      <c r="Y3" s="201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</row>
    <row r="4" spans="2:108" s="6" customFormat="1" ht="40.5" customHeight="1" thickBot="1" x14ac:dyDescent="0.25">
      <c r="B4" s="327"/>
      <c r="C4" s="329"/>
      <c r="D4" s="331"/>
      <c r="E4" s="327"/>
      <c r="F4" s="333"/>
      <c r="G4" s="256" t="s">
        <v>124</v>
      </c>
      <c r="H4" s="153" t="s">
        <v>126</v>
      </c>
      <c r="I4" s="153" t="s">
        <v>128</v>
      </c>
      <c r="J4" s="153" t="s">
        <v>130</v>
      </c>
      <c r="K4" s="153" t="s">
        <v>132</v>
      </c>
      <c r="L4" s="153" t="s">
        <v>134</v>
      </c>
      <c r="M4" s="258" t="s">
        <v>136</v>
      </c>
      <c r="N4" s="304" t="s">
        <v>107</v>
      </c>
      <c r="O4" s="207" t="s">
        <v>18</v>
      </c>
      <c r="P4" s="207" t="s">
        <v>19</v>
      </c>
      <c r="Q4" s="207" t="s">
        <v>111</v>
      </c>
      <c r="R4" s="207" t="s">
        <v>20</v>
      </c>
      <c r="S4" s="305" t="s">
        <v>21</v>
      </c>
      <c r="T4" s="305" t="s">
        <v>110</v>
      </c>
      <c r="U4" s="306" t="s">
        <v>22</v>
      </c>
      <c r="V4" s="315" t="s">
        <v>111</v>
      </c>
      <c r="W4" s="304" t="s">
        <v>138</v>
      </c>
      <c r="X4" s="307" t="s">
        <v>112</v>
      </c>
      <c r="Y4" s="200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</row>
    <row r="5" spans="2:108" ht="14.25" customHeight="1" x14ac:dyDescent="0.35">
      <c r="B5" s="259" t="s">
        <v>64</v>
      </c>
      <c r="C5" s="260"/>
      <c r="D5" s="261"/>
      <c r="E5" s="262"/>
      <c r="F5" s="263"/>
      <c r="G5" s="264"/>
      <c r="H5" s="265"/>
      <c r="I5" s="265"/>
      <c r="J5" s="265"/>
      <c r="K5" s="265"/>
      <c r="L5" s="265"/>
      <c r="M5" s="266"/>
      <c r="N5" s="308"/>
      <c r="O5" s="309"/>
      <c r="P5" s="310"/>
      <c r="Q5" s="309"/>
      <c r="R5" s="309"/>
      <c r="S5" s="311"/>
      <c r="T5" s="312"/>
      <c r="U5" s="313"/>
      <c r="V5" s="316"/>
      <c r="W5" s="319">
        <f>Q5*-3+T5*-1+V5*-1</f>
        <v>0</v>
      </c>
      <c r="X5" s="322"/>
      <c r="Y5" s="201"/>
      <c r="CZ5" s="1"/>
      <c r="DA5" s="1"/>
      <c r="DB5" s="1"/>
      <c r="DC5" s="1"/>
      <c r="DD5" s="1"/>
    </row>
    <row r="6" spans="2:108" ht="14.25" customHeight="1" x14ac:dyDescent="0.35">
      <c r="B6" s="267" t="s">
        <v>65</v>
      </c>
      <c r="C6" s="268"/>
      <c r="D6" s="269"/>
      <c r="E6" s="270"/>
      <c r="F6" s="271"/>
      <c r="G6" s="272"/>
      <c r="H6" s="273"/>
      <c r="I6" s="273"/>
      <c r="J6" s="273"/>
      <c r="K6" s="273"/>
      <c r="L6" s="273"/>
      <c r="M6" s="274"/>
      <c r="N6" s="275"/>
      <c r="O6" s="276"/>
      <c r="P6" s="277"/>
      <c r="Q6" s="276"/>
      <c r="R6" s="276"/>
      <c r="S6" s="278"/>
      <c r="T6" s="279"/>
      <c r="U6" s="280"/>
      <c r="V6" s="317"/>
      <c r="W6" s="320">
        <f>Q6*-3+T6*-1+V6*-1</f>
        <v>0</v>
      </c>
      <c r="X6" s="323"/>
      <c r="Y6" s="200"/>
      <c r="CZ6" s="1"/>
      <c r="DA6" s="1"/>
      <c r="DB6" s="1"/>
      <c r="DC6" s="1"/>
      <c r="DD6" s="1"/>
    </row>
    <row r="7" spans="2:108" ht="14.25" customHeight="1" x14ac:dyDescent="0.35">
      <c r="B7" s="267" t="s">
        <v>168</v>
      </c>
      <c r="C7" s="268"/>
      <c r="D7" s="269"/>
      <c r="E7" s="270"/>
      <c r="F7" s="271"/>
      <c r="G7" s="272"/>
      <c r="H7" s="273"/>
      <c r="I7" s="273"/>
      <c r="J7" s="273"/>
      <c r="K7" s="273"/>
      <c r="L7" s="273"/>
      <c r="M7" s="274"/>
      <c r="N7" s="275"/>
      <c r="O7" s="276"/>
      <c r="P7" s="277"/>
      <c r="Q7" s="276"/>
      <c r="R7" s="276"/>
      <c r="S7" s="278"/>
      <c r="T7" s="279"/>
      <c r="U7" s="280"/>
      <c r="V7" s="317"/>
      <c r="W7" s="320">
        <f t="shared" ref="W7:W12" si="0">Q7*-3+T7*-1+V7*-1</f>
        <v>0</v>
      </c>
      <c r="X7" s="323"/>
      <c r="Y7" s="201"/>
      <c r="CZ7" s="1"/>
      <c r="DA7" s="1"/>
      <c r="DB7" s="1"/>
      <c r="DC7" s="1"/>
      <c r="DD7" s="1"/>
    </row>
    <row r="8" spans="2:108" ht="14.25" customHeight="1" x14ac:dyDescent="0.35">
      <c r="B8" s="267" t="s">
        <v>67</v>
      </c>
      <c r="C8" s="268"/>
      <c r="D8" s="269"/>
      <c r="E8" s="270"/>
      <c r="F8" s="271"/>
      <c r="G8" s="272"/>
      <c r="H8" s="273"/>
      <c r="I8" s="273"/>
      <c r="J8" s="273"/>
      <c r="K8" s="273"/>
      <c r="L8" s="273"/>
      <c r="M8" s="274"/>
      <c r="N8" s="275"/>
      <c r="O8" s="276"/>
      <c r="P8" s="277"/>
      <c r="Q8" s="276"/>
      <c r="R8" s="276"/>
      <c r="S8" s="278"/>
      <c r="T8" s="279"/>
      <c r="U8" s="280"/>
      <c r="V8" s="317"/>
      <c r="W8" s="320">
        <f t="shared" si="0"/>
        <v>0</v>
      </c>
      <c r="X8" s="323"/>
      <c r="Y8" s="200"/>
      <c r="CZ8" s="1"/>
      <c r="DA8" s="1"/>
      <c r="DB8" s="1"/>
      <c r="DC8" s="1"/>
      <c r="DD8" s="1"/>
    </row>
    <row r="9" spans="2:108" ht="14.25" customHeight="1" x14ac:dyDescent="0.35">
      <c r="B9" s="267" t="s">
        <v>68</v>
      </c>
      <c r="C9" s="268"/>
      <c r="D9" s="269"/>
      <c r="E9" s="270"/>
      <c r="F9" s="271"/>
      <c r="G9" s="272"/>
      <c r="H9" s="273"/>
      <c r="I9" s="273"/>
      <c r="J9" s="273"/>
      <c r="K9" s="273"/>
      <c r="L9" s="273"/>
      <c r="M9" s="274"/>
      <c r="N9" s="275"/>
      <c r="O9" s="276"/>
      <c r="P9" s="277"/>
      <c r="Q9" s="276"/>
      <c r="R9" s="276"/>
      <c r="S9" s="278"/>
      <c r="T9" s="279"/>
      <c r="U9" s="280"/>
      <c r="V9" s="317"/>
      <c r="W9" s="320">
        <f t="shared" si="0"/>
        <v>0</v>
      </c>
      <c r="X9" s="323"/>
      <c r="Y9" s="201"/>
      <c r="CZ9" s="1"/>
      <c r="DA9" s="1"/>
      <c r="DB9" s="1"/>
      <c r="DC9" s="1"/>
      <c r="DD9" s="1"/>
    </row>
    <row r="10" spans="2:108" ht="14.25" customHeight="1" x14ac:dyDescent="0.35">
      <c r="B10" s="267" t="s">
        <v>69</v>
      </c>
      <c r="C10" s="268"/>
      <c r="D10" s="269"/>
      <c r="E10" s="270"/>
      <c r="F10" s="271"/>
      <c r="G10" s="272"/>
      <c r="H10" s="273"/>
      <c r="I10" s="273"/>
      <c r="J10" s="273"/>
      <c r="K10" s="273"/>
      <c r="L10" s="273"/>
      <c r="M10" s="274"/>
      <c r="N10" s="275"/>
      <c r="O10" s="276"/>
      <c r="P10" s="277"/>
      <c r="Q10" s="276"/>
      <c r="R10" s="276"/>
      <c r="S10" s="278"/>
      <c r="T10" s="279"/>
      <c r="U10" s="280"/>
      <c r="V10" s="317"/>
      <c r="W10" s="320">
        <f t="shared" si="0"/>
        <v>0</v>
      </c>
      <c r="X10" s="323"/>
      <c r="Y10" s="200"/>
      <c r="CZ10" s="1"/>
      <c r="DA10" s="1"/>
      <c r="DB10" s="1"/>
      <c r="DC10" s="1"/>
      <c r="DD10" s="1"/>
    </row>
    <row r="11" spans="2:108" ht="14.25" customHeight="1" x14ac:dyDescent="0.35">
      <c r="B11" s="267" t="s">
        <v>70</v>
      </c>
      <c r="C11" s="268"/>
      <c r="D11" s="269"/>
      <c r="E11" s="270"/>
      <c r="F11" s="271"/>
      <c r="G11" s="272"/>
      <c r="H11" s="273"/>
      <c r="I11" s="273"/>
      <c r="J11" s="273"/>
      <c r="K11" s="273"/>
      <c r="L11" s="273"/>
      <c r="M11" s="274"/>
      <c r="N11" s="275"/>
      <c r="O11" s="276"/>
      <c r="P11" s="277"/>
      <c r="Q11" s="276"/>
      <c r="R11" s="276"/>
      <c r="S11" s="278"/>
      <c r="T11" s="279"/>
      <c r="U11" s="280"/>
      <c r="V11" s="317"/>
      <c r="W11" s="320">
        <f t="shared" si="0"/>
        <v>0</v>
      </c>
      <c r="X11" s="323"/>
      <c r="Y11" s="201"/>
      <c r="CZ11" s="1"/>
      <c r="DA11" s="1"/>
      <c r="DB11" s="1"/>
      <c r="DC11" s="1"/>
      <c r="DD11" s="1"/>
    </row>
    <row r="12" spans="2:108" ht="14.25" customHeight="1" thickBot="1" x14ac:dyDescent="0.4">
      <c r="B12" s="282" t="s">
        <v>169</v>
      </c>
      <c r="C12" s="283"/>
      <c r="D12" s="284"/>
      <c r="E12" s="285"/>
      <c r="F12" s="286"/>
      <c r="G12" s="287"/>
      <c r="H12" s="288"/>
      <c r="I12" s="288"/>
      <c r="J12" s="288"/>
      <c r="K12" s="288"/>
      <c r="L12" s="288"/>
      <c r="M12" s="289"/>
      <c r="N12" s="290"/>
      <c r="O12" s="291"/>
      <c r="P12" s="292"/>
      <c r="Q12" s="291"/>
      <c r="R12" s="291"/>
      <c r="S12" s="293"/>
      <c r="T12" s="294"/>
      <c r="U12" s="295"/>
      <c r="V12" s="318"/>
      <c r="W12" s="320">
        <f t="shared" si="0"/>
        <v>0</v>
      </c>
      <c r="X12" s="324"/>
      <c r="Y12" s="200"/>
      <c r="CZ12" s="1"/>
      <c r="DA12" s="1"/>
      <c r="DB12" s="1"/>
      <c r="DC12" s="1"/>
      <c r="DD12" s="1"/>
    </row>
    <row r="13" spans="2:108" ht="14.25" customHeight="1" thickBot="1" x14ac:dyDescent="0.25">
      <c r="B13" s="171"/>
      <c r="C13" s="241"/>
      <c r="D13" s="250"/>
      <c r="E13" s="251"/>
      <c r="F13" s="252"/>
      <c r="G13" s="255"/>
      <c r="H13" s="245"/>
      <c r="I13" s="245"/>
      <c r="J13" s="245"/>
      <c r="K13" s="245"/>
      <c r="L13" s="245"/>
      <c r="M13" s="246"/>
      <c r="N13" s="257"/>
      <c r="O13" s="192">
        <f>SUM(O5:O12)</f>
        <v>0</v>
      </c>
      <c r="P13" s="191" t="e">
        <f>AVERAGE(P5:P12)</f>
        <v>#DIV/0!</v>
      </c>
      <c r="Q13" s="191"/>
      <c r="R13" s="192">
        <f>SUM(R5:R12)</f>
        <v>0</v>
      </c>
      <c r="S13" s="191" t="e">
        <f>AVERAGE(S5:S12)</f>
        <v>#DIV/0!</v>
      </c>
      <c r="T13" s="191"/>
      <c r="U13" s="253" t="e">
        <f>AVERAGE(U5:U12)</f>
        <v>#DIV/0!</v>
      </c>
      <c r="V13" s="303"/>
      <c r="W13" s="257"/>
      <c r="X13" s="193"/>
      <c r="Y13" s="201"/>
      <c r="CZ13" s="1"/>
      <c r="DA13" s="1"/>
      <c r="DB13" s="1"/>
      <c r="DC13" s="1"/>
      <c r="DD13" s="1"/>
    </row>
    <row r="14" spans="2:108" ht="14.25" customHeight="1" x14ac:dyDescent="0.2">
      <c r="B14" s="15"/>
      <c r="C14" s="15"/>
      <c r="D14" s="174"/>
      <c r="E14" s="15"/>
      <c r="F14" s="15"/>
      <c r="G14" s="1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</row>
    <row r="15" spans="2:108" ht="14.25" customHeight="1" x14ac:dyDescent="0.2">
      <c r="B15" s="15"/>
      <c r="C15" s="15"/>
      <c r="D15" s="174"/>
      <c r="E15" s="15"/>
      <c r="F15" s="15"/>
      <c r="G15" s="1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</row>
    <row r="16" spans="2:108" ht="14.25" customHeight="1" x14ac:dyDescent="0.2">
      <c r="B16" s="15"/>
      <c r="C16" s="15"/>
      <c r="D16" s="174"/>
      <c r="E16" s="15"/>
      <c r="F16" s="15"/>
      <c r="G16" s="1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</row>
    <row r="17" spans="1:108" ht="14.25" customHeight="1" x14ac:dyDescent="0.2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108" ht="50.25" customHeight="1" thickBot="1" x14ac:dyDescent="0.25">
      <c r="B18" s="17" t="s">
        <v>23</v>
      </c>
      <c r="C18" s="17"/>
    </row>
    <row r="19" spans="1:108" ht="18" customHeight="1" thickBot="1" x14ac:dyDescent="0.25">
      <c r="A19" s="6"/>
      <c r="B19" s="326" t="s">
        <v>1</v>
      </c>
      <c r="C19" s="328" t="s">
        <v>77</v>
      </c>
      <c r="D19" s="330" t="s">
        <v>2</v>
      </c>
      <c r="E19" s="326" t="s">
        <v>3</v>
      </c>
      <c r="F19" s="332" t="s">
        <v>112</v>
      </c>
      <c r="G19" s="213"/>
      <c r="H19" s="254" t="s">
        <v>5</v>
      </c>
      <c r="I19" s="254"/>
      <c r="J19" s="254"/>
      <c r="K19" s="254"/>
      <c r="L19" s="254"/>
      <c r="M19" s="254"/>
      <c r="N19" s="247" t="s">
        <v>6</v>
      </c>
      <c r="O19" s="248"/>
      <c r="P19" s="248"/>
      <c r="Q19" s="248"/>
      <c r="R19" s="248"/>
      <c r="S19" s="248"/>
      <c r="T19" s="248"/>
      <c r="U19" s="248"/>
      <c r="V19" s="248"/>
      <c r="W19" s="249"/>
      <c r="X19" s="249"/>
      <c r="CX19" s="1"/>
      <c r="CY19" s="1"/>
      <c r="CZ19" s="1"/>
      <c r="DA19" s="1"/>
      <c r="DB19" s="1"/>
      <c r="DC19" s="1"/>
      <c r="DD19" s="1"/>
    </row>
    <row r="20" spans="1:108" s="6" customFormat="1" ht="36" customHeight="1" thickBot="1" x14ac:dyDescent="0.25">
      <c r="B20" s="327"/>
      <c r="C20" s="329"/>
      <c r="D20" s="331"/>
      <c r="E20" s="327"/>
      <c r="F20" s="333"/>
      <c r="G20" s="256" t="s">
        <v>123</v>
      </c>
      <c r="H20" s="153" t="s">
        <v>125</v>
      </c>
      <c r="I20" s="153" t="s">
        <v>127</v>
      </c>
      <c r="J20" s="153" t="s">
        <v>129</v>
      </c>
      <c r="K20" s="153" t="s">
        <v>131</v>
      </c>
      <c r="L20" s="153" t="s">
        <v>133</v>
      </c>
      <c r="M20" s="258" t="s">
        <v>135</v>
      </c>
      <c r="N20" s="304" t="s">
        <v>107</v>
      </c>
      <c r="O20" s="207" t="s">
        <v>18</v>
      </c>
      <c r="P20" s="207" t="s">
        <v>19</v>
      </c>
      <c r="Q20" s="207" t="s">
        <v>111</v>
      </c>
      <c r="R20" s="207" t="s">
        <v>20</v>
      </c>
      <c r="S20" s="305" t="s">
        <v>21</v>
      </c>
      <c r="T20" s="305" t="s">
        <v>110</v>
      </c>
      <c r="U20" s="306" t="s">
        <v>22</v>
      </c>
      <c r="V20" s="315" t="s">
        <v>111</v>
      </c>
      <c r="W20" s="304" t="s">
        <v>3</v>
      </c>
      <c r="X20" s="307" t="s">
        <v>137</v>
      </c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</row>
    <row r="21" spans="1:108" s="6" customFormat="1" ht="17.25" customHeight="1" x14ac:dyDescent="0.35">
      <c r="A21" s="1"/>
      <c r="B21" s="259" t="s">
        <v>75</v>
      </c>
      <c r="C21" s="260"/>
      <c r="D21" s="261"/>
      <c r="E21" s="262"/>
      <c r="F21" s="263"/>
      <c r="G21" s="264"/>
      <c r="H21" s="265"/>
      <c r="I21" s="265"/>
      <c r="J21" s="265"/>
      <c r="K21" s="265"/>
      <c r="L21" s="265"/>
      <c r="M21" s="266"/>
      <c r="N21" s="308"/>
      <c r="O21" s="309"/>
      <c r="P21" s="310"/>
      <c r="Q21" s="309"/>
      <c r="R21" s="309"/>
      <c r="S21" s="311"/>
      <c r="T21" s="312"/>
      <c r="U21" s="313"/>
      <c r="V21" s="316"/>
      <c r="W21" s="319">
        <f>Q21*-3+T21*-1+V21*-1</f>
        <v>0</v>
      </c>
      <c r="X21" s="322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</row>
    <row r="22" spans="1:108" ht="15.75" customHeight="1" x14ac:dyDescent="0.35">
      <c r="B22" s="267" t="s">
        <v>76</v>
      </c>
      <c r="C22" s="268"/>
      <c r="D22" s="269"/>
      <c r="E22" s="270"/>
      <c r="F22" s="271"/>
      <c r="G22" s="272"/>
      <c r="H22" s="273"/>
      <c r="I22" s="273"/>
      <c r="J22" s="273"/>
      <c r="K22" s="273"/>
      <c r="L22" s="273"/>
      <c r="M22" s="274"/>
      <c r="N22" s="275"/>
      <c r="O22" s="276"/>
      <c r="P22" s="277"/>
      <c r="Q22" s="276"/>
      <c r="R22" s="276"/>
      <c r="S22" s="278"/>
      <c r="T22" s="279"/>
      <c r="U22" s="280"/>
      <c r="V22" s="317"/>
      <c r="W22" s="320">
        <f>Q22*-3+T22*-1+V22*-1</f>
        <v>0</v>
      </c>
      <c r="X22" s="323"/>
      <c r="CX22" s="1"/>
      <c r="CY22" s="1"/>
      <c r="CZ22" s="1"/>
      <c r="DA22" s="1"/>
      <c r="DB22" s="1"/>
      <c r="DC22" s="1"/>
      <c r="DD22" s="1"/>
    </row>
    <row r="23" spans="1:108" ht="15.75" customHeight="1" x14ac:dyDescent="0.35">
      <c r="B23" s="267" t="s">
        <v>66</v>
      </c>
      <c r="C23" s="268"/>
      <c r="D23" s="269"/>
      <c r="E23" s="270"/>
      <c r="F23" s="271"/>
      <c r="G23" s="272"/>
      <c r="H23" s="273"/>
      <c r="I23" s="273"/>
      <c r="J23" s="273"/>
      <c r="K23" s="273"/>
      <c r="L23" s="273"/>
      <c r="M23" s="274"/>
      <c r="N23" s="275"/>
      <c r="O23" s="276"/>
      <c r="P23" s="277"/>
      <c r="Q23" s="276"/>
      <c r="R23" s="276"/>
      <c r="S23" s="278"/>
      <c r="T23" s="279"/>
      <c r="U23" s="280"/>
      <c r="V23" s="317"/>
      <c r="W23" s="320">
        <f t="shared" ref="W23:W28" si="1">Q23*-3+T23*-1+V23*-1</f>
        <v>0</v>
      </c>
      <c r="X23" s="323"/>
      <c r="CX23" s="1"/>
      <c r="CY23" s="1"/>
      <c r="CZ23" s="1"/>
      <c r="DA23" s="1"/>
      <c r="DB23" s="1"/>
      <c r="DC23" s="1"/>
      <c r="DD23" s="1"/>
    </row>
    <row r="24" spans="1:108" ht="15.75" customHeight="1" x14ac:dyDescent="0.35">
      <c r="B24" s="267" t="s">
        <v>67</v>
      </c>
      <c r="C24" s="268"/>
      <c r="D24" s="269"/>
      <c r="E24" s="270"/>
      <c r="F24" s="271"/>
      <c r="G24" s="272"/>
      <c r="H24" s="273"/>
      <c r="I24" s="273"/>
      <c r="J24" s="273"/>
      <c r="K24" s="273"/>
      <c r="L24" s="273"/>
      <c r="M24" s="274"/>
      <c r="N24" s="275"/>
      <c r="O24" s="276"/>
      <c r="P24" s="277"/>
      <c r="Q24" s="276"/>
      <c r="R24" s="276"/>
      <c r="S24" s="278"/>
      <c r="T24" s="279"/>
      <c r="U24" s="280"/>
      <c r="V24" s="317"/>
      <c r="W24" s="320">
        <f t="shared" si="1"/>
        <v>0</v>
      </c>
      <c r="X24" s="323"/>
      <c r="CX24" s="1"/>
      <c r="CY24" s="1"/>
      <c r="CZ24" s="1"/>
      <c r="DA24" s="1"/>
      <c r="DB24" s="1"/>
      <c r="DC24" s="1"/>
      <c r="DD24" s="1"/>
    </row>
    <row r="25" spans="1:108" ht="15.75" customHeight="1" x14ac:dyDescent="0.35">
      <c r="B25" s="267" t="s">
        <v>68</v>
      </c>
      <c r="C25" s="268"/>
      <c r="D25" s="269"/>
      <c r="E25" s="270"/>
      <c r="F25" s="271"/>
      <c r="G25" s="272"/>
      <c r="H25" s="273"/>
      <c r="I25" s="273"/>
      <c r="J25" s="273"/>
      <c r="K25" s="273"/>
      <c r="L25" s="273"/>
      <c r="M25" s="274"/>
      <c r="N25" s="275"/>
      <c r="O25" s="276"/>
      <c r="P25" s="277"/>
      <c r="Q25" s="276"/>
      <c r="R25" s="276"/>
      <c r="S25" s="278"/>
      <c r="T25" s="279"/>
      <c r="U25" s="280"/>
      <c r="V25" s="317"/>
      <c r="W25" s="320">
        <f t="shared" si="1"/>
        <v>0</v>
      </c>
      <c r="X25" s="323"/>
      <c r="CX25" s="1"/>
      <c r="CY25" s="1"/>
      <c r="CZ25" s="1"/>
      <c r="DA25" s="1"/>
      <c r="DB25" s="1"/>
      <c r="DC25" s="1"/>
      <c r="DD25" s="1"/>
    </row>
    <row r="26" spans="1:108" ht="15.75" customHeight="1" x14ac:dyDescent="0.35">
      <c r="B26" s="267" t="s">
        <v>69</v>
      </c>
      <c r="C26" s="268"/>
      <c r="D26" s="269"/>
      <c r="E26" s="270"/>
      <c r="F26" s="271"/>
      <c r="G26" s="272"/>
      <c r="H26" s="273"/>
      <c r="I26" s="273"/>
      <c r="J26" s="273"/>
      <c r="K26" s="273"/>
      <c r="L26" s="273"/>
      <c r="M26" s="274"/>
      <c r="N26" s="275"/>
      <c r="O26" s="276"/>
      <c r="P26" s="277"/>
      <c r="Q26" s="276"/>
      <c r="R26" s="276"/>
      <c r="S26" s="278"/>
      <c r="T26" s="279"/>
      <c r="U26" s="280"/>
      <c r="V26" s="317"/>
      <c r="W26" s="320">
        <f t="shared" si="1"/>
        <v>0</v>
      </c>
      <c r="X26" s="323"/>
      <c r="CX26" s="1"/>
      <c r="CY26" s="1"/>
      <c r="CZ26" s="1"/>
      <c r="DA26" s="1"/>
      <c r="DB26" s="1"/>
      <c r="DC26" s="1"/>
      <c r="DD26" s="1"/>
    </row>
    <row r="27" spans="1:108" ht="15.75" customHeight="1" x14ac:dyDescent="0.35">
      <c r="B27" s="267" t="s">
        <v>70</v>
      </c>
      <c r="C27" s="268"/>
      <c r="D27" s="269"/>
      <c r="E27" s="270"/>
      <c r="F27" s="271"/>
      <c r="G27" s="272"/>
      <c r="H27" s="273"/>
      <c r="I27" s="273"/>
      <c r="J27" s="273"/>
      <c r="K27" s="273"/>
      <c r="L27" s="273"/>
      <c r="M27" s="274"/>
      <c r="N27" s="275"/>
      <c r="O27" s="276"/>
      <c r="P27" s="277"/>
      <c r="Q27" s="276"/>
      <c r="R27" s="276"/>
      <c r="S27" s="278"/>
      <c r="T27" s="279"/>
      <c r="U27" s="280"/>
      <c r="V27" s="317"/>
      <c r="W27" s="320">
        <f t="shared" si="1"/>
        <v>0</v>
      </c>
      <c r="X27" s="323"/>
      <c r="CX27" s="1"/>
      <c r="CY27" s="1"/>
      <c r="CZ27" s="1"/>
      <c r="DA27" s="1"/>
      <c r="DB27" s="1"/>
      <c r="DC27" s="1"/>
      <c r="DD27" s="1"/>
    </row>
    <row r="28" spans="1:108" ht="15.75" customHeight="1" thickBot="1" x14ac:dyDescent="0.4">
      <c r="B28" s="282" t="s">
        <v>71</v>
      </c>
      <c r="C28" s="283"/>
      <c r="D28" s="284"/>
      <c r="E28" s="285"/>
      <c r="F28" s="286"/>
      <c r="G28" s="287"/>
      <c r="H28" s="288"/>
      <c r="I28" s="288"/>
      <c r="J28" s="288"/>
      <c r="K28" s="288"/>
      <c r="L28" s="288"/>
      <c r="M28" s="289"/>
      <c r="N28" s="290"/>
      <c r="O28" s="291"/>
      <c r="P28" s="292"/>
      <c r="Q28" s="291"/>
      <c r="R28" s="291"/>
      <c r="S28" s="293"/>
      <c r="T28" s="294"/>
      <c r="U28" s="295"/>
      <c r="V28" s="318"/>
      <c r="W28" s="320">
        <f t="shared" si="1"/>
        <v>0</v>
      </c>
      <c r="X28" s="324"/>
      <c r="CX28" s="1"/>
      <c r="CY28" s="1"/>
      <c r="CZ28" s="1"/>
      <c r="DA28" s="1"/>
      <c r="DB28" s="1"/>
      <c r="DC28" s="1"/>
      <c r="DD28" s="1"/>
    </row>
    <row r="29" spans="1:108" ht="15.75" customHeight="1" thickBot="1" x14ac:dyDescent="0.25">
      <c r="B29" s="171"/>
      <c r="C29" s="241"/>
      <c r="D29" s="250"/>
      <c r="E29" s="251"/>
      <c r="F29" s="252"/>
      <c r="G29" s="255"/>
      <c r="H29" s="245"/>
      <c r="I29" s="245"/>
      <c r="J29" s="245"/>
      <c r="K29" s="245"/>
      <c r="L29" s="245"/>
      <c r="M29" s="246"/>
      <c r="N29" s="257"/>
      <c r="O29" s="192">
        <f>SUM(O21:O28)</f>
        <v>0</v>
      </c>
      <c r="P29" s="191" t="e">
        <f>AVERAGE(P21:P28)</f>
        <v>#DIV/0!</v>
      </c>
      <c r="Q29" s="191"/>
      <c r="R29" s="192">
        <f>SUM(R21:R28)</f>
        <v>0</v>
      </c>
      <c r="S29" s="191" t="e">
        <f>AVERAGE(S21:S28)</f>
        <v>#DIV/0!</v>
      </c>
      <c r="T29" s="191"/>
      <c r="U29" s="253" t="e">
        <f>AVERAGE(U21:U28)</f>
        <v>#DIV/0!</v>
      </c>
      <c r="V29" s="303"/>
      <c r="W29" s="257"/>
      <c r="X29" s="193"/>
      <c r="CX29" s="1"/>
      <c r="CY29" s="1"/>
      <c r="CZ29" s="1"/>
      <c r="DA29" s="1"/>
      <c r="DB29" s="1"/>
      <c r="DC29" s="1"/>
      <c r="DD29" s="1"/>
    </row>
    <row r="30" spans="1:108" ht="15.75" customHeight="1" x14ac:dyDescent="0.2">
      <c r="B30" s="15"/>
      <c r="C30" s="15"/>
      <c r="D30" s="174"/>
      <c r="E30" s="15"/>
      <c r="F30" s="15"/>
      <c r="G30" s="1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</row>
    <row r="31" spans="1:108" ht="15.75" customHeight="1" x14ac:dyDescent="0.2">
      <c r="B31" s="15"/>
      <c r="C31" s="15"/>
      <c r="D31" s="174"/>
      <c r="E31" s="15"/>
      <c r="F31" s="15"/>
      <c r="G31" s="1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</row>
    <row r="32" spans="1:108" ht="15.75" customHeight="1" x14ac:dyDescent="0.2">
      <c r="B32" s="15"/>
      <c r="C32" s="15"/>
      <c r="D32" s="174"/>
      <c r="E32" s="15"/>
      <c r="F32" s="15"/>
      <c r="G32" s="1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</row>
    <row r="33" spans="1:108" ht="15.75" customHeight="1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108" ht="58.5" customHeight="1" thickBot="1" x14ac:dyDescent="0.25">
      <c r="B34" s="17" t="s">
        <v>25</v>
      </c>
      <c r="C34" s="17"/>
    </row>
    <row r="35" spans="1:108" ht="15" customHeight="1" thickBot="1" x14ac:dyDescent="0.25">
      <c r="A35" s="6"/>
      <c r="B35" s="326" t="s">
        <v>1</v>
      </c>
      <c r="C35" s="328" t="s">
        <v>77</v>
      </c>
      <c r="D35" s="330" t="s">
        <v>2</v>
      </c>
      <c r="E35" s="326" t="s">
        <v>3</v>
      </c>
      <c r="F35" s="332" t="s">
        <v>112</v>
      </c>
      <c r="G35" s="213"/>
      <c r="H35" s="254" t="s">
        <v>5</v>
      </c>
      <c r="I35" s="254"/>
      <c r="J35" s="254"/>
      <c r="K35" s="254"/>
      <c r="L35" s="254"/>
      <c r="M35" s="254"/>
      <c r="N35" s="247" t="s">
        <v>6</v>
      </c>
      <c r="O35" s="248"/>
      <c r="P35" s="248"/>
      <c r="Q35" s="248"/>
      <c r="R35" s="248"/>
      <c r="S35" s="248"/>
      <c r="T35" s="248"/>
      <c r="U35" s="248"/>
      <c r="V35" s="248"/>
      <c r="W35" s="249"/>
      <c r="X35" s="249"/>
      <c r="CX35" s="1"/>
      <c r="CY35" s="1"/>
      <c r="CZ35" s="1"/>
      <c r="DA35" s="1"/>
      <c r="DB35" s="1"/>
      <c r="DC35" s="1"/>
      <c r="DD35" s="1"/>
    </row>
    <row r="36" spans="1:108" s="6" customFormat="1" ht="33.75" customHeight="1" thickBot="1" x14ac:dyDescent="0.25">
      <c r="B36" s="327"/>
      <c r="C36" s="329"/>
      <c r="D36" s="331"/>
      <c r="E36" s="327"/>
      <c r="F36" s="333"/>
      <c r="G36" s="256" t="s">
        <v>123</v>
      </c>
      <c r="H36" s="153" t="s">
        <v>125</v>
      </c>
      <c r="I36" s="153" t="s">
        <v>127</v>
      </c>
      <c r="J36" s="153" t="s">
        <v>129</v>
      </c>
      <c r="K36" s="153" t="s">
        <v>131</v>
      </c>
      <c r="L36" s="153" t="s">
        <v>133</v>
      </c>
      <c r="M36" s="258" t="s">
        <v>135</v>
      </c>
      <c r="N36" s="304" t="s">
        <v>107</v>
      </c>
      <c r="O36" s="207" t="s">
        <v>18</v>
      </c>
      <c r="P36" s="207" t="s">
        <v>19</v>
      </c>
      <c r="Q36" s="207" t="s">
        <v>111</v>
      </c>
      <c r="R36" s="207" t="s">
        <v>20</v>
      </c>
      <c r="S36" s="305" t="s">
        <v>21</v>
      </c>
      <c r="T36" s="305" t="s">
        <v>110</v>
      </c>
      <c r="U36" s="306" t="s">
        <v>22</v>
      </c>
      <c r="V36" s="315" t="s">
        <v>111</v>
      </c>
      <c r="W36" s="304" t="s">
        <v>3</v>
      </c>
      <c r="X36" s="307" t="s">
        <v>137</v>
      </c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</row>
    <row r="37" spans="1:108" s="6" customFormat="1" ht="15" customHeight="1" x14ac:dyDescent="0.35">
      <c r="A37" s="1"/>
      <c r="B37" s="259" t="s">
        <v>75</v>
      </c>
      <c r="C37" s="260"/>
      <c r="D37" s="261"/>
      <c r="E37" s="262"/>
      <c r="F37" s="263"/>
      <c r="G37" s="264"/>
      <c r="H37" s="265"/>
      <c r="I37" s="265"/>
      <c r="J37" s="265"/>
      <c r="K37" s="265"/>
      <c r="L37" s="265"/>
      <c r="M37" s="266"/>
      <c r="N37" s="308"/>
      <c r="O37" s="309"/>
      <c r="P37" s="310"/>
      <c r="Q37" s="309"/>
      <c r="R37" s="309"/>
      <c r="S37" s="311"/>
      <c r="T37" s="312"/>
      <c r="U37" s="313"/>
      <c r="V37" s="316"/>
      <c r="W37" s="319">
        <f>Q37*-3+T37*-1+V37*-1</f>
        <v>0</v>
      </c>
      <c r="X37" s="322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</row>
    <row r="38" spans="1:108" ht="15" customHeight="1" x14ac:dyDescent="0.35">
      <c r="B38" s="267" t="s">
        <v>76</v>
      </c>
      <c r="C38" s="268"/>
      <c r="D38" s="269"/>
      <c r="E38" s="270"/>
      <c r="F38" s="271"/>
      <c r="G38" s="272"/>
      <c r="H38" s="273"/>
      <c r="I38" s="273"/>
      <c r="J38" s="273"/>
      <c r="K38" s="273"/>
      <c r="L38" s="273"/>
      <c r="M38" s="274"/>
      <c r="N38" s="275"/>
      <c r="O38" s="276"/>
      <c r="P38" s="277"/>
      <c r="Q38" s="276"/>
      <c r="R38" s="276"/>
      <c r="S38" s="278"/>
      <c r="T38" s="279"/>
      <c r="U38" s="280"/>
      <c r="V38" s="317"/>
      <c r="W38" s="320">
        <f>Q38*-3+T38*-1+V38*-1</f>
        <v>0</v>
      </c>
      <c r="X38" s="323"/>
      <c r="CX38" s="1"/>
      <c r="CY38" s="1"/>
      <c r="CZ38" s="1"/>
      <c r="DA38" s="1"/>
      <c r="DB38" s="1"/>
      <c r="DC38" s="1"/>
      <c r="DD38" s="1"/>
    </row>
    <row r="39" spans="1:108" ht="15" customHeight="1" x14ac:dyDescent="0.35">
      <c r="B39" s="267" t="s">
        <v>66</v>
      </c>
      <c r="C39" s="268"/>
      <c r="D39" s="269"/>
      <c r="E39" s="270"/>
      <c r="F39" s="271"/>
      <c r="G39" s="272"/>
      <c r="H39" s="273"/>
      <c r="I39" s="273"/>
      <c r="J39" s="273"/>
      <c r="K39" s="273"/>
      <c r="L39" s="273"/>
      <c r="M39" s="274"/>
      <c r="N39" s="275"/>
      <c r="O39" s="276"/>
      <c r="P39" s="277"/>
      <c r="Q39" s="276"/>
      <c r="R39" s="276"/>
      <c r="S39" s="278"/>
      <c r="T39" s="279"/>
      <c r="U39" s="280"/>
      <c r="V39" s="317"/>
      <c r="W39" s="320">
        <f t="shared" ref="W39:W44" si="2">Q39*-3+T39*-1+V39*-1</f>
        <v>0</v>
      </c>
      <c r="X39" s="323"/>
      <c r="CX39" s="1"/>
      <c r="CY39" s="1"/>
      <c r="CZ39" s="1"/>
      <c r="DA39" s="1"/>
      <c r="DB39" s="1"/>
      <c r="DC39" s="1"/>
      <c r="DD39" s="1"/>
    </row>
    <row r="40" spans="1:108" ht="15" customHeight="1" x14ac:dyDescent="0.35">
      <c r="B40" s="267" t="s">
        <v>67</v>
      </c>
      <c r="C40" s="268"/>
      <c r="D40" s="269"/>
      <c r="E40" s="270"/>
      <c r="F40" s="271"/>
      <c r="G40" s="272"/>
      <c r="H40" s="273"/>
      <c r="I40" s="273"/>
      <c r="J40" s="273"/>
      <c r="K40" s="273"/>
      <c r="L40" s="273"/>
      <c r="M40" s="274"/>
      <c r="N40" s="275"/>
      <c r="O40" s="276"/>
      <c r="P40" s="277"/>
      <c r="Q40" s="276"/>
      <c r="R40" s="276"/>
      <c r="S40" s="278"/>
      <c r="T40" s="279"/>
      <c r="U40" s="280"/>
      <c r="V40" s="317"/>
      <c r="W40" s="320">
        <f t="shared" si="2"/>
        <v>0</v>
      </c>
      <c r="X40" s="323"/>
      <c r="CX40" s="1"/>
      <c r="CY40" s="1"/>
      <c r="CZ40" s="1"/>
      <c r="DA40" s="1"/>
      <c r="DB40" s="1"/>
      <c r="DC40" s="1"/>
      <c r="DD40" s="1"/>
    </row>
    <row r="41" spans="1:108" ht="15" customHeight="1" x14ac:dyDescent="0.35">
      <c r="B41" s="267" t="s">
        <v>68</v>
      </c>
      <c r="C41" s="268"/>
      <c r="D41" s="269"/>
      <c r="E41" s="270"/>
      <c r="F41" s="271"/>
      <c r="G41" s="272"/>
      <c r="H41" s="273"/>
      <c r="I41" s="273"/>
      <c r="J41" s="273"/>
      <c r="K41" s="273"/>
      <c r="L41" s="273"/>
      <c r="M41" s="274"/>
      <c r="N41" s="275"/>
      <c r="O41" s="276"/>
      <c r="P41" s="277"/>
      <c r="Q41" s="276"/>
      <c r="R41" s="276"/>
      <c r="S41" s="278"/>
      <c r="T41" s="279"/>
      <c r="U41" s="280"/>
      <c r="V41" s="317"/>
      <c r="W41" s="320">
        <f t="shared" si="2"/>
        <v>0</v>
      </c>
      <c r="X41" s="323"/>
      <c r="CX41" s="1"/>
      <c r="CY41" s="1"/>
      <c r="CZ41" s="1"/>
      <c r="DA41" s="1"/>
      <c r="DB41" s="1"/>
      <c r="DC41" s="1"/>
      <c r="DD41" s="1"/>
    </row>
    <row r="42" spans="1:108" ht="15" customHeight="1" x14ac:dyDescent="0.35">
      <c r="B42" s="267" t="s">
        <v>69</v>
      </c>
      <c r="C42" s="268"/>
      <c r="D42" s="269"/>
      <c r="E42" s="270"/>
      <c r="F42" s="271"/>
      <c r="G42" s="272"/>
      <c r="H42" s="273"/>
      <c r="I42" s="273"/>
      <c r="J42" s="273"/>
      <c r="K42" s="273"/>
      <c r="L42" s="273"/>
      <c r="M42" s="274"/>
      <c r="N42" s="275"/>
      <c r="O42" s="276"/>
      <c r="P42" s="277"/>
      <c r="Q42" s="276"/>
      <c r="R42" s="276"/>
      <c r="S42" s="278"/>
      <c r="T42" s="279"/>
      <c r="U42" s="280"/>
      <c r="V42" s="317"/>
      <c r="W42" s="320">
        <f t="shared" si="2"/>
        <v>0</v>
      </c>
      <c r="X42" s="323"/>
      <c r="CX42" s="1"/>
      <c r="CY42" s="1"/>
      <c r="CZ42" s="1"/>
      <c r="DA42" s="1"/>
      <c r="DB42" s="1"/>
      <c r="DC42" s="1"/>
      <c r="DD42" s="1"/>
    </row>
    <row r="43" spans="1:108" ht="15" customHeight="1" x14ac:dyDescent="0.35">
      <c r="B43" s="267" t="s">
        <v>70</v>
      </c>
      <c r="C43" s="268"/>
      <c r="D43" s="269"/>
      <c r="E43" s="270"/>
      <c r="F43" s="271"/>
      <c r="G43" s="272"/>
      <c r="H43" s="273"/>
      <c r="I43" s="273"/>
      <c r="J43" s="273"/>
      <c r="K43" s="273"/>
      <c r="L43" s="273"/>
      <c r="M43" s="274"/>
      <c r="N43" s="275"/>
      <c r="O43" s="276"/>
      <c r="P43" s="277"/>
      <c r="Q43" s="276"/>
      <c r="R43" s="276"/>
      <c r="S43" s="278"/>
      <c r="T43" s="279"/>
      <c r="U43" s="280"/>
      <c r="V43" s="317"/>
      <c r="W43" s="320">
        <f t="shared" si="2"/>
        <v>0</v>
      </c>
      <c r="X43" s="323"/>
      <c r="CX43" s="1"/>
      <c r="CY43" s="1"/>
      <c r="CZ43" s="1"/>
      <c r="DA43" s="1"/>
      <c r="DB43" s="1"/>
      <c r="DC43" s="1"/>
      <c r="DD43" s="1"/>
    </row>
    <row r="44" spans="1:108" ht="15" customHeight="1" thickBot="1" x14ac:dyDescent="0.4">
      <c r="B44" s="282" t="s">
        <v>71</v>
      </c>
      <c r="C44" s="283"/>
      <c r="D44" s="284"/>
      <c r="E44" s="285"/>
      <c r="F44" s="286"/>
      <c r="G44" s="287"/>
      <c r="H44" s="288"/>
      <c r="I44" s="288"/>
      <c r="J44" s="288"/>
      <c r="K44" s="288"/>
      <c r="L44" s="288"/>
      <c r="M44" s="289"/>
      <c r="N44" s="290"/>
      <c r="O44" s="291"/>
      <c r="P44" s="292"/>
      <c r="Q44" s="291"/>
      <c r="R44" s="291"/>
      <c r="S44" s="293"/>
      <c r="T44" s="294"/>
      <c r="U44" s="295"/>
      <c r="V44" s="318"/>
      <c r="W44" s="320">
        <f t="shared" si="2"/>
        <v>0</v>
      </c>
      <c r="X44" s="324"/>
      <c r="CX44" s="1"/>
      <c r="CY44" s="1"/>
      <c r="CZ44" s="1"/>
      <c r="DA44" s="1"/>
      <c r="DB44" s="1"/>
      <c r="DC44" s="1"/>
      <c r="DD44" s="1"/>
    </row>
    <row r="45" spans="1:108" ht="15" customHeight="1" thickBot="1" x14ac:dyDescent="0.25">
      <c r="B45" s="171"/>
      <c r="C45" s="241"/>
      <c r="D45" s="250"/>
      <c r="E45" s="251"/>
      <c r="F45" s="252"/>
      <c r="G45" s="255"/>
      <c r="H45" s="245"/>
      <c r="I45" s="245"/>
      <c r="J45" s="245"/>
      <c r="K45" s="245"/>
      <c r="L45" s="245"/>
      <c r="M45" s="246"/>
      <c r="N45" s="257"/>
      <c r="O45" s="192">
        <f>SUM(O37:O44)</f>
        <v>0</v>
      </c>
      <c r="P45" s="191" t="e">
        <f>AVERAGE(P37:P44)</f>
        <v>#DIV/0!</v>
      </c>
      <c r="Q45" s="191"/>
      <c r="R45" s="192">
        <f>SUM(R37:R44)</f>
        <v>0</v>
      </c>
      <c r="S45" s="191" t="e">
        <f>AVERAGE(S37:S44)</f>
        <v>#DIV/0!</v>
      </c>
      <c r="T45" s="191"/>
      <c r="U45" s="253" t="e">
        <f>AVERAGE(U37:U44)</f>
        <v>#DIV/0!</v>
      </c>
      <c r="V45" s="303"/>
      <c r="W45" s="257"/>
      <c r="X45" s="193"/>
      <c r="CX45" s="1"/>
      <c r="CY45" s="1"/>
      <c r="CZ45" s="1"/>
      <c r="DA45" s="1"/>
      <c r="DB45" s="1"/>
      <c r="DC45" s="1"/>
      <c r="DD45" s="1"/>
    </row>
    <row r="46" spans="1:108" ht="15" customHeight="1" x14ac:dyDescent="0.2">
      <c r="B46" s="15"/>
      <c r="C46" s="15"/>
      <c r="D46" s="15"/>
      <c r="E46" s="15"/>
      <c r="F46" s="15"/>
      <c r="G46" s="1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</row>
    <row r="47" spans="1:108" ht="15" customHeight="1" x14ac:dyDescent="0.2">
      <c r="B47" s="15"/>
      <c r="C47" s="15"/>
      <c r="D47" s="15"/>
      <c r="E47" s="15"/>
      <c r="F47" s="15"/>
      <c r="G47" s="1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</row>
    <row r="48" spans="1:108" ht="15" customHeight="1" x14ac:dyDescent="0.2">
      <c r="B48" s="15"/>
      <c r="C48" s="15"/>
      <c r="D48" s="15"/>
      <c r="E48" s="15"/>
      <c r="F48" s="15"/>
      <c r="G48" s="1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</row>
    <row r="49" spans="2:24" ht="15" customHeight="1" x14ac:dyDescent="0.2">
      <c r="B49" s="15"/>
      <c r="C49" s="15"/>
      <c r="D49" s="15"/>
      <c r="E49" s="15"/>
      <c r="F49" s="15"/>
      <c r="G49" s="1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</row>
    <row r="50" spans="2:24" ht="15" customHeight="1" thickBot="1" x14ac:dyDescent="0.25">
      <c r="B50" s="17" t="s">
        <v>139</v>
      </c>
      <c r="C50" s="17"/>
    </row>
    <row r="51" spans="2:24" ht="15" customHeight="1" thickBot="1" x14ac:dyDescent="0.25">
      <c r="B51" s="326" t="s">
        <v>1</v>
      </c>
      <c r="C51" s="328" t="s">
        <v>77</v>
      </c>
      <c r="D51" s="330" t="s">
        <v>2</v>
      </c>
      <c r="E51" s="326" t="s">
        <v>3</v>
      </c>
      <c r="F51" s="332" t="s">
        <v>112</v>
      </c>
      <c r="G51" s="213"/>
      <c r="H51" s="254" t="s">
        <v>5</v>
      </c>
      <c r="I51" s="254"/>
      <c r="J51" s="254"/>
      <c r="K51" s="254"/>
      <c r="L51" s="254"/>
      <c r="M51" s="254"/>
      <c r="N51" s="247" t="s">
        <v>6</v>
      </c>
      <c r="O51" s="248"/>
      <c r="P51" s="248"/>
      <c r="Q51" s="248"/>
      <c r="R51" s="248"/>
      <c r="S51" s="248"/>
      <c r="T51" s="248"/>
      <c r="U51" s="248"/>
      <c r="V51" s="248"/>
      <c r="W51" s="249"/>
      <c r="X51" s="249"/>
    </row>
    <row r="52" spans="2:24" ht="32.25" customHeight="1" thickBot="1" x14ac:dyDescent="0.25">
      <c r="B52" s="327"/>
      <c r="C52" s="329"/>
      <c r="D52" s="331"/>
      <c r="E52" s="327"/>
      <c r="F52" s="333"/>
      <c r="G52" s="256" t="s">
        <v>141</v>
      </c>
      <c r="H52" s="153" t="s">
        <v>143</v>
      </c>
      <c r="I52" s="153" t="s">
        <v>145</v>
      </c>
      <c r="J52" s="153" t="s">
        <v>147</v>
      </c>
      <c r="K52" s="153" t="s">
        <v>149</v>
      </c>
      <c r="L52" s="153" t="s">
        <v>151</v>
      </c>
      <c r="M52" s="258" t="s">
        <v>153</v>
      </c>
      <c r="N52" s="304" t="s">
        <v>107</v>
      </c>
      <c r="O52" s="207" t="s">
        <v>18</v>
      </c>
      <c r="P52" s="207" t="s">
        <v>19</v>
      </c>
      <c r="Q52" s="207" t="s">
        <v>111</v>
      </c>
      <c r="R52" s="207" t="s">
        <v>20</v>
      </c>
      <c r="S52" s="305" t="s">
        <v>21</v>
      </c>
      <c r="T52" s="305" t="s">
        <v>110</v>
      </c>
      <c r="U52" s="306" t="s">
        <v>22</v>
      </c>
      <c r="V52" s="315" t="s">
        <v>111</v>
      </c>
      <c r="W52" s="304" t="s">
        <v>3</v>
      </c>
      <c r="X52" s="307" t="s">
        <v>137</v>
      </c>
    </row>
    <row r="53" spans="2:24" ht="15" customHeight="1" x14ac:dyDescent="0.35">
      <c r="B53" s="259" t="s">
        <v>75</v>
      </c>
      <c r="C53" s="260"/>
      <c r="D53" s="261"/>
      <c r="E53" s="262"/>
      <c r="F53" s="263"/>
      <c r="G53" s="264"/>
      <c r="H53" s="265"/>
      <c r="I53" s="265"/>
      <c r="J53" s="265"/>
      <c r="K53" s="265"/>
      <c r="L53" s="265"/>
      <c r="M53" s="266"/>
      <c r="N53" s="308"/>
      <c r="O53" s="309"/>
      <c r="P53" s="310"/>
      <c r="Q53" s="309"/>
      <c r="R53" s="309"/>
      <c r="S53" s="311"/>
      <c r="T53" s="312"/>
      <c r="U53" s="313"/>
      <c r="V53" s="316"/>
      <c r="W53" s="319">
        <f>Q53*-3+T53*-1+V53*-1</f>
        <v>0</v>
      </c>
      <c r="X53" s="322"/>
    </row>
    <row r="54" spans="2:24" ht="15" customHeight="1" x14ac:dyDescent="0.35">
      <c r="B54" s="267" t="s">
        <v>76</v>
      </c>
      <c r="C54" s="268"/>
      <c r="D54" s="269"/>
      <c r="E54" s="270"/>
      <c r="F54" s="271"/>
      <c r="G54" s="272"/>
      <c r="H54" s="273"/>
      <c r="I54" s="273"/>
      <c r="J54" s="273"/>
      <c r="K54" s="273"/>
      <c r="L54" s="273"/>
      <c r="M54" s="274"/>
      <c r="N54" s="275"/>
      <c r="O54" s="276"/>
      <c r="P54" s="277"/>
      <c r="Q54" s="276"/>
      <c r="R54" s="276"/>
      <c r="S54" s="278"/>
      <c r="T54" s="279"/>
      <c r="U54" s="280"/>
      <c r="V54" s="317"/>
      <c r="W54" s="320">
        <f>Q54*-3+T54*-1+V54*-1</f>
        <v>0</v>
      </c>
      <c r="X54" s="323"/>
    </row>
    <row r="55" spans="2:24" ht="15" customHeight="1" x14ac:dyDescent="0.35">
      <c r="B55" s="267" t="s">
        <v>66</v>
      </c>
      <c r="C55" s="268"/>
      <c r="D55" s="269"/>
      <c r="E55" s="270"/>
      <c r="F55" s="271"/>
      <c r="G55" s="272"/>
      <c r="H55" s="273"/>
      <c r="I55" s="273"/>
      <c r="J55" s="273"/>
      <c r="K55" s="273"/>
      <c r="L55" s="273"/>
      <c r="M55" s="274"/>
      <c r="N55" s="275"/>
      <c r="O55" s="276"/>
      <c r="P55" s="277"/>
      <c r="Q55" s="276"/>
      <c r="R55" s="276"/>
      <c r="S55" s="278"/>
      <c r="T55" s="279"/>
      <c r="U55" s="280"/>
      <c r="V55" s="317"/>
      <c r="W55" s="320">
        <f t="shared" ref="W55:W60" si="3">Q55*-3+T55*-1+V55*-1</f>
        <v>0</v>
      </c>
      <c r="X55" s="323"/>
    </row>
    <row r="56" spans="2:24" ht="15" customHeight="1" x14ac:dyDescent="0.35">
      <c r="B56" s="267" t="s">
        <v>67</v>
      </c>
      <c r="C56" s="268"/>
      <c r="D56" s="269"/>
      <c r="E56" s="270"/>
      <c r="F56" s="271"/>
      <c r="G56" s="272"/>
      <c r="H56" s="273"/>
      <c r="I56" s="273"/>
      <c r="J56" s="273"/>
      <c r="K56" s="273"/>
      <c r="L56" s="273"/>
      <c r="M56" s="274"/>
      <c r="N56" s="275"/>
      <c r="O56" s="276"/>
      <c r="P56" s="277"/>
      <c r="Q56" s="276"/>
      <c r="R56" s="276"/>
      <c r="S56" s="278"/>
      <c r="T56" s="279"/>
      <c r="U56" s="280"/>
      <c r="V56" s="317"/>
      <c r="W56" s="320">
        <f t="shared" si="3"/>
        <v>0</v>
      </c>
      <c r="X56" s="323"/>
    </row>
    <row r="57" spans="2:24" ht="15" customHeight="1" x14ac:dyDescent="0.35">
      <c r="B57" s="267" t="s">
        <v>68</v>
      </c>
      <c r="C57" s="268"/>
      <c r="D57" s="269"/>
      <c r="E57" s="270"/>
      <c r="F57" s="271"/>
      <c r="G57" s="272"/>
      <c r="H57" s="273"/>
      <c r="I57" s="273"/>
      <c r="J57" s="273"/>
      <c r="K57" s="273"/>
      <c r="L57" s="273"/>
      <c r="M57" s="274"/>
      <c r="N57" s="275"/>
      <c r="O57" s="276"/>
      <c r="P57" s="277"/>
      <c r="Q57" s="276"/>
      <c r="R57" s="276"/>
      <c r="S57" s="278"/>
      <c r="T57" s="279"/>
      <c r="U57" s="280"/>
      <c r="V57" s="317"/>
      <c r="W57" s="320">
        <f t="shared" si="3"/>
        <v>0</v>
      </c>
      <c r="X57" s="323"/>
    </row>
    <row r="58" spans="2:24" ht="15" customHeight="1" x14ac:dyDescent="0.35">
      <c r="B58" s="267" t="s">
        <v>69</v>
      </c>
      <c r="C58" s="268"/>
      <c r="D58" s="269"/>
      <c r="E58" s="270"/>
      <c r="F58" s="271"/>
      <c r="G58" s="272"/>
      <c r="H58" s="273"/>
      <c r="I58" s="273"/>
      <c r="J58" s="273"/>
      <c r="K58" s="273"/>
      <c r="L58" s="273"/>
      <c r="M58" s="274"/>
      <c r="N58" s="275"/>
      <c r="O58" s="276"/>
      <c r="P58" s="277"/>
      <c r="Q58" s="276"/>
      <c r="R58" s="276"/>
      <c r="S58" s="278"/>
      <c r="T58" s="279"/>
      <c r="U58" s="280"/>
      <c r="V58" s="317"/>
      <c r="W58" s="320">
        <f t="shared" si="3"/>
        <v>0</v>
      </c>
      <c r="X58" s="323"/>
    </row>
    <row r="59" spans="2:24" ht="15" customHeight="1" x14ac:dyDescent="0.35">
      <c r="B59" s="267" t="s">
        <v>70</v>
      </c>
      <c r="C59" s="268"/>
      <c r="D59" s="269"/>
      <c r="E59" s="270"/>
      <c r="F59" s="271"/>
      <c r="G59" s="272"/>
      <c r="H59" s="273"/>
      <c r="I59" s="273"/>
      <c r="J59" s="273"/>
      <c r="K59" s="273"/>
      <c r="L59" s="273"/>
      <c r="M59" s="274"/>
      <c r="N59" s="275"/>
      <c r="O59" s="276"/>
      <c r="P59" s="277"/>
      <c r="Q59" s="276"/>
      <c r="R59" s="276"/>
      <c r="S59" s="278"/>
      <c r="T59" s="279"/>
      <c r="U59" s="280"/>
      <c r="V59" s="317"/>
      <c r="W59" s="320">
        <f t="shared" si="3"/>
        <v>0</v>
      </c>
      <c r="X59" s="323"/>
    </row>
    <row r="60" spans="2:24" ht="15" customHeight="1" thickBot="1" x14ac:dyDescent="0.4">
      <c r="B60" s="282" t="s">
        <v>71</v>
      </c>
      <c r="C60" s="283"/>
      <c r="D60" s="284"/>
      <c r="E60" s="285"/>
      <c r="F60" s="286"/>
      <c r="G60" s="287"/>
      <c r="H60" s="288"/>
      <c r="I60" s="288"/>
      <c r="J60" s="288"/>
      <c r="K60" s="288"/>
      <c r="L60" s="288"/>
      <c r="M60" s="289"/>
      <c r="N60" s="290"/>
      <c r="O60" s="291"/>
      <c r="P60" s="292"/>
      <c r="Q60" s="291"/>
      <c r="R60" s="291"/>
      <c r="S60" s="293"/>
      <c r="T60" s="294"/>
      <c r="U60" s="295"/>
      <c r="V60" s="318"/>
      <c r="W60" s="320">
        <f t="shared" si="3"/>
        <v>0</v>
      </c>
      <c r="X60" s="324"/>
    </row>
    <row r="61" spans="2:24" ht="15" customHeight="1" thickBot="1" x14ac:dyDescent="0.25">
      <c r="B61" s="171"/>
      <c r="C61" s="241"/>
      <c r="D61" s="250"/>
      <c r="E61" s="251"/>
      <c r="F61" s="252"/>
      <c r="G61" s="255"/>
      <c r="H61" s="245"/>
      <c r="I61" s="245"/>
      <c r="J61" s="245"/>
      <c r="K61" s="245"/>
      <c r="L61" s="245"/>
      <c r="M61" s="246"/>
      <c r="N61" s="257"/>
      <c r="O61" s="192">
        <f>SUM(O53:O60)</f>
        <v>0</v>
      </c>
      <c r="P61" s="191" t="e">
        <f>AVERAGE(P53:P60)</f>
        <v>#DIV/0!</v>
      </c>
      <c r="Q61" s="191"/>
      <c r="R61" s="192">
        <f>SUM(R53:R60)</f>
        <v>0</v>
      </c>
      <c r="S61" s="191" t="e">
        <f>AVERAGE(S53:S60)</f>
        <v>#DIV/0!</v>
      </c>
      <c r="T61" s="191"/>
      <c r="U61" s="253" t="e">
        <f>AVERAGE(U53:U60)</f>
        <v>#DIV/0!</v>
      </c>
      <c r="V61" s="303"/>
      <c r="W61" s="257"/>
      <c r="X61" s="193"/>
    </row>
    <row r="62" spans="2:24" ht="15" customHeight="1" x14ac:dyDescent="0.2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2:24" ht="15" customHeight="1" x14ac:dyDescent="0.2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spans="2:24" ht="15" customHeight="1" x14ac:dyDescent="0.2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2:108" ht="15" customHeight="1" x14ac:dyDescent="0.2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2:108" ht="11.25" customHeight="1" thickBot="1" x14ac:dyDescent="0.25">
      <c r="B66" s="17" t="s">
        <v>97</v>
      </c>
      <c r="C66" s="17"/>
    </row>
    <row r="67" spans="2:108" ht="15.75" customHeight="1" thickBot="1" x14ac:dyDescent="0.25">
      <c r="B67" s="326" t="s">
        <v>1</v>
      </c>
      <c r="C67" s="328" t="s">
        <v>77</v>
      </c>
      <c r="D67" s="330" t="s">
        <v>2</v>
      </c>
      <c r="E67" s="326" t="s">
        <v>3</v>
      </c>
      <c r="F67" s="332" t="s">
        <v>112</v>
      </c>
      <c r="G67" s="213"/>
      <c r="H67" s="254" t="s">
        <v>5</v>
      </c>
      <c r="I67" s="254"/>
      <c r="J67" s="254"/>
      <c r="K67" s="254"/>
      <c r="L67" s="254"/>
      <c r="M67" s="254"/>
      <c r="N67" s="247" t="s">
        <v>6</v>
      </c>
      <c r="O67" s="248"/>
      <c r="P67" s="248"/>
      <c r="Q67" s="248"/>
      <c r="R67" s="248"/>
      <c r="S67" s="248"/>
      <c r="T67" s="248"/>
      <c r="U67" s="248"/>
      <c r="V67" s="248"/>
      <c r="W67" s="249"/>
      <c r="X67" s="249"/>
      <c r="CX67" s="1"/>
      <c r="CY67" s="1"/>
      <c r="CZ67" s="1"/>
      <c r="DA67" s="1"/>
      <c r="DB67" s="1"/>
      <c r="DC67" s="1"/>
      <c r="DD67" s="1"/>
    </row>
    <row r="68" spans="2:108" ht="30.75" customHeight="1" thickBot="1" x14ac:dyDescent="0.25">
      <c r="B68" s="327"/>
      <c r="C68" s="329"/>
      <c r="D68" s="331"/>
      <c r="E68" s="327"/>
      <c r="F68" s="333"/>
      <c r="G68" s="256" t="s">
        <v>155</v>
      </c>
      <c r="H68" s="153" t="s">
        <v>157</v>
      </c>
      <c r="I68" s="153" t="s">
        <v>159</v>
      </c>
      <c r="J68" s="153" t="s">
        <v>161</v>
      </c>
      <c r="K68" s="153" t="s">
        <v>163</v>
      </c>
      <c r="L68" s="153" t="s">
        <v>165</v>
      </c>
      <c r="M68" s="258" t="s">
        <v>167</v>
      </c>
      <c r="N68" s="304" t="s">
        <v>107</v>
      </c>
      <c r="O68" s="207" t="s">
        <v>18</v>
      </c>
      <c r="P68" s="207" t="s">
        <v>19</v>
      </c>
      <c r="Q68" s="207" t="s">
        <v>111</v>
      </c>
      <c r="R68" s="207" t="s">
        <v>20</v>
      </c>
      <c r="S68" s="305" t="s">
        <v>21</v>
      </c>
      <c r="T68" s="305" t="s">
        <v>110</v>
      </c>
      <c r="U68" s="306" t="s">
        <v>22</v>
      </c>
      <c r="V68" s="315" t="s">
        <v>111</v>
      </c>
      <c r="W68" s="304" t="s">
        <v>3</v>
      </c>
      <c r="X68" s="307" t="s">
        <v>137</v>
      </c>
      <c r="CX68" s="1"/>
      <c r="CY68" s="1"/>
      <c r="CZ68" s="1"/>
      <c r="DA68" s="1"/>
      <c r="DB68" s="1"/>
      <c r="DC68" s="1"/>
      <c r="DD68" s="1"/>
    </row>
    <row r="69" spans="2:108" ht="14.25" customHeight="1" x14ac:dyDescent="0.35">
      <c r="B69" s="259" t="s">
        <v>75</v>
      </c>
      <c r="C69" s="260"/>
      <c r="D69" s="261"/>
      <c r="E69" s="262"/>
      <c r="F69" s="263"/>
      <c r="G69" s="264"/>
      <c r="H69" s="265"/>
      <c r="I69" s="265"/>
      <c r="J69" s="265"/>
      <c r="K69" s="265"/>
      <c r="L69" s="265"/>
      <c r="M69" s="266"/>
      <c r="N69" s="308"/>
      <c r="O69" s="309"/>
      <c r="P69" s="310"/>
      <c r="Q69" s="309"/>
      <c r="R69" s="309"/>
      <c r="S69" s="311"/>
      <c r="T69" s="312"/>
      <c r="U69" s="313"/>
      <c r="V69" s="316"/>
      <c r="W69" s="319">
        <f>Q69*-3+T69*-1+V69*-1</f>
        <v>0</v>
      </c>
      <c r="X69" s="322"/>
      <c r="CX69" s="1"/>
      <c r="CY69" s="1"/>
      <c r="CZ69" s="1"/>
      <c r="DA69" s="1"/>
      <c r="DB69" s="1"/>
      <c r="DC69" s="1"/>
      <c r="DD69" s="1"/>
    </row>
    <row r="70" spans="2:108" ht="15.75" customHeight="1" x14ac:dyDescent="0.35">
      <c r="B70" s="267" t="s">
        <v>76</v>
      </c>
      <c r="C70" s="268"/>
      <c r="D70" s="269"/>
      <c r="E70" s="270"/>
      <c r="F70" s="271"/>
      <c r="G70" s="272"/>
      <c r="H70" s="273"/>
      <c r="I70" s="273"/>
      <c r="J70" s="273"/>
      <c r="K70" s="273"/>
      <c r="L70" s="273"/>
      <c r="M70" s="274"/>
      <c r="N70" s="275"/>
      <c r="O70" s="276"/>
      <c r="P70" s="277"/>
      <c r="Q70" s="276"/>
      <c r="R70" s="276"/>
      <c r="S70" s="278"/>
      <c r="T70" s="279"/>
      <c r="U70" s="280"/>
      <c r="V70" s="317"/>
      <c r="W70" s="320">
        <f>Q70*-3+T70*-1+V70*-1</f>
        <v>0</v>
      </c>
      <c r="X70" s="323"/>
      <c r="CX70" s="1"/>
      <c r="CY70" s="1"/>
      <c r="CZ70" s="1"/>
      <c r="DA70" s="1"/>
      <c r="DB70" s="1"/>
      <c r="DC70" s="1"/>
      <c r="DD70" s="1"/>
    </row>
    <row r="71" spans="2:108" ht="15.75" customHeight="1" x14ac:dyDescent="0.35">
      <c r="B71" s="267" t="s">
        <v>66</v>
      </c>
      <c r="C71" s="268"/>
      <c r="D71" s="269"/>
      <c r="E71" s="270"/>
      <c r="F71" s="271"/>
      <c r="G71" s="272"/>
      <c r="H71" s="273"/>
      <c r="I71" s="273"/>
      <c r="J71" s="273"/>
      <c r="K71" s="273"/>
      <c r="L71" s="273"/>
      <c r="M71" s="274"/>
      <c r="N71" s="275"/>
      <c r="O71" s="276"/>
      <c r="P71" s="277"/>
      <c r="Q71" s="276"/>
      <c r="R71" s="276"/>
      <c r="S71" s="278"/>
      <c r="T71" s="279"/>
      <c r="U71" s="280"/>
      <c r="V71" s="317"/>
      <c r="W71" s="320">
        <f t="shared" ref="W71:W76" si="4">Q71*-3+T71*-1+V71*-1</f>
        <v>0</v>
      </c>
      <c r="X71" s="323"/>
      <c r="CX71" s="1"/>
      <c r="CY71" s="1"/>
      <c r="CZ71" s="1"/>
      <c r="DA71" s="1"/>
      <c r="DB71" s="1"/>
      <c r="DC71" s="1"/>
      <c r="DD71" s="1"/>
    </row>
    <row r="72" spans="2:108" ht="15.75" customHeight="1" x14ac:dyDescent="0.35">
      <c r="B72" s="267" t="s">
        <v>67</v>
      </c>
      <c r="C72" s="268"/>
      <c r="D72" s="269"/>
      <c r="E72" s="270"/>
      <c r="F72" s="271"/>
      <c r="G72" s="272"/>
      <c r="H72" s="273"/>
      <c r="I72" s="273"/>
      <c r="J72" s="273"/>
      <c r="K72" s="273"/>
      <c r="L72" s="273"/>
      <c r="M72" s="274"/>
      <c r="N72" s="275"/>
      <c r="O72" s="276"/>
      <c r="P72" s="277"/>
      <c r="Q72" s="276"/>
      <c r="R72" s="276"/>
      <c r="S72" s="278"/>
      <c r="T72" s="279"/>
      <c r="U72" s="280"/>
      <c r="V72" s="317"/>
      <c r="W72" s="320">
        <f t="shared" si="4"/>
        <v>0</v>
      </c>
      <c r="X72" s="323"/>
      <c r="CX72" s="1"/>
      <c r="CY72" s="1"/>
      <c r="CZ72" s="1"/>
      <c r="DA72" s="1"/>
      <c r="DB72" s="1"/>
      <c r="DC72" s="1"/>
      <c r="DD72" s="1"/>
    </row>
    <row r="73" spans="2:108" ht="15.75" customHeight="1" x14ac:dyDescent="0.35">
      <c r="B73" s="267" t="s">
        <v>68</v>
      </c>
      <c r="C73" s="268"/>
      <c r="D73" s="269"/>
      <c r="E73" s="270"/>
      <c r="F73" s="271"/>
      <c r="G73" s="272"/>
      <c r="H73" s="273"/>
      <c r="I73" s="273"/>
      <c r="J73" s="273"/>
      <c r="K73" s="273"/>
      <c r="L73" s="273"/>
      <c r="M73" s="274"/>
      <c r="N73" s="275"/>
      <c r="O73" s="276"/>
      <c r="P73" s="277"/>
      <c r="Q73" s="276"/>
      <c r="R73" s="276"/>
      <c r="S73" s="278"/>
      <c r="T73" s="279"/>
      <c r="U73" s="280"/>
      <c r="V73" s="317"/>
      <c r="W73" s="320">
        <f t="shared" si="4"/>
        <v>0</v>
      </c>
      <c r="X73" s="323"/>
      <c r="CX73" s="1"/>
      <c r="CY73" s="1"/>
      <c r="CZ73" s="1"/>
      <c r="DA73" s="1"/>
      <c r="DB73" s="1"/>
      <c r="DC73" s="1"/>
      <c r="DD73" s="1"/>
    </row>
    <row r="74" spans="2:108" ht="15.75" customHeight="1" x14ac:dyDescent="0.35">
      <c r="B74" s="267" t="s">
        <v>69</v>
      </c>
      <c r="C74" s="268"/>
      <c r="D74" s="269"/>
      <c r="E74" s="270"/>
      <c r="F74" s="271"/>
      <c r="G74" s="272"/>
      <c r="H74" s="273"/>
      <c r="I74" s="273"/>
      <c r="J74" s="273"/>
      <c r="K74" s="273"/>
      <c r="L74" s="273"/>
      <c r="M74" s="274"/>
      <c r="N74" s="275"/>
      <c r="O74" s="276"/>
      <c r="P74" s="277"/>
      <c r="Q74" s="276"/>
      <c r="R74" s="276"/>
      <c r="S74" s="278"/>
      <c r="T74" s="279"/>
      <c r="U74" s="280"/>
      <c r="V74" s="317"/>
      <c r="W74" s="320">
        <f t="shared" si="4"/>
        <v>0</v>
      </c>
      <c r="X74" s="323"/>
      <c r="CX74" s="1"/>
      <c r="CY74" s="1"/>
      <c r="CZ74" s="1"/>
      <c r="DA74" s="1"/>
      <c r="DB74" s="1"/>
      <c r="DC74" s="1"/>
      <c r="DD74" s="1"/>
    </row>
    <row r="75" spans="2:108" ht="15.75" customHeight="1" x14ac:dyDescent="0.35">
      <c r="B75" s="267" t="s">
        <v>70</v>
      </c>
      <c r="C75" s="268"/>
      <c r="D75" s="269"/>
      <c r="E75" s="270"/>
      <c r="F75" s="271"/>
      <c r="G75" s="272"/>
      <c r="H75" s="273"/>
      <c r="I75" s="273"/>
      <c r="J75" s="273"/>
      <c r="K75" s="273"/>
      <c r="L75" s="273"/>
      <c r="M75" s="274"/>
      <c r="N75" s="275"/>
      <c r="O75" s="276"/>
      <c r="P75" s="277"/>
      <c r="Q75" s="276"/>
      <c r="R75" s="276"/>
      <c r="S75" s="278"/>
      <c r="T75" s="279"/>
      <c r="U75" s="280"/>
      <c r="V75" s="317"/>
      <c r="W75" s="320">
        <f t="shared" si="4"/>
        <v>0</v>
      </c>
      <c r="X75" s="323"/>
      <c r="CX75" s="1"/>
      <c r="CY75" s="1"/>
      <c r="CZ75" s="1"/>
      <c r="DA75" s="1"/>
      <c r="DB75" s="1"/>
      <c r="DC75" s="1"/>
      <c r="DD75" s="1"/>
    </row>
    <row r="76" spans="2:108" ht="15.75" customHeight="1" thickBot="1" x14ac:dyDescent="0.4">
      <c r="B76" s="282" t="s">
        <v>71</v>
      </c>
      <c r="C76" s="283"/>
      <c r="D76" s="284"/>
      <c r="E76" s="285"/>
      <c r="F76" s="286"/>
      <c r="G76" s="287"/>
      <c r="H76" s="288"/>
      <c r="I76" s="288"/>
      <c r="J76" s="288"/>
      <c r="K76" s="288"/>
      <c r="L76" s="288"/>
      <c r="M76" s="289"/>
      <c r="N76" s="290"/>
      <c r="O76" s="291"/>
      <c r="P76" s="292"/>
      <c r="Q76" s="291"/>
      <c r="R76" s="291"/>
      <c r="S76" s="293"/>
      <c r="T76" s="294"/>
      <c r="U76" s="295"/>
      <c r="V76" s="318"/>
      <c r="W76" s="320">
        <f t="shared" si="4"/>
        <v>0</v>
      </c>
      <c r="X76" s="324"/>
      <c r="CX76" s="1"/>
      <c r="CY76" s="1"/>
      <c r="CZ76" s="1"/>
      <c r="DA76" s="1"/>
      <c r="DB76" s="1"/>
      <c r="DC76" s="1"/>
      <c r="DD76" s="1"/>
    </row>
    <row r="77" spans="2:108" ht="15.75" customHeight="1" thickBot="1" x14ac:dyDescent="0.25">
      <c r="B77" s="171"/>
      <c r="C77" s="241"/>
      <c r="D77" s="250"/>
      <c r="E77" s="251"/>
      <c r="F77" s="252"/>
      <c r="G77" s="255"/>
      <c r="H77" s="245"/>
      <c r="I77" s="245"/>
      <c r="J77" s="245"/>
      <c r="K77" s="245"/>
      <c r="L77" s="245"/>
      <c r="M77" s="246"/>
      <c r="N77" s="257"/>
      <c r="O77" s="192">
        <f>SUM(O69:O76)</f>
        <v>0</v>
      </c>
      <c r="P77" s="191" t="e">
        <f>AVERAGE(P69:P76)</f>
        <v>#DIV/0!</v>
      </c>
      <c r="Q77" s="191"/>
      <c r="R77" s="192">
        <f>SUM(R69:R76)</f>
        <v>0</v>
      </c>
      <c r="S77" s="191" t="e">
        <f>AVERAGE(S69:S76)</f>
        <v>#DIV/0!</v>
      </c>
      <c r="T77" s="191"/>
      <c r="U77" s="253" t="e">
        <f>AVERAGE(U69:U76)</f>
        <v>#DIV/0!</v>
      </c>
      <c r="V77" s="303"/>
      <c r="W77" s="257"/>
      <c r="X77" s="193"/>
      <c r="CX77" s="1"/>
      <c r="CY77" s="1"/>
      <c r="CZ77" s="1"/>
      <c r="DA77" s="1"/>
      <c r="DB77" s="1"/>
      <c r="DC77" s="1"/>
      <c r="DD77" s="1"/>
    </row>
    <row r="78" spans="2:108" ht="15.75" customHeight="1" x14ac:dyDescent="0.2">
      <c r="B78" s="3"/>
      <c r="C78" s="3"/>
      <c r="D78" s="3"/>
      <c r="E78" s="15"/>
      <c r="F78" s="3"/>
      <c r="G78" s="3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</row>
    <row r="79" spans="2:108" ht="15.75" customHeight="1" x14ac:dyDescent="0.2">
      <c r="B79" s="3"/>
      <c r="C79" s="3"/>
      <c r="D79" s="3"/>
      <c r="E79" s="15"/>
      <c r="F79" s="3"/>
      <c r="G79" s="3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</row>
    <row r="80" spans="2:108" ht="15.75" customHeight="1" x14ac:dyDescent="0.2">
      <c r="B80" s="3"/>
      <c r="C80" s="3"/>
      <c r="D80" s="3"/>
      <c r="E80" s="15"/>
      <c r="F80" s="3"/>
      <c r="G80" s="3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  <row r="81" spans="1:108" ht="15.75" customHeight="1" x14ac:dyDescent="0.2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108" ht="75" customHeight="1" thickBot="1" x14ac:dyDescent="0.25">
      <c r="B82" s="17" t="s">
        <v>48</v>
      </c>
      <c r="C82" s="17"/>
    </row>
    <row r="83" spans="1:108" ht="17.25" customHeight="1" thickBot="1" x14ac:dyDescent="0.25">
      <c r="A83" s="6"/>
      <c r="B83" s="326" t="s">
        <v>1</v>
      </c>
      <c r="C83" s="328" t="s">
        <v>77</v>
      </c>
      <c r="D83" s="330" t="s">
        <v>2</v>
      </c>
      <c r="E83" s="326" t="s">
        <v>3</v>
      </c>
      <c r="F83" s="332" t="s">
        <v>112</v>
      </c>
      <c r="G83" s="213"/>
      <c r="H83" s="254" t="s">
        <v>5</v>
      </c>
      <c r="I83" s="254"/>
      <c r="J83" s="254"/>
      <c r="K83" s="254"/>
      <c r="L83" s="254"/>
      <c r="M83" s="254"/>
      <c r="N83" s="247" t="s">
        <v>6</v>
      </c>
      <c r="O83" s="248"/>
      <c r="P83" s="248"/>
      <c r="Q83" s="248"/>
      <c r="R83" s="248"/>
      <c r="S83" s="248"/>
      <c r="T83" s="248"/>
      <c r="U83" s="248"/>
      <c r="V83" s="248"/>
      <c r="W83" s="249"/>
      <c r="X83" s="249"/>
      <c r="CX83" s="1"/>
      <c r="CY83" s="1"/>
      <c r="CZ83" s="1"/>
      <c r="DA83" s="1"/>
      <c r="DB83" s="1"/>
      <c r="DC83" s="1"/>
      <c r="DD83" s="1"/>
    </row>
    <row r="84" spans="1:108" s="6" customFormat="1" ht="30.75" customHeight="1" thickBot="1" x14ac:dyDescent="0.25">
      <c r="B84" s="327"/>
      <c r="C84" s="329"/>
      <c r="D84" s="331"/>
      <c r="E84" s="327"/>
      <c r="F84" s="333"/>
      <c r="G84" s="256" t="s">
        <v>140</v>
      </c>
      <c r="H84" s="153" t="s">
        <v>142</v>
      </c>
      <c r="I84" s="153" t="s">
        <v>144</v>
      </c>
      <c r="J84" s="153" t="s">
        <v>146</v>
      </c>
      <c r="K84" s="153" t="s">
        <v>148</v>
      </c>
      <c r="L84" s="153" t="s">
        <v>150</v>
      </c>
      <c r="M84" s="258" t="s">
        <v>152</v>
      </c>
      <c r="N84" s="304" t="s">
        <v>107</v>
      </c>
      <c r="O84" s="207" t="s">
        <v>18</v>
      </c>
      <c r="P84" s="207" t="s">
        <v>19</v>
      </c>
      <c r="Q84" s="207" t="s">
        <v>111</v>
      </c>
      <c r="R84" s="207" t="s">
        <v>20</v>
      </c>
      <c r="S84" s="305" t="s">
        <v>21</v>
      </c>
      <c r="T84" s="305" t="s">
        <v>110</v>
      </c>
      <c r="U84" s="306" t="s">
        <v>22</v>
      </c>
      <c r="V84" s="315" t="s">
        <v>111</v>
      </c>
      <c r="W84" s="304" t="s">
        <v>3</v>
      </c>
      <c r="X84" s="307" t="s">
        <v>137</v>
      </c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</row>
    <row r="85" spans="1:108" s="6" customFormat="1" ht="17.25" customHeight="1" x14ac:dyDescent="0.35">
      <c r="A85" s="1"/>
      <c r="B85" s="259" t="s">
        <v>75</v>
      </c>
      <c r="C85" s="260"/>
      <c r="D85" s="261"/>
      <c r="E85" s="262"/>
      <c r="F85" s="263"/>
      <c r="G85" s="264"/>
      <c r="H85" s="265"/>
      <c r="I85" s="265"/>
      <c r="J85" s="265"/>
      <c r="K85" s="265"/>
      <c r="L85" s="265"/>
      <c r="M85" s="266"/>
      <c r="N85" s="308"/>
      <c r="O85" s="309"/>
      <c r="P85" s="310"/>
      <c r="Q85" s="309"/>
      <c r="R85" s="309"/>
      <c r="S85" s="311"/>
      <c r="T85" s="312"/>
      <c r="U85" s="313"/>
      <c r="V85" s="316"/>
      <c r="W85" s="319">
        <f>Q85*-3+T85*-1+V85*-1</f>
        <v>0</v>
      </c>
      <c r="X85" s="322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</row>
    <row r="86" spans="1:108" ht="14.25" customHeight="1" x14ac:dyDescent="0.35">
      <c r="B86" s="267" t="s">
        <v>76</v>
      </c>
      <c r="C86" s="268"/>
      <c r="D86" s="269"/>
      <c r="E86" s="270"/>
      <c r="F86" s="271"/>
      <c r="G86" s="272"/>
      <c r="H86" s="273"/>
      <c r="I86" s="273"/>
      <c r="J86" s="273"/>
      <c r="K86" s="273"/>
      <c r="L86" s="273"/>
      <c r="M86" s="274"/>
      <c r="N86" s="275"/>
      <c r="O86" s="276"/>
      <c r="P86" s="277"/>
      <c r="Q86" s="276"/>
      <c r="R86" s="276"/>
      <c r="S86" s="278"/>
      <c r="T86" s="279"/>
      <c r="U86" s="280"/>
      <c r="V86" s="317"/>
      <c r="W86" s="320">
        <f>Q86*-3+T86*-1+V86*-1</f>
        <v>0</v>
      </c>
      <c r="X86" s="323"/>
      <c r="CX86" s="1"/>
      <c r="CY86" s="1"/>
      <c r="CZ86" s="1"/>
      <c r="DA86" s="1"/>
      <c r="DB86" s="1"/>
      <c r="DC86" s="1"/>
      <c r="DD86" s="1"/>
    </row>
    <row r="87" spans="1:108" ht="14.25" customHeight="1" x14ac:dyDescent="0.35">
      <c r="B87" s="267" t="s">
        <v>66</v>
      </c>
      <c r="C87" s="268"/>
      <c r="D87" s="269"/>
      <c r="E87" s="270"/>
      <c r="F87" s="271"/>
      <c r="G87" s="272"/>
      <c r="H87" s="273"/>
      <c r="I87" s="273"/>
      <c r="J87" s="273"/>
      <c r="K87" s="273"/>
      <c r="L87" s="273"/>
      <c r="M87" s="274"/>
      <c r="N87" s="275"/>
      <c r="O87" s="276"/>
      <c r="P87" s="277"/>
      <c r="Q87" s="276"/>
      <c r="R87" s="276"/>
      <c r="S87" s="278"/>
      <c r="T87" s="279"/>
      <c r="U87" s="280"/>
      <c r="V87" s="317"/>
      <c r="W87" s="320">
        <f t="shared" ref="W87:W92" si="5">Q87*-3+T87*-1+V87*-1</f>
        <v>0</v>
      </c>
      <c r="X87" s="323"/>
      <c r="CX87" s="1"/>
      <c r="CY87" s="1"/>
      <c r="CZ87" s="1"/>
      <c r="DA87" s="1"/>
      <c r="DB87" s="1"/>
      <c r="DC87" s="1"/>
      <c r="DD87" s="1"/>
    </row>
    <row r="88" spans="1:108" ht="14.25" customHeight="1" x14ac:dyDescent="0.35">
      <c r="B88" s="267" t="s">
        <v>67</v>
      </c>
      <c r="C88" s="268"/>
      <c r="D88" s="269"/>
      <c r="E88" s="270"/>
      <c r="F88" s="271"/>
      <c r="G88" s="272"/>
      <c r="H88" s="273"/>
      <c r="I88" s="273"/>
      <c r="J88" s="273"/>
      <c r="K88" s="273"/>
      <c r="L88" s="273"/>
      <c r="M88" s="274"/>
      <c r="N88" s="275"/>
      <c r="O88" s="276"/>
      <c r="P88" s="277"/>
      <c r="Q88" s="276"/>
      <c r="R88" s="276"/>
      <c r="S88" s="278"/>
      <c r="T88" s="279"/>
      <c r="U88" s="280"/>
      <c r="V88" s="317"/>
      <c r="W88" s="320">
        <f t="shared" si="5"/>
        <v>0</v>
      </c>
      <c r="X88" s="323"/>
      <c r="CX88" s="1"/>
      <c r="CY88" s="1"/>
      <c r="CZ88" s="1"/>
      <c r="DA88" s="1"/>
      <c r="DB88" s="1"/>
      <c r="DC88" s="1"/>
      <c r="DD88" s="1"/>
    </row>
    <row r="89" spans="1:108" ht="14.25" customHeight="1" x14ac:dyDescent="0.35">
      <c r="B89" s="267" t="s">
        <v>68</v>
      </c>
      <c r="C89" s="268"/>
      <c r="D89" s="269"/>
      <c r="E89" s="270"/>
      <c r="F89" s="271"/>
      <c r="G89" s="272"/>
      <c r="H89" s="273"/>
      <c r="I89" s="273"/>
      <c r="J89" s="273"/>
      <c r="K89" s="273"/>
      <c r="L89" s="273"/>
      <c r="M89" s="274"/>
      <c r="N89" s="275"/>
      <c r="O89" s="276"/>
      <c r="P89" s="277"/>
      <c r="Q89" s="276"/>
      <c r="R89" s="276"/>
      <c r="S89" s="278"/>
      <c r="T89" s="279"/>
      <c r="U89" s="280"/>
      <c r="V89" s="317"/>
      <c r="W89" s="320">
        <f t="shared" si="5"/>
        <v>0</v>
      </c>
      <c r="X89" s="323"/>
      <c r="CX89" s="1"/>
      <c r="CY89" s="1"/>
      <c r="CZ89" s="1"/>
      <c r="DA89" s="1"/>
      <c r="DB89" s="1"/>
      <c r="DC89" s="1"/>
      <c r="DD89" s="1"/>
    </row>
    <row r="90" spans="1:108" ht="14.25" customHeight="1" x14ac:dyDescent="0.35">
      <c r="B90" s="267" t="s">
        <v>69</v>
      </c>
      <c r="C90" s="268"/>
      <c r="D90" s="269"/>
      <c r="E90" s="270"/>
      <c r="F90" s="271"/>
      <c r="G90" s="272"/>
      <c r="H90" s="273"/>
      <c r="I90" s="273"/>
      <c r="J90" s="273"/>
      <c r="K90" s="273"/>
      <c r="L90" s="273"/>
      <c r="M90" s="274"/>
      <c r="N90" s="275"/>
      <c r="O90" s="276"/>
      <c r="P90" s="277"/>
      <c r="Q90" s="276"/>
      <c r="R90" s="276"/>
      <c r="S90" s="278"/>
      <c r="T90" s="279"/>
      <c r="U90" s="280"/>
      <c r="V90" s="317"/>
      <c r="W90" s="320">
        <f t="shared" si="5"/>
        <v>0</v>
      </c>
      <c r="X90" s="323"/>
      <c r="CX90" s="1"/>
      <c r="CY90" s="1"/>
      <c r="CZ90" s="1"/>
      <c r="DA90" s="1"/>
      <c r="DB90" s="1"/>
      <c r="DC90" s="1"/>
      <c r="DD90" s="1"/>
    </row>
    <row r="91" spans="1:108" ht="14.25" customHeight="1" x14ac:dyDescent="0.35">
      <c r="B91" s="267" t="s">
        <v>70</v>
      </c>
      <c r="C91" s="268"/>
      <c r="D91" s="269"/>
      <c r="E91" s="270"/>
      <c r="F91" s="271"/>
      <c r="G91" s="272"/>
      <c r="H91" s="273"/>
      <c r="I91" s="273"/>
      <c r="J91" s="273"/>
      <c r="K91" s="273"/>
      <c r="L91" s="273"/>
      <c r="M91" s="274"/>
      <c r="N91" s="275"/>
      <c r="O91" s="276"/>
      <c r="P91" s="277"/>
      <c r="Q91" s="276"/>
      <c r="R91" s="276"/>
      <c r="S91" s="278"/>
      <c r="T91" s="279"/>
      <c r="U91" s="280"/>
      <c r="V91" s="317"/>
      <c r="W91" s="320">
        <f t="shared" si="5"/>
        <v>0</v>
      </c>
      <c r="X91" s="323"/>
      <c r="CX91" s="1"/>
      <c r="CY91" s="1"/>
      <c r="CZ91" s="1"/>
      <c r="DA91" s="1"/>
      <c r="DB91" s="1"/>
      <c r="DC91" s="1"/>
      <c r="DD91" s="1"/>
    </row>
    <row r="92" spans="1:108" ht="14.25" customHeight="1" thickBot="1" x14ac:dyDescent="0.4">
      <c r="B92" s="282" t="s">
        <v>71</v>
      </c>
      <c r="C92" s="283"/>
      <c r="D92" s="284"/>
      <c r="E92" s="285"/>
      <c r="F92" s="286"/>
      <c r="G92" s="287"/>
      <c r="H92" s="288"/>
      <c r="I92" s="288"/>
      <c r="J92" s="288"/>
      <c r="K92" s="288"/>
      <c r="L92" s="288"/>
      <c r="M92" s="289"/>
      <c r="N92" s="290"/>
      <c r="O92" s="291"/>
      <c r="P92" s="292"/>
      <c r="Q92" s="291"/>
      <c r="R92" s="291"/>
      <c r="S92" s="293"/>
      <c r="T92" s="294"/>
      <c r="U92" s="295"/>
      <c r="V92" s="318"/>
      <c r="W92" s="320">
        <f t="shared" si="5"/>
        <v>0</v>
      </c>
      <c r="X92" s="324"/>
      <c r="CX92" s="1"/>
      <c r="CY92" s="1"/>
      <c r="CZ92" s="1"/>
      <c r="DA92" s="1"/>
      <c r="DB92" s="1"/>
      <c r="DC92" s="1"/>
      <c r="DD92" s="1"/>
    </row>
    <row r="93" spans="1:108" ht="14.25" customHeight="1" thickBot="1" x14ac:dyDescent="0.25">
      <c r="B93" s="171"/>
      <c r="C93" s="241"/>
      <c r="D93" s="250"/>
      <c r="E93" s="251"/>
      <c r="F93" s="252"/>
      <c r="G93" s="255"/>
      <c r="H93" s="245"/>
      <c r="I93" s="245"/>
      <c r="J93" s="245"/>
      <c r="K93" s="245"/>
      <c r="L93" s="245"/>
      <c r="M93" s="246"/>
      <c r="N93" s="257"/>
      <c r="O93" s="192">
        <f>SUM(O85:O92)</f>
        <v>0</v>
      </c>
      <c r="P93" s="191" t="e">
        <f>AVERAGE(P85:P92)</f>
        <v>#DIV/0!</v>
      </c>
      <c r="Q93" s="191"/>
      <c r="R93" s="192">
        <f>SUM(R85:R92)</f>
        <v>0</v>
      </c>
      <c r="S93" s="191" t="e">
        <f>AVERAGE(S85:S92)</f>
        <v>#DIV/0!</v>
      </c>
      <c r="T93" s="191"/>
      <c r="U93" s="253" t="e">
        <f>AVERAGE(U85:U92)</f>
        <v>#DIV/0!</v>
      </c>
      <c r="V93" s="303"/>
      <c r="W93" s="257"/>
      <c r="X93" s="193"/>
      <c r="CX93" s="1"/>
      <c r="CY93" s="1"/>
      <c r="CZ93" s="1"/>
      <c r="DA93" s="1"/>
      <c r="DB93" s="1"/>
      <c r="DC93" s="1"/>
      <c r="DD93" s="1"/>
    </row>
    <row r="94" spans="1:108" ht="14.25" customHeight="1" x14ac:dyDescent="0.2">
      <c r="B94" s="3"/>
      <c r="C94" s="3"/>
      <c r="D94" s="3"/>
      <c r="E94" s="15"/>
      <c r="F94" s="3"/>
      <c r="G94" s="3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</row>
    <row r="95" spans="1:108" ht="14.25" customHeight="1" x14ac:dyDescent="0.2">
      <c r="B95" s="3"/>
      <c r="C95" s="3"/>
      <c r="D95" s="3"/>
      <c r="E95" s="15"/>
      <c r="F95" s="3"/>
      <c r="G95" s="3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</row>
    <row r="96" spans="1:108" ht="14.25" customHeight="1" x14ac:dyDescent="0.2">
      <c r="B96" s="3"/>
      <c r="C96" s="3"/>
      <c r="D96" s="3"/>
      <c r="E96" s="15"/>
      <c r="F96" s="3"/>
      <c r="G96" s="3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</row>
    <row r="97" spans="1:108" ht="14.25" customHeight="1" x14ac:dyDescent="0.2"/>
    <row r="98" spans="1:108" ht="73.5" customHeight="1" thickBot="1" x14ac:dyDescent="0.25">
      <c r="B98" s="17" t="s">
        <v>49</v>
      </c>
      <c r="C98" s="17"/>
    </row>
    <row r="99" spans="1:108" ht="13.5" customHeight="1" thickBot="1" x14ac:dyDescent="0.25">
      <c r="A99" s="6"/>
      <c r="B99" s="326" t="s">
        <v>1</v>
      </c>
      <c r="C99" s="328" t="s">
        <v>77</v>
      </c>
      <c r="D99" s="330" t="s">
        <v>2</v>
      </c>
      <c r="E99" s="326" t="s">
        <v>3</v>
      </c>
      <c r="F99" s="332" t="s">
        <v>112</v>
      </c>
      <c r="G99" s="213"/>
      <c r="H99" s="254" t="s">
        <v>5</v>
      </c>
      <c r="I99" s="254"/>
      <c r="J99" s="254"/>
      <c r="K99" s="254"/>
      <c r="L99" s="254"/>
      <c r="M99" s="254"/>
      <c r="N99" s="247" t="s">
        <v>6</v>
      </c>
      <c r="O99" s="248"/>
      <c r="P99" s="248"/>
      <c r="Q99" s="248"/>
      <c r="R99" s="248"/>
      <c r="S99" s="248"/>
      <c r="T99" s="248"/>
      <c r="U99" s="248"/>
      <c r="V99" s="248"/>
      <c r="W99" s="249"/>
      <c r="X99" s="249"/>
      <c r="CX99" s="1"/>
      <c r="CY99" s="1"/>
      <c r="CZ99" s="1"/>
      <c r="DA99" s="1"/>
      <c r="DB99" s="1"/>
      <c r="DC99" s="1"/>
      <c r="DD99" s="1"/>
    </row>
    <row r="100" spans="1:108" s="6" customFormat="1" ht="29.25" customHeight="1" thickBot="1" x14ac:dyDescent="0.25">
      <c r="B100" s="327"/>
      <c r="C100" s="329"/>
      <c r="D100" s="331"/>
      <c r="E100" s="327"/>
      <c r="F100" s="333"/>
      <c r="G100" s="256" t="s">
        <v>154</v>
      </c>
      <c r="H100" s="153" t="s">
        <v>156</v>
      </c>
      <c r="I100" s="153" t="s">
        <v>158</v>
      </c>
      <c r="J100" s="153" t="s">
        <v>160</v>
      </c>
      <c r="K100" s="153" t="s">
        <v>162</v>
      </c>
      <c r="L100" s="153" t="s">
        <v>164</v>
      </c>
      <c r="M100" s="258" t="s">
        <v>166</v>
      </c>
      <c r="N100" s="304" t="s">
        <v>107</v>
      </c>
      <c r="O100" s="207" t="s">
        <v>18</v>
      </c>
      <c r="P100" s="207" t="s">
        <v>19</v>
      </c>
      <c r="Q100" s="207" t="s">
        <v>111</v>
      </c>
      <c r="R100" s="207" t="s">
        <v>20</v>
      </c>
      <c r="S100" s="305" t="s">
        <v>21</v>
      </c>
      <c r="T100" s="305" t="s">
        <v>110</v>
      </c>
      <c r="U100" s="306" t="s">
        <v>22</v>
      </c>
      <c r="V100" s="315" t="s">
        <v>111</v>
      </c>
      <c r="W100" s="304" t="s">
        <v>3</v>
      </c>
      <c r="X100" s="307" t="s">
        <v>137</v>
      </c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</row>
    <row r="101" spans="1:108" s="6" customFormat="1" ht="18" customHeight="1" x14ac:dyDescent="0.35">
      <c r="A101" s="1"/>
      <c r="B101" s="259" t="s">
        <v>75</v>
      </c>
      <c r="C101" s="260"/>
      <c r="D101" s="261"/>
      <c r="E101" s="262"/>
      <c r="F101" s="263"/>
      <c r="G101" s="264"/>
      <c r="H101" s="265"/>
      <c r="I101" s="265"/>
      <c r="J101" s="265"/>
      <c r="K101" s="265"/>
      <c r="L101" s="265"/>
      <c r="M101" s="266"/>
      <c r="N101" s="308"/>
      <c r="O101" s="309"/>
      <c r="P101" s="310"/>
      <c r="Q101" s="309"/>
      <c r="R101" s="309"/>
      <c r="S101" s="311"/>
      <c r="T101" s="312"/>
      <c r="U101" s="313"/>
      <c r="V101" s="316"/>
      <c r="W101" s="319">
        <f>Q101*-3+T101*-1+V101*-1</f>
        <v>0</v>
      </c>
      <c r="X101" s="322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</row>
    <row r="102" spans="1:108" ht="15" customHeight="1" x14ac:dyDescent="0.35">
      <c r="B102" s="267" t="s">
        <v>76</v>
      </c>
      <c r="C102" s="268"/>
      <c r="D102" s="269"/>
      <c r="E102" s="270"/>
      <c r="F102" s="271"/>
      <c r="G102" s="272"/>
      <c r="H102" s="273"/>
      <c r="I102" s="273"/>
      <c r="J102" s="273"/>
      <c r="K102" s="273"/>
      <c r="L102" s="273"/>
      <c r="M102" s="274"/>
      <c r="N102" s="275"/>
      <c r="O102" s="276"/>
      <c r="P102" s="277"/>
      <c r="Q102" s="276"/>
      <c r="R102" s="276"/>
      <c r="S102" s="278"/>
      <c r="T102" s="279"/>
      <c r="U102" s="280"/>
      <c r="V102" s="317"/>
      <c r="W102" s="320">
        <f>Q102*-3+T102*-1+V102*-1</f>
        <v>0</v>
      </c>
      <c r="X102" s="323"/>
      <c r="CX102" s="1"/>
      <c r="CY102" s="1"/>
      <c r="CZ102" s="1"/>
      <c r="DA102" s="1"/>
      <c r="DB102" s="1"/>
      <c r="DC102" s="1"/>
      <c r="DD102" s="1"/>
    </row>
    <row r="103" spans="1:108" ht="15" customHeight="1" x14ac:dyDescent="0.35">
      <c r="B103" s="267" t="s">
        <v>66</v>
      </c>
      <c r="C103" s="268"/>
      <c r="D103" s="269"/>
      <c r="E103" s="270"/>
      <c r="F103" s="271"/>
      <c r="G103" s="272"/>
      <c r="H103" s="273"/>
      <c r="I103" s="273"/>
      <c r="J103" s="273"/>
      <c r="K103" s="273"/>
      <c r="L103" s="273"/>
      <c r="M103" s="274"/>
      <c r="N103" s="275"/>
      <c r="O103" s="276"/>
      <c r="P103" s="277"/>
      <c r="Q103" s="276"/>
      <c r="R103" s="276"/>
      <c r="S103" s="278"/>
      <c r="T103" s="279"/>
      <c r="U103" s="280"/>
      <c r="V103" s="317"/>
      <c r="W103" s="320">
        <f t="shared" ref="W103:W108" si="6">Q103*-3+T103*-1+V103*-1</f>
        <v>0</v>
      </c>
      <c r="X103" s="323"/>
      <c r="CX103" s="1"/>
      <c r="CY103" s="1"/>
      <c r="CZ103" s="1"/>
      <c r="DA103" s="1"/>
      <c r="DB103" s="1"/>
      <c r="DC103" s="1"/>
      <c r="DD103" s="1"/>
    </row>
    <row r="104" spans="1:108" ht="15" customHeight="1" x14ac:dyDescent="0.35">
      <c r="B104" s="267" t="s">
        <v>67</v>
      </c>
      <c r="C104" s="268"/>
      <c r="D104" s="269"/>
      <c r="E104" s="270"/>
      <c r="F104" s="271"/>
      <c r="G104" s="272"/>
      <c r="H104" s="273"/>
      <c r="I104" s="273"/>
      <c r="J104" s="273"/>
      <c r="K104" s="273"/>
      <c r="L104" s="273"/>
      <c r="M104" s="274"/>
      <c r="N104" s="275"/>
      <c r="O104" s="276"/>
      <c r="P104" s="277"/>
      <c r="Q104" s="276"/>
      <c r="R104" s="276"/>
      <c r="S104" s="278"/>
      <c r="T104" s="279"/>
      <c r="U104" s="280"/>
      <c r="V104" s="317"/>
      <c r="W104" s="320">
        <f t="shared" si="6"/>
        <v>0</v>
      </c>
      <c r="X104" s="323"/>
      <c r="CX104" s="1"/>
      <c r="CY104" s="1"/>
      <c r="CZ104" s="1"/>
      <c r="DA104" s="1"/>
      <c r="DB104" s="1"/>
      <c r="DC104" s="1"/>
      <c r="DD104" s="1"/>
    </row>
    <row r="105" spans="1:108" ht="15" customHeight="1" x14ac:dyDescent="0.35">
      <c r="B105" s="267" t="s">
        <v>68</v>
      </c>
      <c r="C105" s="268"/>
      <c r="D105" s="269"/>
      <c r="E105" s="270"/>
      <c r="F105" s="271"/>
      <c r="G105" s="272"/>
      <c r="H105" s="273"/>
      <c r="I105" s="273"/>
      <c r="J105" s="273"/>
      <c r="K105" s="273"/>
      <c r="L105" s="273"/>
      <c r="M105" s="274"/>
      <c r="N105" s="275"/>
      <c r="O105" s="276"/>
      <c r="P105" s="277"/>
      <c r="Q105" s="276"/>
      <c r="R105" s="276"/>
      <c r="S105" s="278"/>
      <c r="T105" s="279"/>
      <c r="U105" s="280"/>
      <c r="V105" s="317"/>
      <c r="W105" s="320">
        <f t="shared" si="6"/>
        <v>0</v>
      </c>
      <c r="X105" s="323"/>
      <c r="CX105" s="1"/>
      <c r="CY105" s="1"/>
      <c r="CZ105" s="1"/>
      <c r="DA105" s="1"/>
      <c r="DB105" s="1"/>
      <c r="DC105" s="1"/>
      <c r="DD105" s="1"/>
    </row>
    <row r="106" spans="1:108" ht="15" customHeight="1" x14ac:dyDescent="0.35">
      <c r="B106" s="267" t="s">
        <v>69</v>
      </c>
      <c r="C106" s="268"/>
      <c r="D106" s="269"/>
      <c r="E106" s="270"/>
      <c r="F106" s="271"/>
      <c r="G106" s="272"/>
      <c r="H106" s="273"/>
      <c r="I106" s="273"/>
      <c r="J106" s="273"/>
      <c r="K106" s="273"/>
      <c r="L106" s="273"/>
      <c r="M106" s="274"/>
      <c r="N106" s="275"/>
      <c r="O106" s="276"/>
      <c r="P106" s="277"/>
      <c r="Q106" s="276"/>
      <c r="R106" s="276"/>
      <c r="S106" s="278"/>
      <c r="T106" s="279"/>
      <c r="U106" s="280"/>
      <c r="V106" s="317"/>
      <c r="W106" s="320">
        <f t="shared" si="6"/>
        <v>0</v>
      </c>
      <c r="X106" s="323"/>
      <c r="CX106" s="1"/>
      <c r="CY106" s="1"/>
      <c r="CZ106" s="1"/>
      <c r="DA106" s="1"/>
      <c r="DB106" s="1"/>
      <c r="DC106" s="1"/>
      <c r="DD106" s="1"/>
    </row>
    <row r="107" spans="1:108" ht="15" customHeight="1" x14ac:dyDescent="0.35">
      <c r="B107" s="267" t="s">
        <v>70</v>
      </c>
      <c r="C107" s="268"/>
      <c r="D107" s="269"/>
      <c r="E107" s="270"/>
      <c r="F107" s="271"/>
      <c r="G107" s="272"/>
      <c r="H107" s="273"/>
      <c r="I107" s="273"/>
      <c r="J107" s="273"/>
      <c r="K107" s="273"/>
      <c r="L107" s="273"/>
      <c r="M107" s="274"/>
      <c r="N107" s="275"/>
      <c r="O107" s="276"/>
      <c r="P107" s="277"/>
      <c r="Q107" s="276"/>
      <c r="R107" s="276"/>
      <c r="S107" s="278"/>
      <c r="T107" s="279"/>
      <c r="U107" s="280"/>
      <c r="V107" s="317"/>
      <c r="W107" s="320">
        <f t="shared" si="6"/>
        <v>0</v>
      </c>
      <c r="X107" s="323"/>
      <c r="CX107" s="1"/>
      <c r="CY107" s="1"/>
      <c r="CZ107" s="1"/>
      <c r="DA107" s="1"/>
      <c r="DB107" s="1"/>
      <c r="DC107" s="1"/>
      <c r="DD107" s="1"/>
    </row>
    <row r="108" spans="1:108" ht="15" customHeight="1" thickBot="1" x14ac:dyDescent="0.4">
      <c r="B108" s="282" t="s">
        <v>71</v>
      </c>
      <c r="C108" s="283"/>
      <c r="D108" s="284"/>
      <c r="E108" s="285"/>
      <c r="F108" s="286"/>
      <c r="G108" s="287"/>
      <c r="H108" s="288"/>
      <c r="I108" s="288"/>
      <c r="J108" s="288"/>
      <c r="K108" s="288"/>
      <c r="L108" s="288"/>
      <c r="M108" s="289"/>
      <c r="N108" s="290"/>
      <c r="O108" s="291"/>
      <c r="P108" s="292"/>
      <c r="Q108" s="291"/>
      <c r="R108" s="291"/>
      <c r="S108" s="293"/>
      <c r="T108" s="294"/>
      <c r="U108" s="295"/>
      <c r="V108" s="318"/>
      <c r="W108" s="320">
        <f t="shared" si="6"/>
        <v>0</v>
      </c>
      <c r="X108" s="324"/>
      <c r="CX108" s="1"/>
      <c r="CY108" s="1"/>
      <c r="CZ108" s="1"/>
      <c r="DA108" s="1"/>
      <c r="DB108" s="1"/>
      <c r="DC108" s="1"/>
      <c r="DD108" s="1"/>
    </row>
    <row r="109" spans="1:108" ht="15" customHeight="1" thickBot="1" x14ac:dyDescent="0.25">
      <c r="B109" s="171"/>
      <c r="C109" s="241"/>
      <c r="D109" s="250"/>
      <c r="E109" s="251"/>
      <c r="F109" s="252"/>
      <c r="G109" s="255"/>
      <c r="H109" s="245"/>
      <c r="I109" s="245"/>
      <c r="J109" s="245"/>
      <c r="K109" s="245"/>
      <c r="L109" s="245"/>
      <c r="M109" s="246"/>
      <c r="N109" s="257"/>
      <c r="O109" s="192">
        <f>SUM(O101:O108)</f>
        <v>0</v>
      </c>
      <c r="P109" s="191" t="e">
        <f>AVERAGE(P101:P108)</f>
        <v>#DIV/0!</v>
      </c>
      <c r="Q109" s="191"/>
      <c r="R109" s="192">
        <f>SUM(R101:R108)</f>
        <v>0</v>
      </c>
      <c r="S109" s="191" t="e">
        <f>AVERAGE(S101:S108)</f>
        <v>#DIV/0!</v>
      </c>
      <c r="T109" s="191"/>
      <c r="U109" s="253" t="e">
        <f>AVERAGE(U101:U108)</f>
        <v>#DIV/0!</v>
      </c>
      <c r="V109" s="303"/>
      <c r="W109" s="257"/>
      <c r="X109" s="193"/>
      <c r="CX109" s="1"/>
      <c r="CY109" s="1"/>
      <c r="CZ109" s="1"/>
      <c r="DA109" s="1"/>
      <c r="DB109" s="1"/>
      <c r="DC109" s="1"/>
      <c r="DD109" s="1"/>
    </row>
    <row r="110" spans="1:108" ht="15" customHeight="1" x14ac:dyDescent="0.2">
      <c r="B110" s="3"/>
      <c r="C110" s="3"/>
      <c r="D110" s="3"/>
      <c r="E110" s="1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108" ht="15" customHeight="1" x14ac:dyDescent="0.2">
      <c r="B111" s="3"/>
      <c r="C111" s="3"/>
      <c r="D111" s="3"/>
      <c r="E111" s="1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108" ht="15" customHeight="1" x14ac:dyDescent="0.2">
      <c r="B112" s="3"/>
      <c r="C112" s="3"/>
      <c r="D112" s="3"/>
      <c r="E112" s="1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108" ht="15" customHeight="1" x14ac:dyDescent="0.2">
      <c r="B113" s="3"/>
      <c r="C113" s="3"/>
      <c r="D113" s="3"/>
      <c r="E113" s="1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108" ht="66" customHeight="1" thickBot="1" x14ac:dyDescent="0.25">
      <c r="B114" s="17" t="s">
        <v>73</v>
      </c>
      <c r="C114" s="17"/>
    </row>
    <row r="115" spans="1:108" ht="15" customHeight="1" thickBot="1" x14ac:dyDescent="0.25">
      <c r="B115" s="326" t="s">
        <v>1</v>
      </c>
      <c r="C115" s="328" t="s">
        <v>77</v>
      </c>
      <c r="D115" s="330" t="s">
        <v>2</v>
      </c>
      <c r="E115" s="326" t="s">
        <v>3</v>
      </c>
      <c r="F115" s="332" t="s">
        <v>112</v>
      </c>
      <c r="G115" s="213"/>
      <c r="H115" s="254" t="s">
        <v>5</v>
      </c>
      <c r="I115" s="254"/>
      <c r="J115" s="254"/>
      <c r="K115" s="254"/>
      <c r="L115" s="254"/>
      <c r="M115" s="254"/>
      <c r="N115" s="247" t="s">
        <v>6</v>
      </c>
      <c r="O115" s="248"/>
      <c r="P115" s="248"/>
      <c r="Q115" s="248"/>
      <c r="R115" s="248"/>
      <c r="S115" s="248"/>
      <c r="T115" s="248"/>
      <c r="U115" s="248"/>
      <c r="V115" s="248"/>
      <c r="W115" s="249"/>
      <c r="X115" s="249"/>
      <c r="CX115" s="1"/>
      <c r="CY115" s="1"/>
      <c r="CZ115" s="1"/>
      <c r="DA115" s="1"/>
      <c r="DB115" s="1"/>
      <c r="DC115" s="1"/>
      <c r="DD115" s="1"/>
    </row>
    <row r="116" spans="1:108" ht="28.5" customHeight="1" thickBot="1" x14ac:dyDescent="0.25">
      <c r="A116" s="6"/>
      <c r="B116" s="327"/>
      <c r="C116" s="329"/>
      <c r="D116" s="331"/>
      <c r="E116" s="327"/>
      <c r="F116" s="333"/>
      <c r="G116" s="256" t="s">
        <v>154</v>
      </c>
      <c r="H116" s="153" t="s">
        <v>156</v>
      </c>
      <c r="I116" s="153" t="s">
        <v>158</v>
      </c>
      <c r="J116" s="153" t="s">
        <v>160</v>
      </c>
      <c r="K116" s="153" t="s">
        <v>162</v>
      </c>
      <c r="L116" s="153" t="s">
        <v>164</v>
      </c>
      <c r="M116" s="258" t="s">
        <v>166</v>
      </c>
      <c r="N116" s="304" t="s">
        <v>107</v>
      </c>
      <c r="O116" s="207" t="s">
        <v>18</v>
      </c>
      <c r="P116" s="207" t="s">
        <v>19</v>
      </c>
      <c r="Q116" s="207" t="s">
        <v>111</v>
      </c>
      <c r="R116" s="207" t="s">
        <v>20</v>
      </c>
      <c r="S116" s="305" t="s">
        <v>21</v>
      </c>
      <c r="T116" s="305" t="s">
        <v>110</v>
      </c>
      <c r="U116" s="306" t="s">
        <v>22</v>
      </c>
      <c r="V116" s="315" t="s">
        <v>111</v>
      </c>
      <c r="W116" s="304" t="s">
        <v>3</v>
      </c>
      <c r="X116" s="307" t="s">
        <v>137</v>
      </c>
      <c r="CX116" s="1"/>
      <c r="CY116" s="1"/>
      <c r="CZ116" s="1"/>
      <c r="DA116" s="1"/>
      <c r="DB116" s="1"/>
      <c r="DC116" s="1"/>
      <c r="DD116" s="1"/>
    </row>
    <row r="117" spans="1:108" s="6" customFormat="1" ht="19.5" customHeight="1" x14ac:dyDescent="0.35">
      <c r="B117" s="259" t="s">
        <v>75</v>
      </c>
      <c r="C117" s="260"/>
      <c r="D117" s="261"/>
      <c r="E117" s="262"/>
      <c r="F117" s="263"/>
      <c r="G117" s="264"/>
      <c r="H117" s="265"/>
      <c r="I117" s="265"/>
      <c r="J117" s="265"/>
      <c r="K117" s="265"/>
      <c r="L117" s="265"/>
      <c r="M117" s="266"/>
      <c r="N117" s="308"/>
      <c r="O117" s="309"/>
      <c r="P117" s="310"/>
      <c r="Q117" s="309"/>
      <c r="R117" s="309"/>
      <c r="S117" s="311"/>
      <c r="T117" s="312"/>
      <c r="U117" s="313"/>
      <c r="V117" s="316"/>
      <c r="W117" s="319">
        <f>Q117*-3+T117*-1+V117*-1</f>
        <v>0</v>
      </c>
      <c r="X117" s="322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</row>
    <row r="118" spans="1:108" s="6" customFormat="1" ht="15" customHeight="1" x14ac:dyDescent="0.35">
      <c r="A118" s="1"/>
      <c r="B118" s="267" t="s">
        <v>76</v>
      </c>
      <c r="C118" s="268"/>
      <c r="D118" s="269"/>
      <c r="E118" s="270"/>
      <c r="F118" s="271"/>
      <c r="G118" s="272"/>
      <c r="H118" s="273"/>
      <c r="I118" s="273"/>
      <c r="J118" s="273"/>
      <c r="K118" s="273"/>
      <c r="L118" s="273"/>
      <c r="M118" s="274"/>
      <c r="N118" s="275"/>
      <c r="O118" s="276"/>
      <c r="P118" s="277"/>
      <c r="Q118" s="276"/>
      <c r="R118" s="276"/>
      <c r="S118" s="278"/>
      <c r="T118" s="279"/>
      <c r="U118" s="280"/>
      <c r="V118" s="317"/>
      <c r="W118" s="320">
        <f>Q118*-3+T118*-1+V118*-1</f>
        <v>0</v>
      </c>
      <c r="X118" s="323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</row>
    <row r="119" spans="1:108" ht="15" customHeight="1" x14ac:dyDescent="0.35">
      <c r="B119" s="267" t="s">
        <v>66</v>
      </c>
      <c r="C119" s="268"/>
      <c r="D119" s="269"/>
      <c r="E119" s="270"/>
      <c r="F119" s="271"/>
      <c r="G119" s="272"/>
      <c r="H119" s="273"/>
      <c r="I119" s="273"/>
      <c r="J119" s="273"/>
      <c r="K119" s="273"/>
      <c r="L119" s="273"/>
      <c r="M119" s="274"/>
      <c r="N119" s="275"/>
      <c r="O119" s="276"/>
      <c r="P119" s="277"/>
      <c r="Q119" s="276"/>
      <c r="R119" s="276"/>
      <c r="S119" s="278"/>
      <c r="T119" s="279"/>
      <c r="U119" s="280"/>
      <c r="V119" s="317"/>
      <c r="W119" s="320">
        <f t="shared" ref="W119:W124" si="7">Q119*-3+T119*-1+V119*-1</f>
        <v>0</v>
      </c>
      <c r="X119" s="323"/>
      <c r="CX119" s="1"/>
      <c r="CY119" s="1"/>
      <c r="CZ119" s="1"/>
      <c r="DA119" s="1"/>
      <c r="DB119" s="1"/>
      <c r="DC119" s="1"/>
      <c r="DD119" s="1"/>
    </row>
    <row r="120" spans="1:108" ht="15" customHeight="1" x14ac:dyDescent="0.35">
      <c r="B120" s="267" t="s">
        <v>67</v>
      </c>
      <c r="C120" s="268"/>
      <c r="D120" s="269"/>
      <c r="E120" s="270"/>
      <c r="F120" s="271"/>
      <c r="G120" s="272"/>
      <c r="H120" s="273"/>
      <c r="I120" s="273"/>
      <c r="J120" s="273"/>
      <c r="K120" s="273"/>
      <c r="L120" s="273"/>
      <c r="M120" s="274"/>
      <c r="N120" s="275"/>
      <c r="O120" s="276"/>
      <c r="P120" s="277"/>
      <c r="Q120" s="276"/>
      <c r="R120" s="276"/>
      <c r="S120" s="278"/>
      <c r="T120" s="279"/>
      <c r="U120" s="280"/>
      <c r="V120" s="317"/>
      <c r="W120" s="320">
        <f t="shared" si="7"/>
        <v>0</v>
      </c>
      <c r="X120" s="323"/>
      <c r="CX120" s="1"/>
      <c r="CY120" s="1"/>
      <c r="CZ120" s="1"/>
      <c r="DA120" s="1"/>
      <c r="DB120" s="1"/>
      <c r="DC120" s="1"/>
      <c r="DD120" s="1"/>
    </row>
    <row r="121" spans="1:108" ht="15" customHeight="1" x14ac:dyDescent="0.35">
      <c r="B121" s="267" t="s">
        <v>68</v>
      </c>
      <c r="C121" s="268"/>
      <c r="D121" s="269"/>
      <c r="E121" s="270"/>
      <c r="F121" s="271"/>
      <c r="G121" s="272"/>
      <c r="H121" s="273"/>
      <c r="I121" s="273"/>
      <c r="J121" s="273"/>
      <c r="K121" s="273"/>
      <c r="L121" s="273"/>
      <c r="M121" s="274"/>
      <c r="N121" s="275"/>
      <c r="O121" s="276"/>
      <c r="P121" s="277"/>
      <c r="Q121" s="276"/>
      <c r="R121" s="276"/>
      <c r="S121" s="278"/>
      <c r="T121" s="279"/>
      <c r="U121" s="280"/>
      <c r="V121" s="317"/>
      <c r="W121" s="320">
        <f t="shared" si="7"/>
        <v>0</v>
      </c>
      <c r="X121" s="323"/>
      <c r="CX121" s="1"/>
      <c r="CY121" s="1"/>
      <c r="CZ121" s="1"/>
      <c r="DA121" s="1"/>
      <c r="DB121" s="1"/>
      <c r="DC121" s="1"/>
      <c r="DD121" s="1"/>
    </row>
    <row r="122" spans="1:108" ht="15" customHeight="1" x14ac:dyDescent="0.35">
      <c r="B122" s="267" t="s">
        <v>69</v>
      </c>
      <c r="C122" s="268"/>
      <c r="D122" s="269"/>
      <c r="E122" s="270"/>
      <c r="F122" s="271"/>
      <c r="G122" s="272"/>
      <c r="H122" s="273"/>
      <c r="I122" s="273"/>
      <c r="J122" s="273"/>
      <c r="K122" s="273"/>
      <c r="L122" s="273"/>
      <c r="M122" s="274"/>
      <c r="N122" s="275"/>
      <c r="O122" s="276"/>
      <c r="P122" s="277"/>
      <c r="Q122" s="276"/>
      <c r="R122" s="276"/>
      <c r="S122" s="278"/>
      <c r="T122" s="279"/>
      <c r="U122" s="280"/>
      <c r="V122" s="317"/>
      <c r="W122" s="320">
        <f t="shared" si="7"/>
        <v>0</v>
      </c>
      <c r="X122" s="323"/>
      <c r="CX122" s="1"/>
      <c r="CY122" s="1"/>
      <c r="CZ122" s="1"/>
      <c r="DA122" s="1"/>
      <c r="DB122" s="1"/>
      <c r="DC122" s="1"/>
      <c r="DD122" s="1"/>
    </row>
    <row r="123" spans="1:108" ht="15" customHeight="1" x14ac:dyDescent="0.35">
      <c r="B123" s="267" t="s">
        <v>70</v>
      </c>
      <c r="C123" s="268"/>
      <c r="D123" s="269"/>
      <c r="E123" s="270"/>
      <c r="F123" s="271"/>
      <c r="G123" s="272"/>
      <c r="H123" s="273"/>
      <c r="I123" s="273"/>
      <c r="J123" s="273"/>
      <c r="K123" s="273"/>
      <c r="L123" s="273"/>
      <c r="M123" s="274"/>
      <c r="N123" s="275"/>
      <c r="O123" s="276"/>
      <c r="P123" s="277"/>
      <c r="Q123" s="276"/>
      <c r="R123" s="276"/>
      <c r="S123" s="278"/>
      <c r="T123" s="279"/>
      <c r="U123" s="280"/>
      <c r="V123" s="317"/>
      <c r="W123" s="320">
        <f t="shared" si="7"/>
        <v>0</v>
      </c>
      <c r="X123" s="323"/>
      <c r="CX123" s="1"/>
      <c r="CY123" s="1"/>
      <c r="CZ123" s="1"/>
      <c r="DA123" s="1"/>
      <c r="DB123" s="1"/>
      <c r="DC123" s="1"/>
      <c r="DD123" s="1"/>
    </row>
    <row r="124" spans="1:108" ht="15" customHeight="1" thickBot="1" x14ac:dyDescent="0.4">
      <c r="B124" s="282" t="s">
        <v>71</v>
      </c>
      <c r="C124" s="283"/>
      <c r="D124" s="284"/>
      <c r="E124" s="285"/>
      <c r="F124" s="286"/>
      <c r="G124" s="287"/>
      <c r="H124" s="288"/>
      <c r="I124" s="288"/>
      <c r="J124" s="288"/>
      <c r="K124" s="288"/>
      <c r="L124" s="288"/>
      <c r="M124" s="289"/>
      <c r="N124" s="290"/>
      <c r="O124" s="291"/>
      <c r="P124" s="292"/>
      <c r="Q124" s="291"/>
      <c r="R124" s="291"/>
      <c r="S124" s="293"/>
      <c r="T124" s="294"/>
      <c r="U124" s="295"/>
      <c r="V124" s="318"/>
      <c r="W124" s="320">
        <f t="shared" si="7"/>
        <v>0</v>
      </c>
      <c r="X124" s="324"/>
      <c r="CX124" s="1"/>
      <c r="CY124" s="1"/>
      <c r="CZ124" s="1"/>
      <c r="DA124" s="1"/>
      <c r="DB124" s="1"/>
      <c r="DC124" s="1"/>
      <c r="DD124" s="1"/>
    </row>
    <row r="125" spans="1:108" ht="15" customHeight="1" thickBot="1" x14ac:dyDescent="0.25">
      <c r="B125" s="171"/>
      <c r="C125" s="241"/>
      <c r="D125" s="250"/>
      <c r="E125" s="251"/>
      <c r="F125" s="252"/>
      <c r="G125" s="255"/>
      <c r="H125" s="245"/>
      <c r="I125" s="245"/>
      <c r="J125" s="245"/>
      <c r="K125" s="245"/>
      <c r="L125" s="245"/>
      <c r="M125" s="246"/>
      <c r="N125" s="257"/>
      <c r="O125" s="192">
        <f>SUM(O117:O124)</f>
        <v>0</v>
      </c>
      <c r="P125" s="191" t="e">
        <f>AVERAGE(P117:P124)</f>
        <v>#DIV/0!</v>
      </c>
      <c r="Q125" s="191"/>
      <c r="R125" s="192">
        <f>SUM(R117:R124)</f>
        <v>0</v>
      </c>
      <c r="S125" s="191" t="e">
        <f>AVERAGE(S117:S124)</f>
        <v>#DIV/0!</v>
      </c>
      <c r="T125" s="191"/>
      <c r="U125" s="253" t="e">
        <f>AVERAGE(U117:U124)</f>
        <v>#DIV/0!</v>
      </c>
      <c r="V125" s="303"/>
      <c r="W125" s="257"/>
      <c r="X125" s="193"/>
      <c r="CX125" s="1"/>
      <c r="CY125" s="1"/>
      <c r="CZ125" s="1"/>
      <c r="DA125" s="1"/>
      <c r="DB125" s="1"/>
      <c r="DC125" s="1"/>
      <c r="DD125" s="1"/>
    </row>
    <row r="126" spans="1:108" ht="15" customHeight="1" x14ac:dyDescent="0.2">
      <c r="B126" s="3"/>
      <c r="C126" s="3"/>
      <c r="D126" s="3"/>
      <c r="E126" s="15"/>
      <c r="F126" s="3"/>
      <c r="G126" s="18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108" ht="15" customHeight="1" x14ac:dyDescent="0.2">
      <c r="B127" s="3"/>
      <c r="C127" s="3"/>
      <c r="D127" s="3"/>
      <c r="E127" s="15"/>
      <c r="F127" s="3"/>
      <c r="G127" s="18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108" ht="15" customHeight="1" x14ac:dyDescent="0.2">
      <c r="A128" s="24"/>
    </row>
    <row r="129" spans="1:1" ht="15" customHeight="1" x14ac:dyDescent="0.2">
      <c r="A129" s="24"/>
    </row>
    <row r="130" spans="1:1" ht="15" customHeight="1" x14ac:dyDescent="0.2">
      <c r="A130" s="24"/>
    </row>
    <row r="131" spans="1:1" ht="15" hidden="1" customHeight="1" x14ac:dyDescent="0.2">
      <c r="A131" s="24"/>
    </row>
    <row r="132" spans="1:1" ht="15" hidden="1" customHeight="1" x14ac:dyDescent="0.2">
      <c r="A132" s="24"/>
    </row>
    <row r="133" spans="1:1" ht="15" hidden="1" customHeight="1" x14ac:dyDescent="0.2">
      <c r="A133" s="24"/>
    </row>
    <row r="134" spans="1:1" ht="15" hidden="1" customHeight="1" x14ac:dyDescent="0.2">
      <c r="A134" s="24"/>
    </row>
    <row r="135" spans="1:1" ht="15" hidden="1" customHeight="1" x14ac:dyDescent="0.2">
      <c r="A135" s="24"/>
    </row>
    <row r="136" spans="1:1" ht="15" hidden="1" customHeight="1" x14ac:dyDescent="0.2">
      <c r="A136" s="24"/>
    </row>
    <row r="137" spans="1:1" ht="15" hidden="1" customHeight="1" x14ac:dyDescent="0.2">
      <c r="A137" s="24"/>
    </row>
    <row r="138" spans="1:1" ht="15" hidden="1" customHeight="1" x14ac:dyDescent="0.2">
      <c r="A138" s="24"/>
    </row>
    <row r="139" spans="1:1" ht="15" hidden="1" customHeight="1" x14ac:dyDescent="0.2">
      <c r="A139" s="24"/>
    </row>
    <row r="140" spans="1:1" ht="15" hidden="1" customHeight="1" x14ac:dyDescent="0.2">
      <c r="A140" s="24"/>
    </row>
    <row r="141" spans="1:1" ht="15" hidden="1" customHeight="1" x14ac:dyDescent="0.2">
      <c r="A141" s="24"/>
    </row>
    <row r="142" spans="1:1" ht="15" hidden="1" customHeight="1" x14ac:dyDescent="0.2">
      <c r="A142" s="24"/>
    </row>
    <row r="143" spans="1:1" ht="15" hidden="1" customHeight="1" x14ac:dyDescent="0.2">
      <c r="A143" s="24"/>
    </row>
    <row r="144" spans="1:1" ht="15" hidden="1" customHeight="1" x14ac:dyDescent="0.2">
      <c r="A144" s="24"/>
    </row>
    <row r="145" spans="1:24" s="24" customFormat="1" ht="59.25" customHeight="1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s="24" customFormat="1" ht="11.25" customHeight="1" thickBot="1" x14ac:dyDescent="0.25">
      <c r="B146" s="340" t="s">
        <v>50</v>
      </c>
      <c r="C146" s="34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s="24" customFormat="1" ht="12.95" customHeight="1" thickBot="1" x14ac:dyDescent="0.25">
      <c r="B147" s="330" t="s">
        <v>1</v>
      </c>
      <c r="C147" s="328" t="s">
        <v>77</v>
      </c>
      <c r="D147" s="330" t="s">
        <v>51</v>
      </c>
      <c r="E147" s="326" t="s">
        <v>4</v>
      </c>
      <c r="F147" s="332" t="s">
        <v>112</v>
      </c>
      <c r="G147" s="334" t="s">
        <v>52</v>
      </c>
      <c r="H147" s="335"/>
      <c r="I147" s="335"/>
      <c r="J147" s="335"/>
      <c r="K147" s="335"/>
      <c r="L147" s="335"/>
      <c r="M147" s="335"/>
      <c r="N147" s="335"/>
      <c r="O147" s="335"/>
      <c r="P147" s="336"/>
      <c r="Q147" s="337" t="s">
        <v>53</v>
      </c>
      <c r="R147" s="338"/>
      <c r="S147" s="338"/>
      <c r="T147" s="338"/>
      <c r="U147" s="338"/>
      <c r="V147" s="338"/>
      <c r="W147" s="339"/>
      <c r="X147" s="187"/>
    </row>
    <row r="148" spans="1:24" s="24" customFormat="1" ht="29.25" customHeight="1" thickBot="1" x14ac:dyDescent="0.25">
      <c r="B148" s="341"/>
      <c r="C148" s="329"/>
      <c r="D148" s="331"/>
      <c r="E148" s="342"/>
      <c r="F148" s="333"/>
      <c r="G148" s="140" t="s">
        <v>54</v>
      </c>
      <c r="H148" s="9" t="s">
        <v>55</v>
      </c>
      <c r="I148" s="9" t="s">
        <v>56</v>
      </c>
      <c r="J148" s="9" t="s">
        <v>57</v>
      </c>
      <c r="K148" s="9" t="s">
        <v>58</v>
      </c>
      <c r="L148" s="9" t="s">
        <v>59</v>
      </c>
      <c r="M148" s="9" t="s">
        <v>60</v>
      </c>
      <c r="N148" s="9" t="s">
        <v>61</v>
      </c>
      <c r="O148" s="141" t="s">
        <v>62</v>
      </c>
      <c r="P148" s="151" t="s">
        <v>63</v>
      </c>
      <c r="Q148" s="152" t="s">
        <v>54</v>
      </c>
      <c r="R148" s="153" t="s">
        <v>55</v>
      </c>
      <c r="S148" s="153" t="s">
        <v>56</v>
      </c>
      <c r="T148" s="153" t="s">
        <v>57</v>
      </c>
      <c r="U148" s="153" t="s">
        <v>58</v>
      </c>
      <c r="V148" s="153" t="s">
        <v>59</v>
      </c>
      <c r="W148" s="154" t="s">
        <v>60</v>
      </c>
      <c r="X148" s="302"/>
    </row>
    <row r="149" spans="1:24" s="24" customFormat="1" ht="16.5" customHeight="1" x14ac:dyDescent="0.2">
      <c r="B149" s="259" t="s">
        <v>75</v>
      </c>
      <c r="C149" s="145"/>
      <c r="D149" s="142"/>
      <c r="E149" s="12"/>
      <c r="F149" s="32"/>
      <c r="G149" s="34"/>
      <c r="H149" s="35"/>
      <c r="I149" s="35"/>
      <c r="J149" s="35"/>
      <c r="K149" s="35"/>
      <c r="L149" s="35"/>
      <c r="M149" s="35"/>
      <c r="N149" s="35"/>
      <c r="O149" s="35"/>
      <c r="P149" s="155"/>
      <c r="Q149" s="183"/>
      <c r="R149" s="184"/>
      <c r="S149" s="184"/>
      <c r="T149" s="184"/>
      <c r="U149" s="185"/>
      <c r="V149" s="185"/>
      <c r="W149" s="186"/>
    </row>
    <row r="150" spans="1:24" s="24" customFormat="1" ht="15" customHeight="1" x14ac:dyDescent="0.2">
      <c r="B150" s="267" t="s">
        <v>76</v>
      </c>
      <c r="C150" s="146"/>
      <c r="D150" s="143"/>
      <c r="E150" s="13"/>
      <c r="F150" s="43"/>
      <c r="G150" s="45"/>
      <c r="H150" s="46"/>
      <c r="I150" s="46"/>
      <c r="J150" s="46"/>
      <c r="K150" s="46"/>
      <c r="L150" s="46"/>
      <c r="M150" s="46"/>
      <c r="N150" s="46"/>
      <c r="O150" s="46"/>
      <c r="P150" s="160"/>
      <c r="Q150" s="161"/>
      <c r="R150" s="162"/>
      <c r="S150" s="162"/>
      <c r="T150" s="162"/>
      <c r="U150" s="163"/>
      <c r="V150" s="163"/>
      <c r="W150" s="164"/>
    </row>
    <row r="151" spans="1:24" s="24" customFormat="1" ht="15" customHeight="1" x14ac:dyDescent="0.2">
      <c r="B151" s="267" t="s">
        <v>66</v>
      </c>
      <c r="C151" s="146"/>
      <c r="D151" s="143"/>
      <c r="E151" s="13"/>
      <c r="F151" s="43"/>
      <c r="G151" s="45"/>
      <c r="H151" s="46"/>
      <c r="I151" s="46"/>
      <c r="J151" s="46"/>
      <c r="K151" s="46"/>
      <c r="L151" s="46"/>
      <c r="M151" s="46"/>
      <c r="N151" s="46"/>
      <c r="O151" s="46"/>
      <c r="P151" s="160"/>
      <c r="Q151" s="161"/>
      <c r="R151" s="162"/>
      <c r="S151" s="162"/>
      <c r="T151" s="162"/>
      <c r="U151" s="163"/>
      <c r="V151" s="163"/>
      <c r="W151" s="164"/>
    </row>
    <row r="152" spans="1:24" s="24" customFormat="1" ht="15" customHeight="1" x14ac:dyDescent="0.2">
      <c r="B152" s="267" t="s">
        <v>67</v>
      </c>
      <c r="C152" s="146"/>
      <c r="D152" s="143"/>
      <c r="E152" s="13"/>
      <c r="F152" s="43"/>
      <c r="G152" s="45"/>
      <c r="H152" s="46"/>
      <c r="I152" s="46"/>
      <c r="J152" s="46"/>
      <c r="K152" s="46"/>
      <c r="L152" s="46"/>
      <c r="M152" s="46"/>
      <c r="N152" s="46"/>
      <c r="O152" s="46"/>
      <c r="P152" s="160"/>
      <c r="Q152" s="161"/>
      <c r="R152" s="162"/>
      <c r="S152" s="162"/>
      <c r="T152" s="162"/>
      <c r="U152" s="163"/>
      <c r="V152" s="163"/>
      <c r="W152" s="164"/>
    </row>
    <row r="153" spans="1:24" s="24" customFormat="1" ht="15" customHeight="1" x14ac:dyDescent="0.2">
      <c r="B153" s="267" t="s">
        <v>68</v>
      </c>
      <c r="C153" s="146"/>
      <c r="D153" s="143"/>
      <c r="E153" s="13"/>
      <c r="F153" s="43"/>
      <c r="G153" s="45"/>
      <c r="H153" s="46"/>
      <c r="I153" s="46"/>
      <c r="J153" s="46"/>
      <c r="K153" s="46"/>
      <c r="L153" s="46"/>
      <c r="M153" s="46"/>
      <c r="N153" s="46"/>
      <c r="O153" s="46"/>
      <c r="P153" s="160"/>
      <c r="Q153" s="161"/>
      <c r="R153" s="162"/>
      <c r="S153" s="162"/>
      <c r="T153" s="162"/>
      <c r="U153" s="163"/>
      <c r="V153" s="163"/>
      <c r="W153" s="164"/>
    </row>
    <row r="154" spans="1:24" s="24" customFormat="1" ht="15" customHeight="1" x14ac:dyDescent="0.2">
      <c r="B154" s="267" t="s">
        <v>69</v>
      </c>
      <c r="C154" s="146"/>
      <c r="D154" s="143"/>
      <c r="E154" s="13"/>
      <c r="F154" s="43"/>
      <c r="G154" s="45"/>
      <c r="H154" s="46"/>
      <c r="I154" s="46"/>
      <c r="J154" s="46"/>
      <c r="K154" s="46"/>
      <c r="L154" s="46"/>
      <c r="M154" s="46"/>
      <c r="N154" s="46"/>
      <c r="O154" s="46"/>
      <c r="P154" s="160"/>
      <c r="Q154" s="161"/>
      <c r="R154" s="162"/>
      <c r="S154" s="162"/>
      <c r="T154" s="162"/>
      <c r="U154" s="163"/>
      <c r="V154" s="163"/>
      <c r="W154" s="164"/>
    </row>
    <row r="155" spans="1:24" s="24" customFormat="1" ht="15" customHeight="1" x14ac:dyDescent="0.2">
      <c r="B155" s="267" t="s">
        <v>70</v>
      </c>
      <c r="C155" s="146"/>
      <c r="D155" s="143"/>
      <c r="E155" s="13"/>
      <c r="F155" s="43"/>
      <c r="G155" s="45"/>
      <c r="H155" s="46"/>
      <c r="I155" s="46"/>
      <c r="J155" s="46"/>
      <c r="K155" s="46"/>
      <c r="L155" s="46"/>
      <c r="M155" s="46"/>
      <c r="N155" s="46"/>
      <c r="O155" s="46"/>
      <c r="P155" s="160"/>
      <c r="Q155" s="161"/>
      <c r="R155" s="162"/>
      <c r="S155" s="162"/>
      <c r="T155" s="162"/>
      <c r="U155" s="163"/>
      <c r="V155" s="163"/>
      <c r="W155" s="164"/>
    </row>
    <row r="156" spans="1:24" s="24" customFormat="1" ht="15" customHeight="1" x14ac:dyDescent="0.2">
      <c r="B156" s="282" t="s">
        <v>71</v>
      </c>
      <c r="C156" s="146"/>
      <c r="D156" s="143"/>
      <c r="E156" s="13"/>
      <c r="F156" s="43"/>
      <c r="G156" s="45"/>
      <c r="H156" s="46"/>
      <c r="I156" s="46"/>
      <c r="J156" s="46"/>
      <c r="K156" s="46"/>
      <c r="L156" s="46"/>
      <c r="M156" s="46"/>
      <c r="N156" s="46"/>
      <c r="O156" s="46"/>
      <c r="P156" s="160"/>
      <c r="Q156" s="161"/>
      <c r="R156" s="162"/>
      <c r="S156" s="162"/>
      <c r="T156" s="162"/>
      <c r="U156" s="163"/>
      <c r="V156" s="163"/>
      <c r="W156" s="164"/>
    </row>
    <row r="157" spans="1:24" s="24" customFormat="1" ht="15" customHeight="1" thickBot="1" x14ac:dyDescent="0.25">
      <c r="B157" s="14"/>
      <c r="C157" s="147"/>
      <c r="D157" s="144"/>
      <c r="E157" s="14"/>
      <c r="F157" s="54"/>
      <c r="G157" s="56"/>
      <c r="H157" s="57"/>
      <c r="I157" s="57"/>
      <c r="J157" s="57"/>
      <c r="K157" s="57"/>
      <c r="L157" s="57"/>
      <c r="M157" s="57"/>
      <c r="N157" s="57"/>
      <c r="O157" s="57"/>
      <c r="P157" s="165"/>
      <c r="Q157" s="166"/>
      <c r="R157" s="167"/>
      <c r="S157" s="167"/>
      <c r="T157" s="167"/>
      <c r="U157" s="168"/>
      <c r="V157" s="168"/>
      <c r="W157" s="169"/>
    </row>
    <row r="158" spans="1:24" s="24" customFormat="1" ht="1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65" spans="108:108" ht="12.95" customHeight="1" x14ac:dyDescent="0.2">
      <c r="DD165" s="1"/>
    </row>
    <row r="166" spans="108:108" ht="12.95" customHeight="1" x14ac:dyDescent="0.2">
      <c r="DD166" s="1"/>
    </row>
    <row r="167" spans="108:108" ht="12.95" customHeight="1" x14ac:dyDescent="0.2">
      <c r="DD167" s="1"/>
    </row>
    <row r="168" spans="108:108" ht="12.95" customHeight="1" x14ac:dyDescent="0.2">
      <c r="DD168" s="1"/>
    </row>
    <row r="169" spans="108:108" ht="12.95" customHeight="1" x14ac:dyDescent="0.2">
      <c r="DD169" s="1"/>
    </row>
    <row r="170" spans="108:108" ht="12.95" customHeight="1" x14ac:dyDescent="0.2">
      <c r="DD170" s="1"/>
    </row>
    <row r="171" spans="108:108" ht="12.95" customHeight="1" x14ac:dyDescent="0.2">
      <c r="DD171" s="1"/>
    </row>
    <row r="172" spans="108:108" ht="12.95" customHeight="1" x14ac:dyDescent="0.2">
      <c r="DD172" s="1"/>
    </row>
    <row r="173" spans="108:108" ht="12.95" customHeight="1" x14ac:dyDescent="0.2">
      <c r="DD173" s="1"/>
    </row>
    <row r="174" spans="108:108" ht="12.95" customHeight="1" x14ac:dyDescent="0.2">
      <c r="DD174" s="1"/>
    </row>
    <row r="175" spans="108:108" ht="12.95" customHeight="1" x14ac:dyDescent="0.2">
      <c r="DD175" s="1"/>
    </row>
    <row r="176" spans="108:108" ht="12.95" customHeight="1" x14ac:dyDescent="0.2">
      <c r="DD176" s="1"/>
    </row>
    <row r="177" spans="108:108" ht="12.95" customHeight="1" x14ac:dyDescent="0.2">
      <c r="DD177" s="1"/>
    </row>
    <row r="178" spans="108:108" ht="12.95" customHeight="1" x14ac:dyDescent="0.2">
      <c r="DD178" s="1"/>
    </row>
    <row r="179" spans="108:108" ht="12.95" customHeight="1" x14ac:dyDescent="0.2">
      <c r="DD179" s="1"/>
    </row>
    <row r="180" spans="108:108" ht="12.95" customHeight="1" x14ac:dyDescent="0.2">
      <c r="DD180" s="1"/>
    </row>
    <row r="181" spans="108:108" ht="12.95" customHeight="1" x14ac:dyDescent="0.2">
      <c r="DD181" s="1"/>
    </row>
    <row r="182" spans="108:108" ht="12.95" customHeight="1" x14ac:dyDescent="0.2">
      <c r="DD182" s="1"/>
    </row>
    <row r="183" spans="108:108" ht="12.95" customHeight="1" x14ac:dyDescent="0.2">
      <c r="DD183" s="1"/>
    </row>
    <row r="184" spans="108:108" ht="12.95" customHeight="1" x14ac:dyDescent="0.2">
      <c r="DD184" s="1"/>
    </row>
    <row r="185" spans="108:108" ht="12.95" customHeight="1" x14ac:dyDescent="0.2">
      <c r="DD185" s="1"/>
    </row>
    <row r="186" spans="108:108" ht="12.95" customHeight="1" x14ac:dyDescent="0.2">
      <c r="DD186" s="1"/>
    </row>
    <row r="187" spans="108:108" ht="12.95" customHeight="1" x14ac:dyDescent="0.2">
      <c r="DD187" s="1"/>
    </row>
    <row r="188" spans="108:108" ht="12.95" customHeight="1" x14ac:dyDescent="0.2">
      <c r="DD188" s="1"/>
    </row>
    <row r="189" spans="108:108" ht="12.95" customHeight="1" x14ac:dyDescent="0.2">
      <c r="DD189" s="1"/>
    </row>
    <row r="190" spans="108:108" ht="12.95" customHeight="1" x14ac:dyDescent="0.2">
      <c r="DD190" s="1"/>
    </row>
    <row r="191" spans="108:108" ht="12.95" customHeight="1" x14ac:dyDescent="0.2">
      <c r="DD191" s="1"/>
    </row>
    <row r="192" spans="108:108" ht="12.95" customHeight="1" x14ac:dyDescent="0.2">
      <c r="DD192" s="1"/>
    </row>
    <row r="193" spans="108:108" ht="12.95" customHeight="1" x14ac:dyDescent="0.2">
      <c r="DD193" s="1"/>
    </row>
    <row r="194" spans="108:108" ht="12.95" customHeight="1" x14ac:dyDescent="0.2">
      <c r="DD194" s="1"/>
    </row>
    <row r="195" spans="108:108" ht="12.95" customHeight="1" x14ac:dyDescent="0.2">
      <c r="DD195" s="1"/>
    </row>
    <row r="196" spans="108:108" ht="12.95" customHeight="1" x14ac:dyDescent="0.2">
      <c r="DD196" s="1"/>
    </row>
    <row r="197" spans="108:108" ht="12.95" customHeight="1" x14ac:dyDescent="0.2">
      <c r="DD197" s="1"/>
    </row>
  </sheetData>
  <sheetProtection autoFilter="0"/>
  <mergeCells count="49">
    <mergeCell ref="G147:P147"/>
    <mergeCell ref="Q147:W147"/>
    <mergeCell ref="B51:B52"/>
    <mergeCell ref="C51:C52"/>
    <mergeCell ref="D51:D52"/>
    <mergeCell ref="E51:E52"/>
    <mergeCell ref="F51:F52"/>
    <mergeCell ref="B146:C146"/>
    <mergeCell ref="B147:B148"/>
    <mergeCell ref="C147:C148"/>
    <mergeCell ref="D147:D148"/>
    <mergeCell ref="E147:E148"/>
    <mergeCell ref="F147:F148"/>
    <mergeCell ref="B99:B100"/>
    <mergeCell ref="C99:C100"/>
    <mergeCell ref="D99:D100"/>
    <mergeCell ref="E99:E100"/>
    <mergeCell ref="F99:F100"/>
    <mergeCell ref="B115:B116"/>
    <mergeCell ref="C115:C116"/>
    <mergeCell ref="D115:D116"/>
    <mergeCell ref="E115:E116"/>
    <mergeCell ref="F115:F116"/>
    <mergeCell ref="B67:B68"/>
    <mergeCell ref="C67:C68"/>
    <mergeCell ref="D67:D68"/>
    <mergeCell ref="E67:E68"/>
    <mergeCell ref="F67:F68"/>
    <mergeCell ref="B83:B84"/>
    <mergeCell ref="C83:C84"/>
    <mergeCell ref="D83:D84"/>
    <mergeCell ref="E83:E84"/>
    <mergeCell ref="F83:F84"/>
    <mergeCell ref="B19:B20"/>
    <mergeCell ref="C19:C20"/>
    <mergeCell ref="D19:D20"/>
    <mergeCell ref="E19:E20"/>
    <mergeCell ref="F19:F20"/>
    <mergeCell ref="B35:B36"/>
    <mergeCell ref="C35:C36"/>
    <mergeCell ref="D35:D36"/>
    <mergeCell ref="E35:E36"/>
    <mergeCell ref="F35:F36"/>
    <mergeCell ref="B1:W1"/>
    <mergeCell ref="B3:B4"/>
    <mergeCell ref="C3:C4"/>
    <mergeCell ref="D3:D4"/>
    <mergeCell ref="E3:E4"/>
    <mergeCell ref="F3:F4"/>
  </mergeCells>
  <phoneticPr fontId="1" type="noConversion"/>
  <printOptions horizontalCentered="1"/>
  <pageMargins left="0.196850393700787" right="0.15748031496063" top="0.43307086614173201" bottom="0.23622047244094499" header="0.511811023622047" footer="0.511811023622047"/>
  <pageSetup paperSize="9" scale="90" orientation="portrait" r:id="rId1"/>
  <headerFooter scaleWithDoc="0" alignWithMargins="0"/>
  <rowBreaks count="2" manualBreakCount="2">
    <brk id="65" max="23" man="1"/>
    <brk id="112" max="2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1C45-BECF-4AFD-AFED-5C6E4D564E14}">
  <sheetPr>
    <tabColor theme="4" tint="-0.249977111117893"/>
  </sheetPr>
  <dimension ref="A1:DD197"/>
  <sheetViews>
    <sheetView tabSelected="1" topLeftCell="A103" zoomScaleNormal="100" zoomScaleSheetLayoutView="100" workbookViewId="0">
      <selection activeCell="I143" sqref="I143"/>
    </sheetView>
  </sheetViews>
  <sheetFormatPr defaultColWidth="9" defaultRowHeight="12.95" customHeight="1" x14ac:dyDescent="0.2"/>
  <cols>
    <col min="1" max="1" width="0.75" style="1" customWidth="1"/>
    <col min="2" max="3" width="3.625" style="1" customWidth="1"/>
    <col min="4" max="4" width="4.5" style="1" customWidth="1"/>
    <col min="5" max="5" width="5.375" style="1" customWidth="1"/>
    <col min="6" max="6" width="4.75" style="1" customWidth="1"/>
    <col min="7" max="24" width="5.125" style="1" customWidth="1"/>
    <col min="25" max="108" width="9" style="24"/>
    <col min="109" max="16384" width="9" style="1"/>
  </cols>
  <sheetData>
    <row r="1" spans="2:108" ht="17.25" customHeight="1" x14ac:dyDescent="0.2">
      <c r="B1" s="325" t="s">
        <v>100</v>
      </c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297"/>
    </row>
    <row r="2" spans="2:108" s="5" customFormat="1" ht="15" customHeight="1" thickBot="1" x14ac:dyDescent="0.25">
      <c r="B2" s="2" t="s">
        <v>0</v>
      </c>
      <c r="C2" s="2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</row>
    <row r="3" spans="2:108" s="6" customFormat="1" ht="13.5" customHeight="1" thickBot="1" x14ac:dyDescent="0.25">
      <c r="B3" s="326" t="s">
        <v>1</v>
      </c>
      <c r="C3" s="328" t="s">
        <v>77</v>
      </c>
      <c r="D3" s="330" t="s">
        <v>2</v>
      </c>
      <c r="E3" s="326" t="s">
        <v>3</v>
      </c>
      <c r="F3" s="332" t="s">
        <v>112</v>
      </c>
      <c r="G3" s="213"/>
      <c r="H3" s="254" t="s">
        <v>5</v>
      </c>
      <c r="I3" s="254"/>
      <c r="J3" s="254"/>
      <c r="K3" s="254"/>
      <c r="L3" s="254"/>
      <c r="M3" s="254"/>
      <c r="N3" s="247" t="s">
        <v>6</v>
      </c>
      <c r="O3" s="248"/>
      <c r="P3" s="248"/>
      <c r="Q3" s="248"/>
      <c r="R3" s="248"/>
      <c r="S3" s="248"/>
      <c r="T3" s="248"/>
      <c r="U3" s="248"/>
      <c r="V3" s="248"/>
      <c r="W3" s="249"/>
      <c r="X3" s="249"/>
      <c r="Y3" s="201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</row>
    <row r="4" spans="2:108" s="6" customFormat="1" ht="40.5" customHeight="1" thickBot="1" x14ac:dyDescent="0.25">
      <c r="B4" s="327"/>
      <c r="C4" s="329"/>
      <c r="D4" s="331"/>
      <c r="E4" s="327"/>
      <c r="F4" s="333"/>
      <c r="G4" s="256" t="s">
        <v>124</v>
      </c>
      <c r="H4" s="153" t="s">
        <v>126</v>
      </c>
      <c r="I4" s="153" t="s">
        <v>128</v>
      </c>
      <c r="J4" s="153" t="s">
        <v>130</v>
      </c>
      <c r="K4" s="153" t="s">
        <v>132</v>
      </c>
      <c r="L4" s="153" t="s">
        <v>134</v>
      </c>
      <c r="M4" s="258" t="s">
        <v>136</v>
      </c>
      <c r="N4" s="304" t="s">
        <v>107</v>
      </c>
      <c r="O4" s="207" t="s">
        <v>18</v>
      </c>
      <c r="P4" s="207" t="s">
        <v>19</v>
      </c>
      <c r="Q4" s="207" t="s">
        <v>111</v>
      </c>
      <c r="R4" s="207" t="s">
        <v>20</v>
      </c>
      <c r="S4" s="305" t="s">
        <v>21</v>
      </c>
      <c r="T4" s="305" t="s">
        <v>110</v>
      </c>
      <c r="U4" s="306" t="s">
        <v>22</v>
      </c>
      <c r="V4" s="315" t="s">
        <v>111</v>
      </c>
      <c r="W4" s="304" t="s">
        <v>138</v>
      </c>
      <c r="X4" s="307" t="s">
        <v>112</v>
      </c>
      <c r="Y4" s="200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</row>
    <row r="5" spans="2:108" ht="14.25" customHeight="1" x14ac:dyDescent="0.35">
      <c r="B5" s="259" t="s">
        <v>88</v>
      </c>
      <c r="C5" s="260"/>
      <c r="D5" s="261"/>
      <c r="E5" s="262"/>
      <c r="F5" s="263"/>
      <c r="G5" s="264"/>
      <c r="H5" s="265"/>
      <c r="I5" s="265"/>
      <c r="J5" s="265"/>
      <c r="K5" s="265"/>
      <c r="L5" s="265"/>
      <c r="M5" s="266"/>
      <c r="N5" s="308"/>
      <c r="O5" s="309"/>
      <c r="P5" s="310"/>
      <c r="Q5" s="309"/>
      <c r="R5" s="309"/>
      <c r="S5" s="311"/>
      <c r="T5" s="312"/>
      <c r="U5" s="313"/>
      <c r="V5" s="316"/>
      <c r="W5" s="319">
        <f>Q5*-3+T5*-1+V5*-1</f>
        <v>0</v>
      </c>
      <c r="X5" s="322"/>
      <c r="Y5" s="201"/>
      <c r="CZ5" s="1"/>
      <c r="DA5" s="1"/>
      <c r="DB5" s="1"/>
      <c r="DC5" s="1"/>
      <c r="DD5" s="1"/>
    </row>
    <row r="6" spans="2:108" ht="14.25" customHeight="1" x14ac:dyDescent="0.35">
      <c r="B6" s="267" t="s">
        <v>89</v>
      </c>
      <c r="C6" s="268"/>
      <c r="D6" s="269"/>
      <c r="E6" s="270"/>
      <c r="F6" s="271"/>
      <c r="G6" s="272"/>
      <c r="H6" s="273"/>
      <c r="I6" s="273"/>
      <c r="J6" s="273"/>
      <c r="K6" s="273"/>
      <c r="L6" s="273"/>
      <c r="M6" s="274"/>
      <c r="N6" s="275"/>
      <c r="O6" s="276"/>
      <c r="P6" s="277"/>
      <c r="Q6" s="276"/>
      <c r="R6" s="276"/>
      <c r="S6" s="278"/>
      <c r="T6" s="279"/>
      <c r="U6" s="280"/>
      <c r="V6" s="317"/>
      <c r="W6" s="320">
        <f>Q6*-3+T6*-1+V6*-1</f>
        <v>0</v>
      </c>
      <c r="X6" s="323"/>
      <c r="Y6" s="200"/>
      <c r="CZ6" s="1"/>
      <c r="DA6" s="1"/>
      <c r="DB6" s="1"/>
      <c r="DC6" s="1"/>
      <c r="DD6" s="1"/>
    </row>
    <row r="7" spans="2:108" ht="14.25" customHeight="1" x14ac:dyDescent="0.35">
      <c r="B7" s="267" t="s">
        <v>90</v>
      </c>
      <c r="C7" s="268"/>
      <c r="D7" s="269"/>
      <c r="E7" s="270"/>
      <c r="F7" s="271"/>
      <c r="G7" s="272"/>
      <c r="H7" s="273"/>
      <c r="I7" s="273"/>
      <c r="J7" s="273"/>
      <c r="K7" s="273"/>
      <c r="L7" s="273"/>
      <c r="M7" s="274"/>
      <c r="N7" s="275"/>
      <c r="O7" s="276"/>
      <c r="P7" s="277"/>
      <c r="Q7" s="276"/>
      <c r="R7" s="276"/>
      <c r="S7" s="278"/>
      <c r="T7" s="279"/>
      <c r="U7" s="280"/>
      <c r="V7" s="317"/>
      <c r="W7" s="320">
        <f t="shared" ref="W7:W12" si="0">Q7*-3+T7*-1+V7*-1</f>
        <v>0</v>
      </c>
      <c r="X7" s="323"/>
      <c r="Y7" s="201"/>
      <c r="CZ7" s="1"/>
      <c r="DA7" s="1"/>
      <c r="DB7" s="1"/>
      <c r="DC7" s="1"/>
      <c r="DD7" s="1"/>
    </row>
    <row r="8" spans="2:108" ht="14.25" customHeight="1" x14ac:dyDescent="0.35">
      <c r="B8" s="267" t="s">
        <v>91</v>
      </c>
      <c r="C8" s="268"/>
      <c r="D8" s="269"/>
      <c r="E8" s="270"/>
      <c r="F8" s="271"/>
      <c r="G8" s="272"/>
      <c r="H8" s="273"/>
      <c r="I8" s="273"/>
      <c r="J8" s="273"/>
      <c r="K8" s="273"/>
      <c r="L8" s="273"/>
      <c r="M8" s="274"/>
      <c r="N8" s="275"/>
      <c r="O8" s="276"/>
      <c r="P8" s="277"/>
      <c r="Q8" s="276"/>
      <c r="R8" s="276"/>
      <c r="S8" s="278"/>
      <c r="T8" s="279"/>
      <c r="U8" s="280"/>
      <c r="V8" s="317"/>
      <c r="W8" s="320">
        <f t="shared" si="0"/>
        <v>0</v>
      </c>
      <c r="X8" s="323"/>
      <c r="Y8" s="200"/>
      <c r="CZ8" s="1"/>
      <c r="DA8" s="1"/>
      <c r="DB8" s="1"/>
      <c r="DC8" s="1"/>
      <c r="DD8" s="1"/>
    </row>
    <row r="9" spans="2:108" ht="14.25" customHeight="1" x14ac:dyDescent="0.35">
      <c r="B9" s="267" t="s">
        <v>92</v>
      </c>
      <c r="C9" s="268"/>
      <c r="D9" s="269"/>
      <c r="E9" s="270"/>
      <c r="F9" s="271"/>
      <c r="G9" s="272"/>
      <c r="H9" s="273"/>
      <c r="I9" s="273"/>
      <c r="J9" s="273"/>
      <c r="K9" s="273"/>
      <c r="L9" s="273"/>
      <c r="M9" s="274"/>
      <c r="N9" s="275"/>
      <c r="O9" s="276"/>
      <c r="P9" s="277"/>
      <c r="Q9" s="276"/>
      <c r="R9" s="276"/>
      <c r="S9" s="278"/>
      <c r="T9" s="279"/>
      <c r="U9" s="280"/>
      <c r="V9" s="317"/>
      <c r="W9" s="320">
        <f t="shared" si="0"/>
        <v>0</v>
      </c>
      <c r="X9" s="323"/>
      <c r="Y9" s="201"/>
      <c r="CZ9" s="1"/>
      <c r="DA9" s="1"/>
      <c r="DB9" s="1"/>
      <c r="DC9" s="1"/>
      <c r="DD9" s="1"/>
    </row>
    <row r="10" spans="2:108" ht="14.25" customHeight="1" x14ac:dyDescent="0.35">
      <c r="B10" s="267" t="s">
        <v>93</v>
      </c>
      <c r="C10" s="268"/>
      <c r="D10" s="269"/>
      <c r="E10" s="270"/>
      <c r="F10" s="271"/>
      <c r="G10" s="272"/>
      <c r="H10" s="273"/>
      <c r="I10" s="273"/>
      <c r="J10" s="273"/>
      <c r="K10" s="273"/>
      <c r="L10" s="273"/>
      <c r="M10" s="274"/>
      <c r="N10" s="275"/>
      <c r="O10" s="276"/>
      <c r="P10" s="277"/>
      <c r="Q10" s="276"/>
      <c r="R10" s="276"/>
      <c r="S10" s="278"/>
      <c r="T10" s="279"/>
      <c r="U10" s="280"/>
      <c r="V10" s="317"/>
      <c r="W10" s="320">
        <f t="shared" si="0"/>
        <v>0</v>
      </c>
      <c r="X10" s="323"/>
      <c r="Y10" s="200"/>
      <c r="CZ10" s="1"/>
      <c r="DA10" s="1"/>
      <c r="DB10" s="1"/>
      <c r="DC10" s="1"/>
      <c r="DD10" s="1"/>
    </row>
    <row r="11" spans="2:108" ht="14.25" customHeight="1" x14ac:dyDescent="0.35">
      <c r="B11" s="267" t="s">
        <v>94</v>
      </c>
      <c r="C11" s="268"/>
      <c r="D11" s="269"/>
      <c r="E11" s="270"/>
      <c r="F11" s="271"/>
      <c r="G11" s="272"/>
      <c r="H11" s="273"/>
      <c r="I11" s="273"/>
      <c r="J11" s="273"/>
      <c r="K11" s="273"/>
      <c r="L11" s="273"/>
      <c r="M11" s="274"/>
      <c r="N11" s="275"/>
      <c r="O11" s="276"/>
      <c r="P11" s="277"/>
      <c r="Q11" s="276"/>
      <c r="R11" s="276"/>
      <c r="S11" s="278"/>
      <c r="T11" s="279"/>
      <c r="U11" s="280"/>
      <c r="V11" s="317"/>
      <c r="W11" s="320">
        <f t="shared" si="0"/>
        <v>0</v>
      </c>
      <c r="X11" s="323"/>
      <c r="Y11" s="201"/>
      <c r="CZ11" s="1"/>
      <c r="DA11" s="1"/>
      <c r="DB11" s="1"/>
      <c r="DC11" s="1"/>
      <c r="DD11" s="1"/>
    </row>
    <row r="12" spans="2:108" ht="14.25" customHeight="1" thickBot="1" x14ac:dyDescent="0.4">
      <c r="B12" s="282" t="s">
        <v>95</v>
      </c>
      <c r="C12" s="283"/>
      <c r="D12" s="284"/>
      <c r="E12" s="285"/>
      <c r="F12" s="286"/>
      <c r="G12" s="287"/>
      <c r="H12" s="288"/>
      <c r="I12" s="288"/>
      <c r="J12" s="288"/>
      <c r="K12" s="288"/>
      <c r="L12" s="288"/>
      <c r="M12" s="289"/>
      <c r="N12" s="290"/>
      <c r="O12" s="291"/>
      <c r="P12" s="292"/>
      <c r="Q12" s="291"/>
      <c r="R12" s="291"/>
      <c r="S12" s="293"/>
      <c r="T12" s="294"/>
      <c r="U12" s="295"/>
      <c r="V12" s="318"/>
      <c r="W12" s="320">
        <f t="shared" si="0"/>
        <v>0</v>
      </c>
      <c r="X12" s="324"/>
      <c r="Y12" s="200"/>
      <c r="CZ12" s="1"/>
      <c r="DA12" s="1"/>
      <c r="DB12" s="1"/>
      <c r="DC12" s="1"/>
      <c r="DD12" s="1"/>
    </row>
    <row r="13" spans="2:108" ht="14.25" customHeight="1" thickBot="1" x14ac:dyDescent="0.25">
      <c r="B13" s="171"/>
      <c r="C13" s="241"/>
      <c r="D13" s="250"/>
      <c r="E13" s="251"/>
      <c r="F13" s="252"/>
      <c r="G13" s="255"/>
      <c r="H13" s="245"/>
      <c r="I13" s="245"/>
      <c r="J13" s="245"/>
      <c r="K13" s="245"/>
      <c r="L13" s="245"/>
      <c r="M13" s="246"/>
      <c r="N13" s="257"/>
      <c r="O13" s="192">
        <f>SUM(O5:O12)</f>
        <v>0</v>
      </c>
      <c r="P13" s="191" t="e">
        <f>AVERAGE(P5:P12)</f>
        <v>#DIV/0!</v>
      </c>
      <c r="Q13" s="191"/>
      <c r="R13" s="192">
        <f>SUM(R5:R12)</f>
        <v>0</v>
      </c>
      <c r="S13" s="191" t="e">
        <f>AVERAGE(S5:S12)</f>
        <v>#DIV/0!</v>
      </c>
      <c r="T13" s="191"/>
      <c r="U13" s="253" t="e">
        <f>AVERAGE(U5:U12)</f>
        <v>#DIV/0!</v>
      </c>
      <c r="V13" s="303"/>
      <c r="W13" s="257"/>
      <c r="X13" s="193"/>
      <c r="Y13" s="201"/>
      <c r="CZ13" s="1"/>
      <c r="DA13" s="1"/>
      <c r="DB13" s="1"/>
      <c r="DC13" s="1"/>
      <c r="DD13" s="1"/>
    </row>
    <row r="14" spans="2:108" ht="14.25" customHeight="1" x14ac:dyDescent="0.2">
      <c r="B14" s="15"/>
      <c r="C14" s="15"/>
      <c r="D14" s="174"/>
      <c r="E14" s="15"/>
      <c r="F14" s="15"/>
      <c r="G14" s="1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</row>
    <row r="15" spans="2:108" ht="14.25" customHeight="1" x14ac:dyDescent="0.2">
      <c r="B15" s="15"/>
      <c r="C15" s="15"/>
      <c r="D15" s="174"/>
      <c r="E15" s="15"/>
      <c r="F15" s="15"/>
      <c r="G15" s="1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</row>
    <row r="16" spans="2:108" ht="14.25" customHeight="1" x14ac:dyDescent="0.2">
      <c r="B16" s="15"/>
      <c r="C16" s="15"/>
      <c r="D16" s="174"/>
      <c r="E16" s="15"/>
      <c r="F16" s="15"/>
      <c r="G16" s="1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</row>
    <row r="17" spans="1:108" ht="14.25" customHeight="1" x14ac:dyDescent="0.2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108" ht="50.25" customHeight="1" thickBot="1" x14ac:dyDescent="0.25">
      <c r="B18" s="17" t="s">
        <v>23</v>
      </c>
      <c r="C18" s="17"/>
    </row>
    <row r="19" spans="1:108" ht="18" customHeight="1" thickBot="1" x14ac:dyDescent="0.25">
      <c r="A19" s="6"/>
      <c r="B19" s="326" t="s">
        <v>1</v>
      </c>
      <c r="C19" s="328" t="s">
        <v>77</v>
      </c>
      <c r="D19" s="330" t="s">
        <v>2</v>
      </c>
      <c r="E19" s="326" t="s">
        <v>3</v>
      </c>
      <c r="F19" s="332" t="s">
        <v>112</v>
      </c>
      <c r="G19" s="213"/>
      <c r="H19" s="254" t="s">
        <v>5</v>
      </c>
      <c r="I19" s="254"/>
      <c r="J19" s="254"/>
      <c r="K19" s="254"/>
      <c r="L19" s="254"/>
      <c r="M19" s="254"/>
      <c r="N19" s="247" t="s">
        <v>6</v>
      </c>
      <c r="O19" s="248"/>
      <c r="P19" s="248"/>
      <c r="Q19" s="248"/>
      <c r="R19" s="248"/>
      <c r="S19" s="248"/>
      <c r="T19" s="248"/>
      <c r="U19" s="248"/>
      <c r="V19" s="248"/>
      <c r="W19" s="249"/>
      <c r="X19" s="249"/>
      <c r="CX19" s="1"/>
      <c r="CY19" s="1"/>
      <c r="CZ19" s="1"/>
      <c r="DA19" s="1"/>
      <c r="DB19" s="1"/>
      <c r="DC19" s="1"/>
      <c r="DD19" s="1"/>
    </row>
    <row r="20" spans="1:108" s="6" customFormat="1" ht="36" customHeight="1" thickBot="1" x14ac:dyDescent="0.25">
      <c r="B20" s="327"/>
      <c r="C20" s="329"/>
      <c r="D20" s="331"/>
      <c r="E20" s="327"/>
      <c r="F20" s="333"/>
      <c r="G20" s="256" t="s">
        <v>123</v>
      </c>
      <c r="H20" s="153" t="s">
        <v>125</v>
      </c>
      <c r="I20" s="153" t="s">
        <v>127</v>
      </c>
      <c r="J20" s="153" t="s">
        <v>129</v>
      </c>
      <c r="K20" s="153" t="s">
        <v>131</v>
      </c>
      <c r="L20" s="153" t="s">
        <v>133</v>
      </c>
      <c r="M20" s="258" t="s">
        <v>135</v>
      </c>
      <c r="N20" s="304" t="s">
        <v>107</v>
      </c>
      <c r="O20" s="207" t="s">
        <v>18</v>
      </c>
      <c r="P20" s="207" t="s">
        <v>19</v>
      </c>
      <c r="Q20" s="207" t="s">
        <v>111</v>
      </c>
      <c r="R20" s="207" t="s">
        <v>20</v>
      </c>
      <c r="S20" s="305" t="s">
        <v>21</v>
      </c>
      <c r="T20" s="305" t="s">
        <v>110</v>
      </c>
      <c r="U20" s="306" t="s">
        <v>22</v>
      </c>
      <c r="V20" s="315" t="s">
        <v>111</v>
      </c>
      <c r="W20" s="304" t="s">
        <v>3</v>
      </c>
      <c r="X20" s="307" t="s">
        <v>137</v>
      </c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</row>
    <row r="21" spans="1:108" s="6" customFormat="1" ht="17.25" customHeight="1" x14ac:dyDescent="0.35">
      <c r="A21" s="1"/>
      <c r="B21" s="259" t="s">
        <v>88</v>
      </c>
      <c r="C21" s="260"/>
      <c r="D21" s="261"/>
      <c r="E21" s="262"/>
      <c r="F21" s="263"/>
      <c r="G21" s="264"/>
      <c r="H21" s="265"/>
      <c r="I21" s="265"/>
      <c r="J21" s="265"/>
      <c r="K21" s="265"/>
      <c r="L21" s="265"/>
      <c r="M21" s="266"/>
      <c r="N21" s="308"/>
      <c r="O21" s="309"/>
      <c r="P21" s="310"/>
      <c r="Q21" s="309"/>
      <c r="R21" s="309"/>
      <c r="S21" s="311"/>
      <c r="T21" s="312"/>
      <c r="U21" s="313"/>
      <c r="V21" s="316"/>
      <c r="W21" s="319">
        <f>Q21*-3+T21*-1+V21*-1</f>
        <v>0</v>
      </c>
      <c r="X21" s="322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</row>
    <row r="22" spans="1:108" ht="15.75" customHeight="1" x14ac:dyDescent="0.35">
      <c r="B22" s="267" t="s">
        <v>89</v>
      </c>
      <c r="C22" s="268"/>
      <c r="D22" s="269"/>
      <c r="E22" s="270"/>
      <c r="F22" s="271"/>
      <c r="G22" s="272"/>
      <c r="H22" s="273"/>
      <c r="I22" s="273"/>
      <c r="J22" s="273"/>
      <c r="K22" s="273"/>
      <c r="L22" s="273"/>
      <c r="M22" s="274"/>
      <c r="N22" s="275"/>
      <c r="O22" s="276"/>
      <c r="P22" s="277"/>
      <c r="Q22" s="276"/>
      <c r="R22" s="276"/>
      <c r="S22" s="278"/>
      <c r="T22" s="279"/>
      <c r="U22" s="280"/>
      <c r="V22" s="317"/>
      <c r="W22" s="320">
        <f>Q22*-3+T22*-1+V22*-1</f>
        <v>0</v>
      </c>
      <c r="X22" s="323"/>
      <c r="CX22" s="1"/>
      <c r="CY22" s="1"/>
      <c r="CZ22" s="1"/>
      <c r="DA22" s="1"/>
      <c r="DB22" s="1"/>
      <c r="DC22" s="1"/>
      <c r="DD22" s="1"/>
    </row>
    <row r="23" spans="1:108" ht="15.75" customHeight="1" x14ac:dyDescent="0.35">
      <c r="B23" s="267" t="s">
        <v>90</v>
      </c>
      <c r="C23" s="268"/>
      <c r="D23" s="269"/>
      <c r="E23" s="270"/>
      <c r="F23" s="271"/>
      <c r="G23" s="272"/>
      <c r="H23" s="273"/>
      <c r="I23" s="273"/>
      <c r="J23" s="273"/>
      <c r="K23" s="273"/>
      <c r="L23" s="273"/>
      <c r="M23" s="274"/>
      <c r="N23" s="275"/>
      <c r="O23" s="276"/>
      <c r="P23" s="277"/>
      <c r="Q23" s="276"/>
      <c r="R23" s="276"/>
      <c r="S23" s="278"/>
      <c r="T23" s="279"/>
      <c r="U23" s="280"/>
      <c r="V23" s="317"/>
      <c r="W23" s="320">
        <f t="shared" ref="W23:W28" si="1">Q23*-3+T23*-1+V23*-1</f>
        <v>0</v>
      </c>
      <c r="X23" s="323"/>
      <c r="CX23" s="1"/>
      <c r="CY23" s="1"/>
      <c r="CZ23" s="1"/>
      <c r="DA23" s="1"/>
      <c r="DB23" s="1"/>
      <c r="DC23" s="1"/>
      <c r="DD23" s="1"/>
    </row>
    <row r="24" spans="1:108" ht="15.75" customHeight="1" x14ac:dyDescent="0.35">
      <c r="B24" s="267" t="s">
        <v>91</v>
      </c>
      <c r="C24" s="268"/>
      <c r="D24" s="269"/>
      <c r="E24" s="270"/>
      <c r="F24" s="271"/>
      <c r="G24" s="272"/>
      <c r="H24" s="273"/>
      <c r="I24" s="273"/>
      <c r="J24" s="273"/>
      <c r="K24" s="273"/>
      <c r="L24" s="273"/>
      <c r="M24" s="274"/>
      <c r="N24" s="275"/>
      <c r="O24" s="276"/>
      <c r="P24" s="277"/>
      <c r="Q24" s="276"/>
      <c r="R24" s="276"/>
      <c r="S24" s="278"/>
      <c r="T24" s="279"/>
      <c r="U24" s="280"/>
      <c r="V24" s="317"/>
      <c r="W24" s="320">
        <f t="shared" si="1"/>
        <v>0</v>
      </c>
      <c r="X24" s="323"/>
      <c r="CX24" s="1"/>
      <c r="CY24" s="1"/>
      <c r="CZ24" s="1"/>
      <c r="DA24" s="1"/>
      <c r="DB24" s="1"/>
      <c r="DC24" s="1"/>
      <c r="DD24" s="1"/>
    </row>
    <row r="25" spans="1:108" ht="15.75" customHeight="1" x14ac:dyDescent="0.35">
      <c r="B25" s="267" t="s">
        <v>92</v>
      </c>
      <c r="C25" s="268"/>
      <c r="D25" s="269"/>
      <c r="E25" s="270"/>
      <c r="F25" s="271"/>
      <c r="G25" s="272"/>
      <c r="H25" s="273"/>
      <c r="I25" s="273"/>
      <c r="J25" s="273"/>
      <c r="K25" s="273"/>
      <c r="L25" s="273"/>
      <c r="M25" s="274"/>
      <c r="N25" s="275"/>
      <c r="O25" s="276"/>
      <c r="P25" s="277"/>
      <c r="Q25" s="276"/>
      <c r="R25" s="276"/>
      <c r="S25" s="278"/>
      <c r="T25" s="279"/>
      <c r="U25" s="280"/>
      <c r="V25" s="317"/>
      <c r="W25" s="320">
        <f t="shared" si="1"/>
        <v>0</v>
      </c>
      <c r="X25" s="323"/>
      <c r="CX25" s="1"/>
      <c r="CY25" s="1"/>
      <c r="CZ25" s="1"/>
      <c r="DA25" s="1"/>
      <c r="DB25" s="1"/>
      <c r="DC25" s="1"/>
      <c r="DD25" s="1"/>
    </row>
    <row r="26" spans="1:108" ht="15.75" customHeight="1" x14ac:dyDescent="0.35">
      <c r="B26" s="267" t="s">
        <v>93</v>
      </c>
      <c r="C26" s="268"/>
      <c r="D26" s="269"/>
      <c r="E26" s="270"/>
      <c r="F26" s="271"/>
      <c r="G26" s="272"/>
      <c r="H26" s="273"/>
      <c r="I26" s="273"/>
      <c r="J26" s="273"/>
      <c r="K26" s="273"/>
      <c r="L26" s="273"/>
      <c r="M26" s="274"/>
      <c r="N26" s="275"/>
      <c r="O26" s="276"/>
      <c r="P26" s="277"/>
      <c r="Q26" s="276"/>
      <c r="R26" s="276"/>
      <c r="S26" s="278"/>
      <c r="T26" s="279"/>
      <c r="U26" s="280"/>
      <c r="V26" s="317"/>
      <c r="W26" s="320">
        <f t="shared" si="1"/>
        <v>0</v>
      </c>
      <c r="X26" s="323"/>
      <c r="CX26" s="1"/>
      <c r="CY26" s="1"/>
      <c r="CZ26" s="1"/>
      <c r="DA26" s="1"/>
      <c r="DB26" s="1"/>
      <c r="DC26" s="1"/>
      <c r="DD26" s="1"/>
    </row>
    <row r="27" spans="1:108" ht="15.75" customHeight="1" x14ac:dyDescent="0.35">
      <c r="B27" s="267" t="s">
        <v>94</v>
      </c>
      <c r="C27" s="268"/>
      <c r="D27" s="269"/>
      <c r="E27" s="270"/>
      <c r="F27" s="271"/>
      <c r="G27" s="272"/>
      <c r="H27" s="273"/>
      <c r="I27" s="273"/>
      <c r="J27" s="273"/>
      <c r="K27" s="273"/>
      <c r="L27" s="273"/>
      <c r="M27" s="274"/>
      <c r="N27" s="275"/>
      <c r="O27" s="276"/>
      <c r="P27" s="277"/>
      <c r="Q27" s="276"/>
      <c r="R27" s="276"/>
      <c r="S27" s="278"/>
      <c r="T27" s="279"/>
      <c r="U27" s="280"/>
      <c r="V27" s="317"/>
      <c r="W27" s="320">
        <f t="shared" si="1"/>
        <v>0</v>
      </c>
      <c r="X27" s="323"/>
      <c r="CX27" s="1"/>
      <c r="CY27" s="1"/>
      <c r="CZ27" s="1"/>
      <c r="DA27" s="1"/>
      <c r="DB27" s="1"/>
      <c r="DC27" s="1"/>
      <c r="DD27" s="1"/>
    </row>
    <row r="28" spans="1:108" ht="15.75" customHeight="1" thickBot="1" x14ac:dyDescent="0.4">
      <c r="B28" s="282" t="s">
        <v>95</v>
      </c>
      <c r="C28" s="283"/>
      <c r="D28" s="284"/>
      <c r="E28" s="285"/>
      <c r="F28" s="286"/>
      <c r="G28" s="287"/>
      <c r="H28" s="288"/>
      <c r="I28" s="288"/>
      <c r="J28" s="288"/>
      <c r="K28" s="288"/>
      <c r="L28" s="288"/>
      <c r="M28" s="289"/>
      <c r="N28" s="290"/>
      <c r="O28" s="291"/>
      <c r="P28" s="292"/>
      <c r="Q28" s="291"/>
      <c r="R28" s="291"/>
      <c r="S28" s="293"/>
      <c r="T28" s="294"/>
      <c r="U28" s="295"/>
      <c r="V28" s="318"/>
      <c r="W28" s="320">
        <f t="shared" si="1"/>
        <v>0</v>
      </c>
      <c r="X28" s="324"/>
      <c r="CX28" s="1"/>
      <c r="CY28" s="1"/>
      <c r="CZ28" s="1"/>
      <c r="DA28" s="1"/>
      <c r="DB28" s="1"/>
      <c r="DC28" s="1"/>
      <c r="DD28" s="1"/>
    </row>
    <row r="29" spans="1:108" ht="15.75" customHeight="1" thickBot="1" x14ac:dyDescent="0.25">
      <c r="B29" s="171"/>
      <c r="C29" s="241"/>
      <c r="D29" s="250"/>
      <c r="E29" s="251"/>
      <c r="F29" s="252"/>
      <c r="G29" s="255"/>
      <c r="H29" s="245"/>
      <c r="I29" s="245"/>
      <c r="J29" s="245"/>
      <c r="K29" s="245"/>
      <c r="L29" s="245"/>
      <c r="M29" s="246"/>
      <c r="N29" s="257"/>
      <c r="O29" s="192">
        <f>SUM(O21:O28)</f>
        <v>0</v>
      </c>
      <c r="P29" s="191" t="e">
        <f>AVERAGE(P21:P28)</f>
        <v>#DIV/0!</v>
      </c>
      <c r="Q29" s="191"/>
      <c r="R29" s="192">
        <f>SUM(R21:R28)</f>
        <v>0</v>
      </c>
      <c r="S29" s="191" t="e">
        <f>AVERAGE(S21:S28)</f>
        <v>#DIV/0!</v>
      </c>
      <c r="T29" s="191"/>
      <c r="U29" s="253" t="e">
        <f>AVERAGE(U21:U28)</f>
        <v>#DIV/0!</v>
      </c>
      <c r="V29" s="303"/>
      <c r="W29" s="257"/>
      <c r="X29" s="193"/>
      <c r="CX29" s="1"/>
      <c r="CY29" s="1"/>
      <c r="CZ29" s="1"/>
      <c r="DA29" s="1"/>
      <c r="DB29" s="1"/>
      <c r="DC29" s="1"/>
      <c r="DD29" s="1"/>
    </row>
    <row r="30" spans="1:108" ht="15.75" customHeight="1" x14ac:dyDescent="0.2">
      <c r="B30" s="15"/>
      <c r="C30" s="15"/>
      <c r="D30" s="174"/>
      <c r="E30" s="15"/>
      <c r="F30" s="15"/>
      <c r="G30" s="1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</row>
    <row r="31" spans="1:108" ht="15.75" customHeight="1" x14ac:dyDescent="0.2">
      <c r="B31" s="15"/>
      <c r="C31" s="15"/>
      <c r="D31" s="174"/>
      <c r="E31" s="15"/>
      <c r="F31" s="15"/>
      <c r="G31" s="1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</row>
    <row r="32" spans="1:108" ht="15.75" customHeight="1" x14ac:dyDescent="0.2">
      <c r="B32" s="15"/>
      <c r="C32" s="15"/>
      <c r="D32" s="174"/>
      <c r="E32" s="15"/>
      <c r="F32" s="15"/>
      <c r="G32" s="1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</row>
    <row r="33" spans="1:108" ht="15.75" customHeight="1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108" ht="58.5" customHeight="1" thickBot="1" x14ac:dyDescent="0.25">
      <c r="B34" s="17" t="s">
        <v>25</v>
      </c>
      <c r="C34" s="17"/>
    </row>
    <row r="35" spans="1:108" ht="15" customHeight="1" thickBot="1" x14ac:dyDescent="0.25">
      <c r="A35" s="6"/>
      <c r="B35" s="326" t="s">
        <v>1</v>
      </c>
      <c r="C35" s="328" t="s">
        <v>77</v>
      </c>
      <c r="D35" s="330" t="s">
        <v>2</v>
      </c>
      <c r="E35" s="326" t="s">
        <v>3</v>
      </c>
      <c r="F35" s="332" t="s">
        <v>112</v>
      </c>
      <c r="G35" s="213"/>
      <c r="H35" s="254" t="s">
        <v>5</v>
      </c>
      <c r="I35" s="254"/>
      <c r="J35" s="254"/>
      <c r="K35" s="254"/>
      <c r="L35" s="254"/>
      <c r="M35" s="254"/>
      <c r="N35" s="247" t="s">
        <v>6</v>
      </c>
      <c r="O35" s="248"/>
      <c r="P35" s="248"/>
      <c r="Q35" s="248"/>
      <c r="R35" s="248"/>
      <c r="S35" s="248"/>
      <c r="T35" s="248"/>
      <c r="U35" s="248"/>
      <c r="V35" s="248"/>
      <c r="W35" s="249"/>
      <c r="X35" s="249"/>
      <c r="CX35" s="1"/>
      <c r="CY35" s="1"/>
      <c r="CZ35" s="1"/>
      <c r="DA35" s="1"/>
      <c r="DB35" s="1"/>
      <c r="DC35" s="1"/>
      <c r="DD35" s="1"/>
    </row>
    <row r="36" spans="1:108" s="6" customFormat="1" ht="33.75" customHeight="1" thickBot="1" x14ac:dyDescent="0.25">
      <c r="B36" s="327"/>
      <c r="C36" s="329"/>
      <c r="D36" s="331"/>
      <c r="E36" s="327"/>
      <c r="F36" s="333"/>
      <c r="G36" s="256" t="s">
        <v>123</v>
      </c>
      <c r="H36" s="153" t="s">
        <v>125</v>
      </c>
      <c r="I36" s="153" t="s">
        <v>127</v>
      </c>
      <c r="J36" s="153" t="s">
        <v>129</v>
      </c>
      <c r="K36" s="153" t="s">
        <v>131</v>
      </c>
      <c r="L36" s="153" t="s">
        <v>133</v>
      </c>
      <c r="M36" s="258" t="s">
        <v>135</v>
      </c>
      <c r="N36" s="304" t="s">
        <v>107</v>
      </c>
      <c r="O36" s="207" t="s">
        <v>18</v>
      </c>
      <c r="P36" s="207" t="s">
        <v>19</v>
      </c>
      <c r="Q36" s="207" t="s">
        <v>111</v>
      </c>
      <c r="R36" s="207" t="s">
        <v>20</v>
      </c>
      <c r="S36" s="305" t="s">
        <v>21</v>
      </c>
      <c r="T36" s="305" t="s">
        <v>110</v>
      </c>
      <c r="U36" s="306" t="s">
        <v>22</v>
      </c>
      <c r="V36" s="315" t="s">
        <v>111</v>
      </c>
      <c r="W36" s="304" t="s">
        <v>3</v>
      </c>
      <c r="X36" s="307" t="s">
        <v>137</v>
      </c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</row>
    <row r="37" spans="1:108" s="6" customFormat="1" ht="15" customHeight="1" x14ac:dyDescent="0.35">
      <c r="A37" s="1"/>
      <c r="B37" s="259" t="s">
        <v>88</v>
      </c>
      <c r="C37" s="260"/>
      <c r="D37" s="261"/>
      <c r="E37" s="262"/>
      <c r="F37" s="263"/>
      <c r="G37" s="264"/>
      <c r="H37" s="265"/>
      <c r="I37" s="265"/>
      <c r="J37" s="265"/>
      <c r="K37" s="265"/>
      <c r="L37" s="265"/>
      <c r="M37" s="266"/>
      <c r="N37" s="308"/>
      <c r="O37" s="309"/>
      <c r="P37" s="310"/>
      <c r="Q37" s="309"/>
      <c r="R37" s="309"/>
      <c r="S37" s="311"/>
      <c r="T37" s="312"/>
      <c r="U37" s="313"/>
      <c r="V37" s="316"/>
      <c r="W37" s="319">
        <f>Q37*-3+T37*-1+V37*-1</f>
        <v>0</v>
      </c>
      <c r="X37" s="322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</row>
    <row r="38" spans="1:108" ht="15" customHeight="1" x14ac:dyDescent="0.35">
      <c r="B38" s="267" t="s">
        <v>89</v>
      </c>
      <c r="C38" s="268"/>
      <c r="D38" s="269"/>
      <c r="E38" s="270"/>
      <c r="F38" s="271"/>
      <c r="G38" s="272"/>
      <c r="H38" s="273"/>
      <c r="I38" s="273"/>
      <c r="J38" s="273"/>
      <c r="K38" s="273"/>
      <c r="L38" s="273"/>
      <c r="M38" s="274"/>
      <c r="N38" s="275"/>
      <c r="O38" s="276"/>
      <c r="P38" s="277"/>
      <c r="Q38" s="276"/>
      <c r="R38" s="276"/>
      <c r="S38" s="278"/>
      <c r="T38" s="279"/>
      <c r="U38" s="280"/>
      <c r="V38" s="317"/>
      <c r="W38" s="320">
        <f>Q38*-3+T38*-1+V38*-1</f>
        <v>0</v>
      </c>
      <c r="X38" s="323"/>
      <c r="CX38" s="1"/>
      <c r="CY38" s="1"/>
      <c r="CZ38" s="1"/>
      <c r="DA38" s="1"/>
      <c r="DB38" s="1"/>
      <c r="DC38" s="1"/>
      <c r="DD38" s="1"/>
    </row>
    <row r="39" spans="1:108" ht="15" customHeight="1" x14ac:dyDescent="0.35">
      <c r="B39" s="267" t="s">
        <v>90</v>
      </c>
      <c r="C39" s="268"/>
      <c r="D39" s="269"/>
      <c r="E39" s="270"/>
      <c r="F39" s="271"/>
      <c r="G39" s="272"/>
      <c r="H39" s="273"/>
      <c r="I39" s="273"/>
      <c r="J39" s="273"/>
      <c r="K39" s="273"/>
      <c r="L39" s="273"/>
      <c r="M39" s="274"/>
      <c r="N39" s="275"/>
      <c r="O39" s="276"/>
      <c r="P39" s="277"/>
      <c r="Q39" s="276"/>
      <c r="R39" s="276"/>
      <c r="S39" s="278"/>
      <c r="T39" s="279"/>
      <c r="U39" s="280"/>
      <c r="V39" s="317"/>
      <c r="W39" s="320">
        <f t="shared" ref="W39:W44" si="2">Q39*-3+T39*-1+V39*-1</f>
        <v>0</v>
      </c>
      <c r="X39" s="323"/>
      <c r="CX39" s="1"/>
      <c r="CY39" s="1"/>
      <c r="CZ39" s="1"/>
      <c r="DA39" s="1"/>
      <c r="DB39" s="1"/>
      <c r="DC39" s="1"/>
      <c r="DD39" s="1"/>
    </row>
    <row r="40" spans="1:108" ht="15" customHeight="1" x14ac:dyDescent="0.35">
      <c r="B40" s="267" t="s">
        <v>91</v>
      </c>
      <c r="C40" s="268"/>
      <c r="D40" s="269"/>
      <c r="E40" s="270"/>
      <c r="F40" s="271"/>
      <c r="G40" s="272"/>
      <c r="H40" s="273"/>
      <c r="I40" s="273"/>
      <c r="J40" s="273"/>
      <c r="K40" s="273"/>
      <c r="L40" s="273"/>
      <c r="M40" s="274"/>
      <c r="N40" s="275"/>
      <c r="O40" s="276"/>
      <c r="P40" s="277"/>
      <c r="Q40" s="276"/>
      <c r="R40" s="276"/>
      <c r="S40" s="278"/>
      <c r="T40" s="279"/>
      <c r="U40" s="280"/>
      <c r="V40" s="317"/>
      <c r="W40" s="320">
        <f t="shared" si="2"/>
        <v>0</v>
      </c>
      <c r="X40" s="323"/>
      <c r="CX40" s="1"/>
      <c r="CY40" s="1"/>
      <c r="CZ40" s="1"/>
      <c r="DA40" s="1"/>
      <c r="DB40" s="1"/>
      <c r="DC40" s="1"/>
      <c r="DD40" s="1"/>
    </row>
    <row r="41" spans="1:108" ht="15" customHeight="1" x14ac:dyDescent="0.35">
      <c r="B41" s="267" t="s">
        <v>92</v>
      </c>
      <c r="C41" s="268"/>
      <c r="D41" s="269"/>
      <c r="E41" s="270"/>
      <c r="F41" s="271"/>
      <c r="G41" s="272"/>
      <c r="H41" s="273"/>
      <c r="I41" s="273"/>
      <c r="J41" s="273"/>
      <c r="K41" s="273"/>
      <c r="L41" s="273"/>
      <c r="M41" s="274"/>
      <c r="N41" s="275"/>
      <c r="O41" s="276"/>
      <c r="P41" s="277"/>
      <c r="Q41" s="276"/>
      <c r="R41" s="276"/>
      <c r="S41" s="278"/>
      <c r="T41" s="279"/>
      <c r="U41" s="280"/>
      <c r="V41" s="317"/>
      <c r="W41" s="320">
        <f t="shared" si="2"/>
        <v>0</v>
      </c>
      <c r="X41" s="323"/>
      <c r="CX41" s="1"/>
      <c r="CY41" s="1"/>
      <c r="CZ41" s="1"/>
      <c r="DA41" s="1"/>
      <c r="DB41" s="1"/>
      <c r="DC41" s="1"/>
      <c r="DD41" s="1"/>
    </row>
    <row r="42" spans="1:108" ht="15" customHeight="1" x14ac:dyDescent="0.35">
      <c r="B42" s="267" t="s">
        <v>93</v>
      </c>
      <c r="C42" s="268"/>
      <c r="D42" s="269"/>
      <c r="E42" s="270"/>
      <c r="F42" s="271"/>
      <c r="G42" s="272"/>
      <c r="H42" s="273"/>
      <c r="I42" s="273"/>
      <c r="J42" s="273"/>
      <c r="K42" s="273"/>
      <c r="L42" s="273"/>
      <c r="M42" s="274"/>
      <c r="N42" s="275"/>
      <c r="O42" s="276"/>
      <c r="P42" s="277"/>
      <c r="Q42" s="276"/>
      <c r="R42" s="276"/>
      <c r="S42" s="278"/>
      <c r="T42" s="279"/>
      <c r="U42" s="280"/>
      <c r="V42" s="317"/>
      <c r="W42" s="320">
        <f t="shared" si="2"/>
        <v>0</v>
      </c>
      <c r="X42" s="323"/>
      <c r="CX42" s="1"/>
      <c r="CY42" s="1"/>
      <c r="CZ42" s="1"/>
      <c r="DA42" s="1"/>
      <c r="DB42" s="1"/>
      <c r="DC42" s="1"/>
      <c r="DD42" s="1"/>
    </row>
    <row r="43" spans="1:108" ht="15" customHeight="1" x14ac:dyDescent="0.35">
      <c r="B43" s="267" t="s">
        <v>94</v>
      </c>
      <c r="C43" s="268"/>
      <c r="D43" s="269"/>
      <c r="E43" s="270"/>
      <c r="F43" s="271"/>
      <c r="G43" s="272"/>
      <c r="H43" s="273"/>
      <c r="I43" s="273"/>
      <c r="J43" s="273"/>
      <c r="K43" s="273"/>
      <c r="L43" s="273"/>
      <c r="M43" s="274"/>
      <c r="N43" s="275"/>
      <c r="O43" s="276"/>
      <c r="P43" s="277"/>
      <c r="Q43" s="276"/>
      <c r="R43" s="276"/>
      <c r="S43" s="278"/>
      <c r="T43" s="279"/>
      <c r="U43" s="280"/>
      <c r="V43" s="317"/>
      <c r="W43" s="320">
        <f t="shared" si="2"/>
        <v>0</v>
      </c>
      <c r="X43" s="323"/>
      <c r="CX43" s="1"/>
      <c r="CY43" s="1"/>
      <c r="CZ43" s="1"/>
      <c r="DA43" s="1"/>
      <c r="DB43" s="1"/>
      <c r="DC43" s="1"/>
      <c r="DD43" s="1"/>
    </row>
    <row r="44" spans="1:108" ht="15" customHeight="1" thickBot="1" x14ac:dyDescent="0.4">
      <c r="B44" s="282" t="s">
        <v>95</v>
      </c>
      <c r="C44" s="283"/>
      <c r="D44" s="284"/>
      <c r="E44" s="285"/>
      <c r="F44" s="286"/>
      <c r="G44" s="287"/>
      <c r="H44" s="288"/>
      <c r="I44" s="288"/>
      <c r="J44" s="288"/>
      <c r="K44" s="288"/>
      <c r="L44" s="288"/>
      <c r="M44" s="289"/>
      <c r="N44" s="290"/>
      <c r="O44" s="291"/>
      <c r="P44" s="292"/>
      <c r="Q44" s="291"/>
      <c r="R44" s="291"/>
      <c r="S44" s="293"/>
      <c r="T44" s="294"/>
      <c r="U44" s="295"/>
      <c r="V44" s="318"/>
      <c r="W44" s="320">
        <f t="shared" si="2"/>
        <v>0</v>
      </c>
      <c r="X44" s="324"/>
      <c r="CX44" s="1"/>
      <c r="CY44" s="1"/>
      <c r="CZ44" s="1"/>
      <c r="DA44" s="1"/>
      <c r="DB44" s="1"/>
      <c r="DC44" s="1"/>
      <c r="DD44" s="1"/>
    </row>
    <row r="45" spans="1:108" ht="15" customHeight="1" thickBot="1" x14ac:dyDescent="0.25">
      <c r="B45" s="171"/>
      <c r="C45" s="241"/>
      <c r="D45" s="250"/>
      <c r="E45" s="251"/>
      <c r="F45" s="252"/>
      <c r="G45" s="255"/>
      <c r="H45" s="245"/>
      <c r="I45" s="245"/>
      <c r="J45" s="245"/>
      <c r="K45" s="245"/>
      <c r="L45" s="245"/>
      <c r="M45" s="246"/>
      <c r="N45" s="257"/>
      <c r="O45" s="192">
        <f>SUM(O37:O44)</f>
        <v>0</v>
      </c>
      <c r="P45" s="191" t="e">
        <f>AVERAGE(P37:P44)</f>
        <v>#DIV/0!</v>
      </c>
      <c r="Q45" s="191"/>
      <c r="R45" s="192">
        <f>SUM(R37:R44)</f>
        <v>0</v>
      </c>
      <c r="S45" s="191" t="e">
        <f>AVERAGE(S37:S44)</f>
        <v>#DIV/0!</v>
      </c>
      <c r="T45" s="191"/>
      <c r="U45" s="253" t="e">
        <f>AVERAGE(U37:U44)</f>
        <v>#DIV/0!</v>
      </c>
      <c r="V45" s="303"/>
      <c r="W45" s="257"/>
      <c r="X45" s="193"/>
      <c r="CX45" s="1"/>
      <c r="CY45" s="1"/>
      <c r="CZ45" s="1"/>
      <c r="DA45" s="1"/>
      <c r="DB45" s="1"/>
      <c r="DC45" s="1"/>
      <c r="DD45" s="1"/>
    </row>
    <row r="46" spans="1:108" ht="15" customHeight="1" x14ac:dyDescent="0.2">
      <c r="B46" s="15"/>
      <c r="C46" s="15"/>
      <c r="D46" s="15"/>
      <c r="E46" s="15"/>
      <c r="F46" s="15"/>
      <c r="G46" s="1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</row>
    <row r="47" spans="1:108" ht="15" customHeight="1" x14ac:dyDescent="0.2">
      <c r="B47" s="15"/>
      <c r="C47" s="15"/>
      <c r="D47" s="15"/>
      <c r="E47" s="15"/>
      <c r="F47" s="15"/>
      <c r="G47" s="1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</row>
    <row r="48" spans="1:108" ht="15" customHeight="1" x14ac:dyDescent="0.2">
      <c r="B48" s="15"/>
      <c r="C48" s="15"/>
      <c r="D48" s="15"/>
      <c r="E48" s="15"/>
      <c r="F48" s="15"/>
      <c r="G48" s="1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</row>
    <row r="49" spans="2:108" ht="15" customHeight="1" x14ac:dyDescent="0.2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2:108" ht="11.25" customHeight="1" thickBot="1" x14ac:dyDescent="0.25">
      <c r="B50" s="17" t="s">
        <v>97</v>
      </c>
      <c r="C50" s="17"/>
    </row>
    <row r="51" spans="2:108" ht="15.75" customHeight="1" thickBot="1" x14ac:dyDescent="0.25">
      <c r="B51" s="326" t="s">
        <v>1</v>
      </c>
      <c r="C51" s="328" t="s">
        <v>77</v>
      </c>
      <c r="D51" s="330" t="s">
        <v>2</v>
      </c>
      <c r="E51" s="326" t="s">
        <v>3</v>
      </c>
      <c r="F51" s="332" t="s">
        <v>112</v>
      </c>
      <c r="G51" s="213"/>
      <c r="H51" s="254" t="s">
        <v>5</v>
      </c>
      <c r="I51" s="254"/>
      <c r="J51" s="254"/>
      <c r="K51" s="254"/>
      <c r="L51" s="254"/>
      <c r="M51" s="254"/>
      <c r="N51" s="247" t="s">
        <v>6</v>
      </c>
      <c r="O51" s="248"/>
      <c r="P51" s="248"/>
      <c r="Q51" s="248"/>
      <c r="R51" s="248"/>
      <c r="S51" s="248"/>
      <c r="T51" s="248"/>
      <c r="U51" s="248"/>
      <c r="V51" s="248"/>
      <c r="W51" s="249"/>
      <c r="X51" s="249"/>
      <c r="CX51" s="1"/>
      <c r="CY51" s="1"/>
      <c r="CZ51" s="1"/>
      <c r="DA51" s="1"/>
      <c r="DB51" s="1"/>
      <c r="DC51" s="1"/>
      <c r="DD51" s="1"/>
    </row>
    <row r="52" spans="2:108" ht="30.75" customHeight="1" thickBot="1" x14ac:dyDescent="0.25">
      <c r="B52" s="327"/>
      <c r="C52" s="329"/>
      <c r="D52" s="331"/>
      <c r="E52" s="327"/>
      <c r="F52" s="333"/>
      <c r="G52" s="256" t="s">
        <v>154</v>
      </c>
      <c r="H52" s="153" t="s">
        <v>156</v>
      </c>
      <c r="I52" s="153" t="s">
        <v>158</v>
      </c>
      <c r="J52" s="153" t="s">
        <v>160</v>
      </c>
      <c r="K52" s="153" t="s">
        <v>162</v>
      </c>
      <c r="L52" s="153" t="s">
        <v>164</v>
      </c>
      <c r="M52" s="258" t="s">
        <v>166</v>
      </c>
      <c r="N52" s="304" t="s">
        <v>107</v>
      </c>
      <c r="O52" s="207" t="s">
        <v>18</v>
      </c>
      <c r="P52" s="207" t="s">
        <v>19</v>
      </c>
      <c r="Q52" s="207" t="s">
        <v>111</v>
      </c>
      <c r="R52" s="207" t="s">
        <v>20</v>
      </c>
      <c r="S52" s="305" t="s">
        <v>21</v>
      </c>
      <c r="T52" s="305" t="s">
        <v>110</v>
      </c>
      <c r="U52" s="306" t="s">
        <v>22</v>
      </c>
      <c r="V52" s="315" t="s">
        <v>111</v>
      </c>
      <c r="W52" s="304" t="s">
        <v>3</v>
      </c>
      <c r="X52" s="307" t="s">
        <v>137</v>
      </c>
      <c r="CX52" s="1"/>
      <c r="CY52" s="1"/>
      <c r="CZ52" s="1"/>
      <c r="DA52" s="1"/>
      <c r="DB52" s="1"/>
      <c r="DC52" s="1"/>
      <c r="DD52" s="1"/>
    </row>
    <row r="53" spans="2:108" ht="14.25" customHeight="1" x14ac:dyDescent="0.35">
      <c r="B53" s="259" t="s">
        <v>88</v>
      </c>
      <c r="C53" s="260"/>
      <c r="D53" s="261"/>
      <c r="E53" s="262"/>
      <c r="F53" s="263"/>
      <c r="G53" s="264"/>
      <c r="H53" s="265"/>
      <c r="I53" s="265"/>
      <c r="J53" s="265"/>
      <c r="K53" s="265"/>
      <c r="L53" s="265"/>
      <c r="M53" s="266"/>
      <c r="N53" s="308"/>
      <c r="O53" s="309"/>
      <c r="P53" s="310"/>
      <c r="Q53" s="309"/>
      <c r="R53" s="309"/>
      <c r="S53" s="311"/>
      <c r="T53" s="312"/>
      <c r="U53" s="313"/>
      <c r="V53" s="316"/>
      <c r="W53" s="319">
        <f>Q53*-3+T53*-1+V53*-1</f>
        <v>0</v>
      </c>
      <c r="X53" s="322"/>
      <c r="CX53" s="1"/>
      <c r="CY53" s="1"/>
      <c r="CZ53" s="1"/>
      <c r="DA53" s="1"/>
      <c r="DB53" s="1"/>
      <c r="DC53" s="1"/>
      <c r="DD53" s="1"/>
    </row>
    <row r="54" spans="2:108" ht="15.75" customHeight="1" x14ac:dyDescent="0.35">
      <c r="B54" s="267" t="s">
        <v>89</v>
      </c>
      <c r="C54" s="268"/>
      <c r="D54" s="269"/>
      <c r="E54" s="270"/>
      <c r="F54" s="271"/>
      <c r="G54" s="272"/>
      <c r="H54" s="273"/>
      <c r="I54" s="273"/>
      <c r="J54" s="273"/>
      <c r="K54" s="273"/>
      <c r="L54" s="273"/>
      <c r="M54" s="274"/>
      <c r="N54" s="275"/>
      <c r="O54" s="276"/>
      <c r="P54" s="277"/>
      <c r="Q54" s="276"/>
      <c r="R54" s="276"/>
      <c r="S54" s="278"/>
      <c r="T54" s="279"/>
      <c r="U54" s="280"/>
      <c r="V54" s="317"/>
      <c r="W54" s="320">
        <f>Q54*-3+T54*-1+V54*-1</f>
        <v>0</v>
      </c>
      <c r="X54" s="323"/>
      <c r="CX54" s="1"/>
      <c r="CY54" s="1"/>
      <c r="CZ54" s="1"/>
      <c r="DA54" s="1"/>
      <c r="DB54" s="1"/>
      <c r="DC54" s="1"/>
      <c r="DD54" s="1"/>
    </row>
    <row r="55" spans="2:108" ht="15.75" customHeight="1" x14ac:dyDescent="0.35">
      <c r="B55" s="267" t="s">
        <v>90</v>
      </c>
      <c r="C55" s="268"/>
      <c r="D55" s="269"/>
      <c r="E55" s="270"/>
      <c r="F55" s="271"/>
      <c r="G55" s="272"/>
      <c r="H55" s="273"/>
      <c r="I55" s="273"/>
      <c r="J55" s="273"/>
      <c r="K55" s="273"/>
      <c r="L55" s="273"/>
      <c r="M55" s="274"/>
      <c r="N55" s="275"/>
      <c r="O55" s="276"/>
      <c r="P55" s="277"/>
      <c r="Q55" s="276"/>
      <c r="R55" s="276"/>
      <c r="S55" s="278"/>
      <c r="T55" s="279"/>
      <c r="U55" s="280"/>
      <c r="V55" s="317"/>
      <c r="W55" s="320">
        <f t="shared" ref="W55:W60" si="3">Q55*-3+T55*-1+V55*-1</f>
        <v>0</v>
      </c>
      <c r="X55" s="323"/>
      <c r="CX55" s="1"/>
      <c r="CY55" s="1"/>
      <c r="CZ55" s="1"/>
      <c r="DA55" s="1"/>
      <c r="DB55" s="1"/>
      <c r="DC55" s="1"/>
      <c r="DD55" s="1"/>
    </row>
    <row r="56" spans="2:108" ht="15.75" customHeight="1" x14ac:dyDescent="0.35">
      <c r="B56" s="267" t="s">
        <v>91</v>
      </c>
      <c r="C56" s="268"/>
      <c r="D56" s="269"/>
      <c r="E56" s="270"/>
      <c r="F56" s="271"/>
      <c r="G56" s="272"/>
      <c r="H56" s="273"/>
      <c r="I56" s="273"/>
      <c r="J56" s="273"/>
      <c r="K56" s="273"/>
      <c r="L56" s="273"/>
      <c r="M56" s="274"/>
      <c r="N56" s="275"/>
      <c r="O56" s="276"/>
      <c r="P56" s="277"/>
      <c r="Q56" s="276"/>
      <c r="R56" s="276"/>
      <c r="S56" s="278"/>
      <c r="T56" s="279"/>
      <c r="U56" s="280"/>
      <c r="V56" s="317"/>
      <c r="W56" s="320">
        <f t="shared" si="3"/>
        <v>0</v>
      </c>
      <c r="X56" s="323"/>
      <c r="CX56" s="1"/>
      <c r="CY56" s="1"/>
      <c r="CZ56" s="1"/>
      <c r="DA56" s="1"/>
      <c r="DB56" s="1"/>
      <c r="DC56" s="1"/>
      <c r="DD56" s="1"/>
    </row>
    <row r="57" spans="2:108" ht="15.75" customHeight="1" x14ac:dyDescent="0.35">
      <c r="B57" s="267" t="s">
        <v>92</v>
      </c>
      <c r="C57" s="268"/>
      <c r="D57" s="269"/>
      <c r="E57" s="270"/>
      <c r="F57" s="271"/>
      <c r="G57" s="272"/>
      <c r="H57" s="273"/>
      <c r="I57" s="273"/>
      <c r="J57" s="273"/>
      <c r="K57" s="273"/>
      <c r="L57" s="273"/>
      <c r="M57" s="274"/>
      <c r="N57" s="275"/>
      <c r="O57" s="276"/>
      <c r="P57" s="277"/>
      <c r="Q57" s="276"/>
      <c r="R57" s="276"/>
      <c r="S57" s="278"/>
      <c r="T57" s="279"/>
      <c r="U57" s="280"/>
      <c r="V57" s="317"/>
      <c r="W57" s="320">
        <f t="shared" si="3"/>
        <v>0</v>
      </c>
      <c r="X57" s="323"/>
      <c r="CX57" s="1"/>
      <c r="CY57" s="1"/>
      <c r="CZ57" s="1"/>
      <c r="DA57" s="1"/>
      <c r="DB57" s="1"/>
      <c r="DC57" s="1"/>
      <c r="DD57" s="1"/>
    </row>
    <row r="58" spans="2:108" ht="15.75" customHeight="1" x14ac:dyDescent="0.35">
      <c r="B58" s="267" t="s">
        <v>93</v>
      </c>
      <c r="C58" s="268"/>
      <c r="D58" s="269"/>
      <c r="E58" s="270"/>
      <c r="F58" s="271"/>
      <c r="G58" s="272"/>
      <c r="H58" s="273"/>
      <c r="I58" s="273"/>
      <c r="J58" s="273"/>
      <c r="K58" s="273"/>
      <c r="L58" s="273"/>
      <c r="M58" s="274"/>
      <c r="N58" s="275"/>
      <c r="O58" s="276"/>
      <c r="P58" s="277"/>
      <c r="Q58" s="276"/>
      <c r="R58" s="276"/>
      <c r="S58" s="278"/>
      <c r="T58" s="279"/>
      <c r="U58" s="280"/>
      <c r="V58" s="317"/>
      <c r="W58" s="320">
        <f t="shared" si="3"/>
        <v>0</v>
      </c>
      <c r="X58" s="323"/>
      <c r="CX58" s="1"/>
      <c r="CY58" s="1"/>
      <c r="CZ58" s="1"/>
      <c r="DA58" s="1"/>
      <c r="DB58" s="1"/>
      <c r="DC58" s="1"/>
      <c r="DD58" s="1"/>
    </row>
    <row r="59" spans="2:108" ht="15.75" customHeight="1" x14ac:dyDescent="0.35">
      <c r="B59" s="267" t="s">
        <v>94</v>
      </c>
      <c r="C59" s="268"/>
      <c r="D59" s="269"/>
      <c r="E59" s="270"/>
      <c r="F59" s="271"/>
      <c r="G59" s="272"/>
      <c r="H59" s="273"/>
      <c r="I59" s="273"/>
      <c r="J59" s="273"/>
      <c r="K59" s="273"/>
      <c r="L59" s="273"/>
      <c r="M59" s="274"/>
      <c r="N59" s="275"/>
      <c r="O59" s="276"/>
      <c r="P59" s="277"/>
      <c r="Q59" s="276"/>
      <c r="R59" s="276"/>
      <c r="S59" s="278"/>
      <c r="T59" s="279"/>
      <c r="U59" s="280"/>
      <c r="V59" s="317"/>
      <c r="W59" s="320">
        <f t="shared" si="3"/>
        <v>0</v>
      </c>
      <c r="X59" s="323"/>
      <c r="CX59" s="1"/>
      <c r="CY59" s="1"/>
      <c r="CZ59" s="1"/>
      <c r="DA59" s="1"/>
      <c r="DB59" s="1"/>
      <c r="DC59" s="1"/>
      <c r="DD59" s="1"/>
    </row>
    <row r="60" spans="2:108" ht="15.75" customHeight="1" thickBot="1" x14ac:dyDescent="0.4">
      <c r="B60" s="282" t="s">
        <v>95</v>
      </c>
      <c r="C60" s="283"/>
      <c r="D60" s="284"/>
      <c r="E60" s="285"/>
      <c r="F60" s="286"/>
      <c r="G60" s="287"/>
      <c r="H60" s="288"/>
      <c r="I60" s="288"/>
      <c r="J60" s="288"/>
      <c r="K60" s="288"/>
      <c r="L60" s="288"/>
      <c r="M60" s="289"/>
      <c r="N60" s="290"/>
      <c r="O60" s="291"/>
      <c r="P60" s="292"/>
      <c r="Q60" s="291"/>
      <c r="R60" s="291"/>
      <c r="S60" s="293"/>
      <c r="T60" s="294"/>
      <c r="U60" s="295"/>
      <c r="V60" s="318"/>
      <c r="W60" s="320">
        <f t="shared" si="3"/>
        <v>0</v>
      </c>
      <c r="X60" s="324"/>
      <c r="CX60" s="1"/>
      <c r="CY60" s="1"/>
      <c r="CZ60" s="1"/>
      <c r="DA60" s="1"/>
      <c r="DB60" s="1"/>
      <c r="DC60" s="1"/>
      <c r="DD60" s="1"/>
    </row>
    <row r="61" spans="2:108" ht="15.75" customHeight="1" thickBot="1" x14ac:dyDescent="0.25">
      <c r="B61" s="171"/>
      <c r="C61" s="241"/>
      <c r="D61" s="250"/>
      <c r="E61" s="251"/>
      <c r="F61" s="252"/>
      <c r="G61" s="255"/>
      <c r="H61" s="245"/>
      <c r="I61" s="245"/>
      <c r="J61" s="245"/>
      <c r="K61" s="245"/>
      <c r="L61" s="245"/>
      <c r="M61" s="246"/>
      <c r="N61" s="257"/>
      <c r="O61" s="192">
        <f>SUM(O53:O60)</f>
        <v>0</v>
      </c>
      <c r="P61" s="191" t="e">
        <f>AVERAGE(P53:P60)</f>
        <v>#DIV/0!</v>
      </c>
      <c r="Q61" s="191"/>
      <c r="R61" s="192">
        <f>SUM(R53:R60)</f>
        <v>0</v>
      </c>
      <c r="S61" s="191" t="e">
        <f>AVERAGE(S53:S60)</f>
        <v>#DIV/0!</v>
      </c>
      <c r="T61" s="191"/>
      <c r="U61" s="253" t="e">
        <f>AVERAGE(U53:U60)</f>
        <v>#DIV/0!</v>
      </c>
      <c r="V61" s="303"/>
      <c r="W61" s="257"/>
      <c r="X61" s="193"/>
      <c r="CX61" s="1"/>
      <c r="CY61" s="1"/>
      <c r="CZ61" s="1"/>
      <c r="DA61" s="1"/>
      <c r="DB61" s="1"/>
      <c r="DC61" s="1"/>
      <c r="DD61" s="1"/>
    </row>
    <row r="62" spans="2:108" ht="15.75" customHeight="1" x14ac:dyDescent="0.2">
      <c r="B62" s="3"/>
      <c r="C62" s="3"/>
      <c r="D62" s="3"/>
      <c r="E62" s="15"/>
      <c r="F62" s="3"/>
      <c r="G62" s="3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</row>
    <row r="63" spans="2:108" ht="15.75" customHeight="1" x14ac:dyDescent="0.2">
      <c r="B63" s="3"/>
      <c r="C63" s="3"/>
      <c r="D63" s="3"/>
      <c r="E63" s="15"/>
      <c r="F63" s="3"/>
      <c r="G63" s="3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</row>
    <row r="64" spans="2:108" ht="15.75" customHeight="1" x14ac:dyDescent="0.2">
      <c r="B64" s="3"/>
      <c r="C64" s="3"/>
      <c r="D64" s="3"/>
      <c r="E64" s="15"/>
      <c r="F64" s="3"/>
      <c r="G64" s="3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</row>
    <row r="65" spans="1:108" ht="15.75" customHeight="1" x14ac:dyDescent="0.2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108" ht="75" customHeight="1" thickBot="1" x14ac:dyDescent="0.25">
      <c r="B66" s="17" t="s">
        <v>48</v>
      </c>
      <c r="C66" s="17"/>
    </row>
    <row r="67" spans="1:108" ht="17.25" customHeight="1" thickBot="1" x14ac:dyDescent="0.25">
      <c r="A67" s="6"/>
      <c r="B67" s="326" t="s">
        <v>1</v>
      </c>
      <c r="C67" s="328" t="s">
        <v>77</v>
      </c>
      <c r="D67" s="330" t="s">
        <v>2</v>
      </c>
      <c r="E67" s="326" t="s">
        <v>3</v>
      </c>
      <c r="F67" s="332" t="s">
        <v>112</v>
      </c>
      <c r="G67" s="213"/>
      <c r="H67" s="254" t="s">
        <v>5</v>
      </c>
      <c r="I67" s="254"/>
      <c r="J67" s="254"/>
      <c r="K67" s="254"/>
      <c r="L67" s="254"/>
      <c r="M67" s="254"/>
      <c r="N67" s="247" t="s">
        <v>6</v>
      </c>
      <c r="O67" s="248"/>
      <c r="P67" s="248"/>
      <c r="Q67" s="248"/>
      <c r="R67" s="248"/>
      <c r="S67" s="248"/>
      <c r="T67" s="248"/>
      <c r="U67" s="248"/>
      <c r="V67" s="248"/>
      <c r="W67" s="249"/>
      <c r="X67" s="249"/>
      <c r="CX67" s="1"/>
      <c r="CY67" s="1"/>
      <c r="CZ67" s="1"/>
      <c r="DA67" s="1"/>
      <c r="DB67" s="1"/>
      <c r="DC67" s="1"/>
      <c r="DD67" s="1"/>
    </row>
    <row r="68" spans="1:108" s="6" customFormat="1" ht="30.75" customHeight="1" thickBot="1" x14ac:dyDescent="0.25">
      <c r="B68" s="327"/>
      <c r="C68" s="329"/>
      <c r="D68" s="331"/>
      <c r="E68" s="327"/>
      <c r="F68" s="333"/>
      <c r="G68" s="256" t="s">
        <v>140</v>
      </c>
      <c r="H68" s="153" t="s">
        <v>142</v>
      </c>
      <c r="I68" s="153" t="s">
        <v>144</v>
      </c>
      <c r="J68" s="153" t="s">
        <v>146</v>
      </c>
      <c r="K68" s="153" t="s">
        <v>148</v>
      </c>
      <c r="L68" s="153" t="s">
        <v>150</v>
      </c>
      <c r="M68" s="258" t="s">
        <v>152</v>
      </c>
      <c r="N68" s="304" t="s">
        <v>107</v>
      </c>
      <c r="O68" s="207" t="s">
        <v>18</v>
      </c>
      <c r="P68" s="207" t="s">
        <v>19</v>
      </c>
      <c r="Q68" s="207" t="s">
        <v>111</v>
      </c>
      <c r="R68" s="207" t="s">
        <v>20</v>
      </c>
      <c r="S68" s="305" t="s">
        <v>21</v>
      </c>
      <c r="T68" s="305" t="s">
        <v>110</v>
      </c>
      <c r="U68" s="306" t="s">
        <v>22</v>
      </c>
      <c r="V68" s="315" t="s">
        <v>111</v>
      </c>
      <c r="W68" s="304" t="s">
        <v>3</v>
      </c>
      <c r="X68" s="307" t="s">
        <v>137</v>
      </c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</row>
    <row r="69" spans="1:108" s="6" customFormat="1" ht="17.25" customHeight="1" x14ac:dyDescent="0.35">
      <c r="A69" s="1"/>
      <c r="B69" s="259" t="s">
        <v>88</v>
      </c>
      <c r="C69" s="260"/>
      <c r="D69" s="261"/>
      <c r="E69" s="262"/>
      <c r="F69" s="263"/>
      <c r="G69" s="264"/>
      <c r="H69" s="265"/>
      <c r="I69" s="265"/>
      <c r="J69" s="265"/>
      <c r="K69" s="265"/>
      <c r="L69" s="265"/>
      <c r="M69" s="266"/>
      <c r="N69" s="308"/>
      <c r="O69" s="309"/>
      <c r="P69" s="310"/>
      <c r="Q69" s="309"/>
      <c r="R69" s="309"/>
      <c r="S69" s="311"/>
      <c r="T69" s="312"/>
      <c r="U69" s="313"/>
      <c r="V69" s="316"/>
      <c r="W69" s="319">
        <f>Q69*-3+T69*-1+V69*-1</f>
        <v>0</v>
      </c>
      <c r="X69" s="322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</row>
    <row r="70" spans="1:108" ht="14.25" customHeight="1" x14ac:dyDescent="0.35">
      <c r="B70" s="267" t="s">
        <v>89</v>
      </c>
      <c r="C70" s="268"/>
      <c r="D70" s="269"/>
      <c r="E70" s="270"/>
      <c r="F70" s="271"/>
      <c r="G70" s="272"/>
      <c r="H70" s="273"/>
      <c r="I70" s="273"/>
      <c r="J70" s="273"/>
      <c r="K70" s="273"/>
      <c r="L70" s="273"/>
      <c r="M70" s="274"/>
      <c r="N70" s="275"/>
      <c r="O70" s="276"/>
      <c r="P70" s="277"/>
      <c r="Q70" s="276"/>
      <c r="R70" s="276"/>
      <c r="S70" s="278"/>
      <c r="T70" s="279"/>
      <c r="U70" s="280"/>
      <c r="V70" s="317"/>
      <c r="W70" s="320">
        <f>Q70*-3+T70*-1+V70*-1</f>
        <v>0</v>
      </c>
      <c r="X70" s="323"/>
      <c r="CX70" s="1"/>
      <c r="CY70" s="1"/>
      <c r="CZ70" s="1"/>
      <c r="DA70" s="1"/>
      <c r="DB70" s="1"/>
      <c r="DC70" s="1"/>
      <c r="DD70" s="1"/>
    </row>
    <row r="71" spans="1:108" ht="14.25" customHeight="1" x14ac:dyDescent="0.35">
      <c r="B71" s="267" t="s">
        <v>90</v>
      </c>
      <c r="C71" s="268"/>
      <c r="D71" s="269"/>
      <c r="E71" s="270"/>
      <c r="F71" s="271"/>
      <c r="G71" s="272"/>
      <c r="H71" s="273"/>
      <c r="I71" s="273"/>
      <c r="J71" s="273"/>
      <c r="K71" s="273"/>
      <c r="L71" s="273"/>
      <c r="M71" s="274"/>
      <c r="N71" s="275"/>
      <c r="O71" s="276"/>
      <c r="P71" s="277"/>
      <c r="Q71" s="276"/>
      <c r="R71" s="276"/>
      <c r="S71" s="278"/>
      <c r="T71" s="279"/>
      <c r="U71" s="280"/>
      <c r="V71" s="317"/>
      <c r="W71" s="320">
        <f t="shared" ref="W71:W76" si="4">Q71*-3+T71*-1+V71*-1</f>
        <v>0</v>
      </c>
      <c r="X71" s="323"/>
      <c r="CX71" s="1"/>
      <c r="CY71" s="1"/>
      <c r="CZ71" s="1"/>
      <c r="DA71" s="1"/>
      <c r="DB71" s="1"/>
      <c r="DC71" s="1"/>
      <c r="DD71" s="1"/>
    </row>
    <row r="72" spans="1:108" ht="14.25" customHeight="1" x14ac:dyDescent="0.35">
      <c r="B72" s="267" t="s">
        <v>91</v>
      </c>
      <c r="C72" s="268"/>
      <c r="D72" s="269"/>
      <c r="E72" s="270"/>
      <c r="F72" s="271"/>
      <c r="G72" s="272"/>
      <c r="H72" s="273"/>
      <c r="I72" s="273"/>
      <c r="J72" s="273"/>
      <c r="K72" s="273"/>
      <c r="L72" s="273"/>
      <c r="M72" s="274"/>
      <c r="N72" s="275"/>
      <c r="O72" s="276"/>
      <c r="P72" s="277"/>
      <c r="Q72" s="276"/>
      <c r="R72" s="276"/>
      <c r="S72" s="278"/>
      <c r="T72" s="279"/>
      <c r="U72" s="280"/>
      <c r="V72" s="317"/>
      <c r="W72" s="320">
        <f t="shared" si="4"/>
        <v>0</v>
      </c>
      <c r="X72" s="323"/>
      <c r="CX72" s="1"/>
      <c r="CY72" s="1"/>
      <c r="CZ72" s="1"/>
      <c r="DA72" s="1"/>
      <c r="DB72" s="1"/>
      <c r="DC72" s="1"/>
      <c r="DD72" s="1"/>
    </row>
    <row r="73" spans="1:108" ht="14.25" customHeight="1" x14ac:dyDescent="0.35">
      <c r="B73" s="267" t="s">
        <v>92</v>
      </c>
      <c r="C73" s="268"/>
      <c r="D73" s="269"/>
      <c r="E73" s="270"/>
      <c r="F73" s="271"/>
      <c r="G73" s="272"/>
      <c r="H73" s="273"/>
      <c r="I73" s="273"/>
      <c r="J73" s="273"/>
      <c r="K73" s="273"/>
      <c r="L73" s="273"/>
      <c r="M73" s="274"/>
      <c r="N73" s="275"/>
      <c r="O73" s="276"/>
      <c r="P73" s="277"/>
      <c r="Q73" s="276"/>
      <c r="R73" s="276"/>
      <c r="S73" s="278"/>
      <c r="T73" s="279"/>
      <c r="U73" s="280"/>
      <c r="V73" s="317"/>
      <c r="W73" s="320">
        <f t="shared" si="4"/>
        <v>0</v>
      </c>
      <c r="X73" s="323"/>
      <c r="CX73" s="1"/>
      <c r="CY73" s="1"/>
      <c r="CZ73" s="1"/>
      <c r="DA73" s="1"/>
      <c r="DB73" s="1"/>
      <c r="DC73" s="1"/>
      <c r="DD73" s="1"/>
    </row>
    <row r="74" spans="1:108" ht="14.25" customHeight="1" x14ac:dyDescent="0.35">
      <c r="B74" s="267" t="s">
        <v>93</v>
      </c>
      <c r="C74" s="268"/>
      <c r="D74" s="269"/>
      <c r="E74" s="270"/>
      <c r="F74" s="271"/>
      <c r="G74" s="272"/>
      <c r="H74" s="273"/>
      <c r="I74" s="273"/>
      <c r="J74" s="273"/>
      <c r="K74" s="273"/>
      <c r="L74" s="273"/>
      <c r="M74" s="274"/>
      <c r="N74" s="275"/>
      <c r="O74" s="276"/>
      <c r="P74" s="277"/>
      <c r="Q74" s="276"/>
      <c r="R74" s="276"/>
      <c r="S74" s="278"/>
      <c r="T74" s="279"/>
      <c r="U74" s="280"/>
      <c r="V74" s="317"/>
      <c r="W74" s="320">
        <f t="shared" si="4"/>
        <v>0</v>
      </c>
      <c r="X74" s="323"/>
      <c r="CX74" s="1"/>
      <c r="CY74" s="1"/>
      <c r="CZ74" s="1"/>
      <c r="DA74" s="1"/>
      <c r="DB74" s="1"/>
      <c r="DC74" s="1"/>
      <c r="DD74" s="1"/>
    </row>
    <row r="75" spans="1:108" ht="14.25" customHeight="1" x14ac:dyDescent="0.35">
      <c r="B75" s="267" t="s">
        <v>94</v>
      </c>
      <c r="C75" s="268"/>
      <c r="D75" s="269"/>
      <c r="E75" s="270"/>
      <c r="F75" s="271"/>
      <c r="G75" s="272"/>
      <c r="H75" s="273"/>
      <c r="I75" s="273"/>
      <c r="J75" s="273"/>
      <c r="K75" s="273"/>
      <c r="L75" s="273"/>
      <c r="M75" s="274"/>
      <c r="N75" s="275"/>
      <c r="O75" s="276"/>
      <c r="P75" s="277"/>
      <c r="Q75" s="276"/>
      <c r="R75" s="276"/>
      <c r="S75" s="278"/>
      <c r="T75" s="279"/>
      <c r="U75" s="280"/>
      <c r="V75" s="317"/>
      <c r="W75" s="320">
        <f t="shared" si="4"/>
        <v>0</v>
      </c>
      <c r="X75" s="323"/>
      <c r="CX75" s="1"/>
      <c r="CY75" s="1"/>
      <c r="CZ75" s="1"/>
      <c r="DA75" s="1"/>
      <c r="DB75" s="1"/>
      <c r="DC75" s="1"/>
      <c r="DD75" s="1"/>
    </row>
    <row r="76" spans="1:108" ht="14.25" customHeight="1" thickBot="1" x14ac:dyDescent="0.4">
      <c r="B76" s="282" t="s">
        <v>95</v>
      </c>
      <c r="C76" s="283"/>
      <c r="D76" s="284"/>
      <c r="E76" s="285"/>
      <c r="F76" s="286"/>
      <c r="G76" s="287"/>
      <c r="H76" s="288"/>
      <c r="I76" s="288"/>
      <c r="J76" s="288"/>
      <c r="K76" s="288"/>
      <c r="L76" s="288"/>
      <c r="M76" s="289"/>
      <c r="N76" s="290"/>
      <c r="O76" s="291"/>
      <c r="P76" s="292"/>
      <c r="Q76" s="291"/>
      <c r="R76" s="291"/>
      <c r="S76" s="293"/>
      <c r="T76" s="294"/>
      <c r="U76" s="295"/>
      <c r="V76" s="318"/>
      <c r="W76" s="320">
        <f t="shared" si="4"/>
        <v>0</v>
      </c>
      <c r="X76" s="324"/>
      <c r="CX76" s="1"/>
      <c r="CY76" s="1"/>
      <c r="CZ76" s="1"/>
      <c r="DA76" s="1"/>
      <c r="DB76" s="1"/>
      <c r="DC76" s="1"/>
      <c r="DD76" s="1"/>
    </row>
    <row r="77" spans="1:108" ht="14.25" customHeight="1" thickBot="1" x14ac:dyDescent="0.25">
      <c r="B77" s="171"/>
      <c r="C77" s="241"/>
      <c r="D77" s="250"/>
      <c r="E77" s="251"/>
      <c r="F77" s="252"/>
      <c r="G77" s="255"/>
      <c r="H77" s="245"/>
      <c r="I77" s="245"/>
      <c r="J77" s="245"/>
      <c r="K77" s="245"/>
      <c r="L77" s="245"/>
      <c r="M77" s="246"/>
      <c r="N77" s="257"/>
      <c r="O77" s="192">
        <f>SUM(O69:O76)</f>
        <v>0</v>
      </c>
      <c r="P77" s="191" t="e">
        <f>AVERAGE(P69:P76)</f>
        <v>#DIV/0!</v>
      </c>
      <c r="Q77" s="191"/>
      <c r="R77" s="192">
        <f>SUM(R69:R76)</f>
        <v>0</v>
      </c>
      <c r="S77" s="191" t="e">
        <f>AVERAGE(S69:S76)</f>
        <v>#DIV/0!</v>
      </c>
      <c r="T77" s="191"/>
      <c r="U77" s="253" t="e">
        <f>AVERAGE(U69:U76)</f>
        <v>#DIV/0!</v>
      </c>
      <c r="V77" s="303"/>
      <c r="W77" s="257"/>
      <c r="X77" s="193"/>
      <c r="CX77" s="1"/>
      <c r="CY77" s="1"/>
      <c r="CZ77" s="1"/>
      <c r="DA77" s="1"/>
      <c r="DB77" s="1"/>
      <c r="DC77" s="1"/>
      <c r="DD77" s="1"/>
    </row>
    <row r="78" spans="1:108" ht="14.25" customHeight="1" x14ac:dyDescent="0.2">
      <c r="B78" s="3"/>
      <c r="C78" s="3"/>
      <c r="D78" s="3"/>
      <c r="E78" s="15"/>
      <c r="F78" s="3"/>
      <c r="G78" s="3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</row>
    <row r="79" spans="1:108" ht="14.25" customHeight="1" x14ac:dyDescent="0.2">
      <c r="B79" s="3"/>
      <c r="C79" s="3"/>
      <c r="D79" s="3"/>
      <c r="E79" s="15"/>
      <c r="F79" s="3"/>
      <c r="G79" s="3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</row>
    <row r="80" spans="1:108" ht="14.25" customHeight="1" x14ac:dyDescent="0.2">
      <c r="B80" s="3"/>
      <c r="C80" s="3"/>
      <c r="D80" s="3"/>
      <c r="E80" s="15"/>
      <c r="F80" s="3"/>
      <c r="G80" s="3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  <row r="81" spans="1:108" ht="14.25" customHeight="1" x14ac:dyDescent="0.2"/>
    <row r="82" spans="1:108" ht="73.5" customHeight="1" thickBot="1" x14ac:dyDescent="0.25">
      <c r="B82" s="17" t="s">
        <v>49</v>
      </c>
      <c r="C82" s="17"/>
    </row>
    <row r="83" spans="1:108" ht="13.5" customHeight="1" thickBot="1" x14ac:dyDescent="0.25">
      <c r="A83" s="6"/>
      <c r="B83" s="326" t="s">
        <v>1</v>
      </c>
      <c r="C83" s="328" t="s">
        <v>77</v>
      </c>
      <c r="D83" s="330" t="s">
        <v>2</v>
      </c>
      <c r="E83" s="326" t="s">
        <v>3</v>
      </c>
      <c r="F83" s="332" t="s">
        <v>112</v>
      </c>
      <c r="G83" s="213"/>
      <c r="H83" s="254" t="s">
        <v>5</v>
      </c>
      <c r="I83" s="254"/>
      <c r="J83" s="254"/>
      <c r="K83" s="254"/>
      <c r="L83" s="254"/>
      <c r="M83" s="254"/>
      <c r="N83" s="247" t="s">
        <v>6</v>
      </c>
      <c r="O83" s="248"/>
      <c r="P83" s="248"/>
      <c r="Q83" s="248"/>
      <c r="R83" s="248"/>
      <c r="S83" s="248"/>
      <c r="T83" s="248"/>
      <c r="U83" s="248"/>
      <c r="V83" s="248"/>
      <c r="W83" s="249"/>
      <c r="X83" s="249"/>
      <c r="CX83" s="1"/>
      <c r="CY83" s="1"/>
      <c r="CZ83" s="1"/>
      <c r="DA83" s="1"/>
      <c r="DB83" s="1"/>
      <c r="DC83" s="1"/>
      <c r="DD83" s="1"/>
    </row>
    <row r="84" spans="1:108" s="6" customFormat="1" ht="29.25" customHeight="1" thickBot="1" x14ac:dyDescent="0.25">
      <c r="B84" s="327"/>
      <c r="C84" s="329"/>
      <c r="D84" s="331"/>
      <c r="E84" s="327"/>
      <c r="F84" s="333"/>
      <c r="G84" s="256" t="s">
        <v>154</v>
      </c>
      <c r="H84" s="153" t="s">
        <v>156</v>
      </c>
      <c r="I84" s="153" t="s">
        <v>158</v>
      </c>
      <c r="J84" s="153" t="s">
        <v>160</v>
      </c>
      <c r="K84" s="153" t="s">
        <v>162</v>
      </c>
      <c r="L84" s="153" t="s">
        <v>164</v>
      </c>
      <c r="M84" s="258" t="s">
        <v>166</v>
      </c>
      <c r="N84" s="304" t="s">
        <v>107</v>
      </c>
      <c r="O84" s="207" t="s">
        <v>18</v>
      </c>
      <c r="P84" s="207" t="s">
        <v>19</v>
      </c>
      <c r="Q84" s="207" t="s">
        <v>111</v>
      </c>
      <c r="R84" s="207" t="s">
        <v>20</v>
      </c>
      <c r="S84" s="305" t="s">
        <v>21</v>
      </c>
      <c r="T84" s="305" t="s">
        <v>110</v>
      </c>
      <c r="U84" s="306" t="s">
        <v>22</v>
      </c>
      <c r="V84" s="315" t="s">
        <v>111</v>
      </c>
      <c r="W84" s="304" t="s">
        <v>3</v>
      </c>
      <c r="X84" s="307" t="s">
        <v>137</v>
      </c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</row>
    <row r="85" spans="1:108" s="6" customFormat="1" ht="18" customHeight="1" x14ac:dyDescent="0.35">
      <c r="A85" s="1"/>
      <c r="B85" s="259" t="s">
        <v>88</v>
      </c>
      <c r="C85" s="260"/>
      <c r="D85" s="261"/>
      <c r="E85" s="262"/>
      <c r="F85" s="263"/>
      <c r="G85" s="264"/>
      <c r="H85" s="265"/>
      <c r="I85" s="265"/>
      <c r="J85" s="265"/>
      <c r="K85" s="265"/>
      <c r="L85" s="265"/>
      <c r="M85" s="266"/>
      <c r="N85" s="308"/>
      <c r="O85" s="309"/>
      <c r="P85" s="310"/>
      <c r="Q85" s="309"/>
      <c r="R85" s="309"/>
      <c r="S85" s="311"/>
      <c r="T85" s="312"/>
      <c r="U85" s="313"/>
      <c r="V85" s="316"/>
      <c r="W85" s="319">
        <f>Q85*-3+T85*-1+V85*-1</f>
        <v>0</v>
      </c>
      <c r="X85" s="322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</row>
    <row r="86" spans="1:108" ht="15" customHeight="1" x14ac:dyDescent="0.35">
      <c r="B86" s="267" t="s">
        <v>89</v>
      </c>
      <c r="C86" s="268"/>
      <c r="D86" s="269"/>
      <c r="E86" s="270"/>
      <c r="F86" s="271"/>
      <c r="G86" s="272"/>
      <c r="H86" s="273"/>
      <c r="I86" s="273"/>
      <c r="J86" s="273"/>
      <c r="K86" s="273"/>
      <c r="L86" s="273"/>
      <c r="M86" s="274"/>
      <c r="N86" s="275"/>
      <c r="O86" s="276"/>
      <c r="P86" s="277"/>
      <c r="Q86" s="276"/>
      <c r="R86" s="276"/>
      <c r="S86" s="278"/>
      <c r="T86" s="279"/>
      <c r="U86" s="280"/>
      <c r="V86" s="317"/>
      <c r="W86" s="320">
        <f>Q86*-3+T86*-1+V86*-1</f>
        <v>0</v>
      </c>
      <c r="X86" s="323"/>
      <c r="CX86" s="1"/>
      <c r="CY86" s="1"/>
      <c r="CZ86" s="1"/>
      <c r="DA86" s="1"/>
      <c r="DB86" s="1"/>
      <c r="DC86" s="1"/>
      <c r="DD86" s="1"/>
    </row>
    <row r="87" spans="1:108" ht="15" customHeight="1" x14ac:dyDescent="0.35">
      <c r="B87" s="267" t="s">
        <v>90</v>
      </c>
      <c r="C87" s="268"/>
      <c r="D87" s="269"/>
      <c r="E87" s="270"/>
      <c r="F87" s="271"/>
      <c r="G87" s="272"/>
      <c r="H87" s="273"/>
      <c r="I87" s="273"/>
      <c r="J87" s="273"/>
      <c r="K87" s="273"/>
      <c r="L87" s="273"/>
      <c r="M87" s="274"/>
      <c r="N87" s="275"/>
      <c r="O87" s="276"/>
      <c r="P87" s="277"/>
      <c r="Q87" s="276"/>
      <c r="R87" s="276"/>
      <c r="S87" s="278"/>
      <c r="T87" s="279"/>
      <c r="U87" s="280"/>
      <c r="V87" s="317"/>
      <c r="W87" s="320">
        <f t="shared" ref="W87:W92" si="5">Q87*-3+T87*-1+V87*-1</f>
        <v>0</v>
      </c>
      <c r="X87" s="323"/>
      <c r="CX87" s="1"/>
      <c r="CY87" s="1"/>
      <c r="CZ87" s="1"/>
      <c r="DA87" s="1"/>
      <c r="DB87" s="1"/>
      <c r="DC87" s="1"/>
      <c r="DD87" s="1"/>
    </row>
    <row r="88" spans="1:108" ht="15" customHeight="1" x14ac:dyDescent="0.35">
      <c r="B88" s="267" t="s">
        <v>91</v>
      </c>
      <c r="C88" s="268"/>
      <c r="D88" s="269"/>
      <c r="E88" s="270"/>
      <c r="F88" s="271"/>
      <c r="G88" s="272"/>
      <c r="H88" s="273"/>
      <c r="I88" s="273"/>
      <c r="J88" s="273"/>
      <c r="K88" s="273"/>
      <c r="L88" s="273"/>
      <c r="M88" s="274"/>
      <c r="N88" s="275"/>
      <c r="O88" s="276"/>
      <c r="P88" s="277"/>
      <c r="Q88" s="276"/>
      <c r="R88" s="276"/>
      <c r="S88" s="278"/>
      <c r="T88" s="279"/>
      <c r="U88" s="280"/>
      <c r="V88" s="317"/>
      <c r="W88" s="320">
        <f t="shared" si="5"/>
        <v>0</v>
      </c>
      <c r="X88" s="323"/>
      <c r="CX88" s="1"/>
      <c r="CY88" s="1"/>
      <c r="CZ88" s="1"/>
      <c r="DA88" s="1"/>
      <c r="DB88" s="1"/>
      <c r="DC88" s="1"/>
      <c r="DD88" s="1"/>
    </row>
    <row r="89" spans="1:108" ht="15" customHeight="1" x14ac:dyDescent="0.35">
      <c r="B89" s="267" t="s">
        <v>92</v>
      </c>
      <c r="C89" s="268"/>
      <c r="D89" s="269"/>
      <c r="E89" s="270"/>
      <c r="F89" s="271"/>
      <c r="G89" s="272"/>
      <c r="H89" s="273"/>
      <c r="I89" s="273"/>
      <c r="J89" s="273"/>
      <c r="K89" s="273"/>
      <c r="L89" s="273"/>
      <c r="M89" s="274"/>
      <c r="N89" s="275"/>
      <c r="O89" s="276"/>
      <c r="P89" s="277"/>
      <c r="Q89" s="276"/>
      <c r="R89" s="276"/>
      <c r="S89" s="278"/>
      <c r="T89" s="279"/>
      <c r="U89" s="280"/>
      <c r="V89" s="317"/>
      <c r="W89" s="320">
        <f t="shared" si="5"/>
        <v>0</v>
      </c>
      <c r="X89" s="323"/>
      <c r="CX89" s="1"/>
      <c r="CY89" s="1"/>
      <c r="CZ89" s="1"/>
      <c r="DA89" s="1"/>
      <c r="DB89" s="1"/>
      <c r="DC89" s="1"/>
      <c r="DD89" s="1"/>
    </row>
    <row r="90" spans="1:108" ht="15" customHeight="1" x14ac:dyDescent="0.35">
      <c r="B90" s="267" t="s">
        <v>93</v>
      </c>
      <c r="C90" s="268"/>
      <c r="D90" s="269"/>
      <c r="E90" s="270"/>
      <c r="F90" s="271"/>
      <c r="G90" s="272"/>
      <c r="H90" s="273"/>
      <c r="I90" s="273"/>
      <c r="J90" s="273"/>
      <c r="K90" s="273"/>
      <c r="L90" s="273"/>
      <c r="M90" s="274"/>
      <c r="N90" s="275"/>
      <c r="O90" s="276"/>
      <c r="P90" s="277"/>
      <c r="Q90" s="276"/>
      <c r="R90" s="276"/>
      <c r="S90" s="278"/>
      <c r="T90" s="279"/>
      <c r="U90" s="280"/>
      <c r="V90" s="317"/>
      <c r="W90" s="320">
        <f t="shared" si="5"/>
        <v>0</v>
      </c>
      <c r="X90" s="323"/>
      <c r="CX90" s="1"/>
      <c r="CY90" s="1"/>
      <c r="CZ90" s="1"/>
      <c r="DA90" s="1"/>
      <c r="DB90" s="1"/>
      <c r="DC90" s="1"/>
      <c r="DD90" s="1"/>
    </row>
    <row r="91" spans="1:108" ht="15" customHeight="1" x14ac:dyDescent="0.35">
      <c r="B91" s="267" t="s">
        <v>94</v>
      </c>
      <c r="C91" s="268"/>
      <c r="D91" s="269"/>
      <c r="E91" s="270"/>
      <c r="F91" s="271"/>
      <c r="G91" s="272"/>
      <c r="H91" s="273"/>
      <c r="I91" s="273"/>
      <c r="J91" s="273"/>
      <c r="K91" s="273"/>
      <c r="L91" s="273"/>
      <c r="M91" s="274"/>
      <c r="N91" s="275"/>
      <c r="O91" s="276"/>
      <c r="P91" s="277"/>
      <c r="Q91" s="276"/>
      <c r="R91" s="276"/>
      <c r="S91" s="278"/>
      <c r="T91" s="279"/>
      <c r="U91" s="280"/>
      <c r="V91" s="317"/>
      <c r="W91" s="320">
        <f t="shared" si="5"/>
        <v>0</v>
      </c>
      <c r="X91" s="323"/>
      <c r="CX91" s="1"/>
      <c r="CY91" s="1"/>
      <c r="CZ91" s="1"/>
      <c r="DA91" s="1"/>
      <c r="DB91" s="1"/>
      <c r="DC91" s="1"/>
      <c r="DD91" s="1"/>
    </row>
    <row r="92" spans="1:108" ht="15" customHeight="1" thickBot="1" x14ac:dyDescent="0.4">
      <c r="B92" s="282" t="s">
        <v>95</v>
      </c>
      <c r="C92" s="283"/>
      <c r="D92" s="284"/>
      <c r="E92" s="285"/>
      <c r="F92" s="286"/>
      <c r="G92" s="287"/>
      <c r="H92" s="288"/>
      <c r="I92" s="288"/>
      <c r="J92" s="288"/>
      <c r="K92" s="288"/>
      <c r="L92" s="288"/>
      <c r="M92" s="289"/>
      <c r="N92" s="290"/>
      <c r="O92" s="291"/>
      <c r="P92" s="292"/>
      <c r="Q92" s="291"/>
      <c r="R92" s="291"/>
      <c r="S92" s="293"/>
      <c r="T92" s="294"/>
      <c r="U92" s="295"/>
      <c r="V92" s="318"/>
      <c r="W92" s="320">
        <f t="shared" si="5"/>
        <v>0</v>
      </c>
      <c r="X92" s="324"/>
      <c r="CX92" s="1"/>
      <c r="CY92" s="1"/>
      <c r="CZ92" s="1"/>
      <c r="DA92" s="1"/>
      <c r="DB92" s="1"/>
      <c r="DC92" s="1"/>
      <c r="DD92" s="1"/>
    </row>
    <row r="93" spans="1:108" ht="15" customHeight="1" thickBot="1" x14ac:dyDescent="0.25">
      <c r="B93" s="171"/>
      <c r="C93" s="241"/>
      <c r="D93" s="250"/>
      <c r="E93" s="251"/>
      <c r="F93" s="252"/>
      <c r="G93" s="255"/>
      <c r="H93" s="245"/>
      <c r="I93" s="245"/>
      <c r="J93" s="245"/>
      <c r="K93" s="245"/>
      <c r="L93" s="245"/>
      <c r="M93" s="246"/>
      <c r="N93" s="257"/>
      <c r="O93" s="192">
        <f>SUM(O85:O92)</f>
        <v>0</v>
      </c>
      <c r="P93" s="191" t="e">
        <f>AVERAGE(P85:P92)</f>
        <v>#DIV/0!</v>
      </c>
      <c r="Q93" s="191"/>
      <c r="R93" s="192">
        <f>SUM(R85:R92)</f>
        <v>0</v>
      </c>
      <c r="S93" s="191" t="e">
        <f>AVERAGE(S85:S92)</f>
        <v>#DIV/0!</v>
      </c>
      <c r="T93" s="191"/>
      <c r="U93" s="253" t="e">
        <f>AVERAGE(U85:U92)</f>
        <v>#DIV/0!</v>
      </c>
      <c r="V93" s="303"/>
      <c r="W93" s="257"/>
      <c r="X93" s="193"/>
      <c r="CX93" s="1"/>
      <c r="CY93" s="1"/>
      <c r="CZ93" s="1"/>
      <c r="DA93" s="1"/>
      <c r="DB93" s="1"/>
      <c r="DC93" s="1"/>
      <c r="DD93" s="1"/>
    </row>
    <row r="94" spans="1:108" ht="15" customHeight="1" x14ac:dyDescent="0.2">
      <c r="B94" s="3"/>
      <c r="C94" s="3"/>
      <c r="D94" s="3"/>
      <c r="E94" s="1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108" ht="15" customHeight="1" x14ac:dyDescent="0.2">
      <c r="B95" s="3"/>
      <c r="C95" s="3"/>
      <c r="D95" s="3"/>
      <c r="E95" s="1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108" ht="15" customHeight="1" x14ac:dyDescent="0.2">
      <c r="B96" s="3"/>
      <c r="C96" s="3"/>
      <c r="D96" s="3"/>
      <c r="E96" s="1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108" ht="15" customHeight="1" x14ac:dyDescent="0.2">
      <c r="B97" s="3"/>
      <c r="C97" s="3"/>
      <c r="D97" s="3"/>
      <c r="E97" s="1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108" ht="66" customHeight="1" thickBot="1" x14ac:dyDescent="0.25">
      <c r="B98" s="17" t="s">
        <v>73</v>
      </c>
      <c r="C98" s="17"/>
    </row>
    <row r="99" spans="1:108" ht="15" customHeight="1" thickBot="1" x14ac:dyDescent="0.25">
      <c r="B99" s="326" t="s">
        <v>1</v>
      </c>
      <c r="C99" s="328" t="s">
        <v>77</v>
      </c>
      <c r="D99" s="330" t="s">
        <v>2</v>
      </c>
      <c r="E99" s="326" t="s">
        <v>3</v>
      </c>
      <c r="F99" s="332" t="s">
        <v>112</v>
      </c>
      <c r="G99" s="213"/>
      <c r="H99" s="254" t="s">
        <v>5</v>
      </c>
      <c r="I99" s="254"/>
      <c r="J99" s="254"/>
      <c r="K99" s="254"/>
      <c r="L99" s="254"/>
      <c r="M99" s="254"/>
      <c r="N99" s="247" t="s">
        <v>6</v>
      </c>
      <c r="O99" s="248"/>
      <c r="P99" s="248"/>
      <c r="Q99" s="248"/>
      <c r="R99" s="248"/>
      <c r="S99" s="248"/>
      <c r="T99" s="248"/>
      <c r="U99" s="248"/>
      <c r="V99" s="248"/>
      <c r="W99" s="249"/>
      <c r="X99" s="249"/>
      <c r="CX99" s="1"/>
      <c r="CY99" s="1"/>
      <c r="CZ99" s="1"/>
      <c r="DA99" s="1"/>
      <c r="DB99" s="1"/>
      <c r="DC99" s="1"/>
      <c r="DD99" s="1"/>
    </row>
    <row r="100" spans="1:108" ht="28.5" customHeight="1" thickBot="1" x14ac:dyDescent="0.25">
      <c r="A100" s="6"/>
      <c r="B100" s="327"/>
      <c r="C100" s="329"/>
      <c r="D100" s="331"/>
      <c r="E100" s="327"/>
      <c r="F100" s="333"/>
      <c r="G100" s="256" t="s">
        <v>154</v>
      </c>
      <c r="H100" s="153" t="s">
        <v>156</v>
      </c>
      <c r="I100" s="153" t="s">
        <v>158</v>
      </c>
      <c r="J100" s="153" t="s">
        <v>160</v>
      </c>
      <c r="K100" s="153" t="s">
        <v>162</v>
      </c>
      <c r="L100" s="153" t="s">
        <v>164</v>
      </c>
      <c r="M100" s="258" t="s">
        <v>166</v>
      </c>
      <c r="N100" s="304" t="s">
        <v>107</v>
      </c>
      <c r="O100" s="207" t="s">
        <v>18</v>
      </c>
      <c r="P100" s="207" t="s">
        <v>19</v>
      </c>
      <c r="Q100" s="207" t="s">
        <v>111</v>
      </c>
      <c r="R100" s="207" t="s">
        <v>20</v>
      </c>
      <c r="S100" s="305" t="s">
        <v>21</v>
      </c>
      <c r="T100" s="305" t="s">
        <v>110</v>
      </c>
      <c r="U100" s="306" t="s">
        <v>22</v>
      </c>
      <c r="V100" s="315" t="s">
        <v>111</v>
      </c>
      <c r="W100" s="304" t="s">
        <v>3</v>
      </c>
      <c r="X100" s="307" t="s">
        <v>137</v>
      </c>
      <c r="CX100" s="1"/>
      <c r="CY100" s="1"/>
      <c r="CZ100" s="1"/>
      <c r="DA100" s="1"/>
      <c r="DB100" s="1"/>
      <c r="DC100" s="1"/>
      <c r="DD100" s="1"/>
    </row>
    <row r="101" spans="1:108" s="6" customFormat="1" ht="19.5" customHeight="1" x14ac:dyDescent="0.35">
      <c r="B101" s="259" t="s">
        <v>88</v>
      </c>
      <c r="C101" s="260"/>
      <c r="D101" s="261"/>
      <c r="E101" s="262"/>
      <c r="F101" s="263"/>
      <c r="G101" s="264"/>
      <c r="H101" s="265"/>
      <c r="I101" s="265"/>
      <c r="J101" s="265"/>
      <c r="K101" s="265"/>
      <c r="L101" s="265"/>
      <c r="M101" s="266"/>
      <c r="N101" s="308"/>
      <c r="O101" s="309"/>
      <c r="P101" s="310"/>
      <c r="Q101" s="309"/>
      <c r="R101" s="309"/>
      <c r="S101" s="311"/>
      <c r="T101" s="312"/>
      <c r="U101" s="313"/>
      <c r="V101" s="316"/>
      <c r="W101" s="319">
        <f>Q101*-3+T101*-1+V101*-1</f>
        <v>0</v>
      </c>
      <c r="X101" s="322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</row>
    <row r="102" spans="1:108" s="6" customFormat="1" ht="15" customHeight="1" x14ac:dyDescent="0.35">
      <c r="A102" s="1"/>
      <c r="B102" s="267" t="s">
        <v>89</v>
      </c>
      <c r="C102" s="268"/>
      <c r="D102" s="269"/>
      <c r="E102" s="270"/>
      <c r="F102" s="271"/>
      <c r="G102" s="272"/>
      <c r="H102" s="273"/>
      <c r="I102" s="273"/>
      <c r="J102" s="273"/>
      <c r="K102" s="273"/>
      <c r="L102" s="273"/>
      <c r="M102" s="274"/>
      <c r="N102" s="275"/>
      <c r="O102" s="276"/>
      <c r="P102" s="277"/>
      <c r="Q102" s="276"/>
      <c r="R102" s="276"/>
      <c r="S102" s="278"/>
      <c r="T102" s="279"/>
      <c r="U102" s="280"/>
      <c r="V102" s="317"/>
      <c r="W102" s="320">
        <f>Q102*-3+T102*-1+V102*-1</f>
        <v>0</v>
      </c>
      <c r="X102" s="323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</row>
    <row r="103" spans="1:108" ht="15" customHeight="1" x14ac:dyDescent="0.35">
      <c r="B103" s="267" t="s">
        <v>90</v>
      </c>
      <c r="C103" s="268"/>
      <c r="D103" s="269"/>
      <c r="E103" s="270"/>
      <c r="F103" s="271"/>
      <c r="G103" s="272"/>
      <c r="H103" s="273"/>
      <c r="I103" s="273"/>
      <c r="J103" s="273"/>
      <c r="K103" s="273"/>
      <c r="L103" s="273"/>
      <c r="M103" s="274"/>
      <c r="N103" s="275"/>
      <c r="O103" s="276"/>
      <c r="P103" s="277"/>
      <c r="Q103" s="276"/>
      <c r="R103" s="276"/>
      <c r="S103" s="278"/>
      <c r="T103" s="279"/>
      <c r="U103" s="280"/>
      <c r="V103" s="317"/>
      <c r="W103" s="320">
        <f t="shared" ref="W103:W108" si="6">Q103*-3+T103*-1+V103*-1</f>
        <v>0</v>
      </c>
      <c r="X103" s="323"/>
      <c r="CX103" s="1"/>
      <c r="CY103" s="1"/>
      <c r="CZ103" s="1"/>
      <c r="DA103" s="1"/>
      <c r="DB103" s="1"/>
      <c r="DC103" s="1"/>
      <c r="DD103" s="1"/>
    </row>
    <row r="104" spans="1:108" ht="15" customHeight="1" x14ac:dyDescent="0.35">
      <c r="B104" s="267" t="s">
        <v>91</v>
      </c>
      <c r="C104" s="268"/>
      <c r="D104" s="269"/>
      <c r="E104" s="270"/>
      <c r="F104" s="271"/>
      <c r="G104" s="272"/>
      <c r="H104" s="273"/>
      <c r="I104" s="273"/>
      <c r="J104" s="273"/>
      <c r="K104" s="273"/>
      <c r="L104" s="273"/>
      <c r="M104" s="274"/>
      <c r="N104" s="275"/>
      <c r="O104" s="276"/>
      <c r="P104" s="277"/>
      <c r="Q104" s="276"/>
      <c r="R104" s="276"/>
      <c r="S104" s="278"/>
      <c r="T104" s="279"/>
      <c r="U104" s="280"/>
      <c r="V104" s="317"/>
      <c r="W104" s="320">
        <f t="shared" si="6"/>
        <v>0</v>
      </c>
      <c r="X104" s="323"/>
      <c r="CX104" s="1"/>
      <c r="CY104" s="1"/>
      <c r="CZ104" s="1"/>
      <c r="DA104" s="1"/>
      <c r="DB104" s="1"/>
      <c r="DC104" s="1"/>
      <c r="DD104" s="1"/>
    </row>
    <row r="105" spans="1:108" ht="15" customHeight="1" x14ac:dyDescent="0.35">
      <c r="B105" s="267" t="s">
        <v>92</v>
      </c>
      <c r="C105" s="268"/>
      <c r="D105" s="269"/>
      <c r="E105" s="270"/>
      <c r="F105" s="271"/>
      <c r="G105" s="272"/>
      <c r="H105" s="273"/>
      <c r="I105" s="273"/>
      <c r="J105" s="273"/>
      <c r="K105" s="273"/>
      <c r="L105" s="273"/>
      <c r="M105" s="274"/>
      <c r="N105" s="275"/>
      <c r="O105" s="276"/>
      <c r="P105" s="277"/>
      <c r="Q105" s="276"/>
      <c r="R105" s="276"/>
      <c r="S105" s="278"/>
      <c r="T105" s="279"/>
      <c r="U105" s="280"/>
      <c r="V105" s="317"/>
      <c r="W105" s="320">
        <f t="shared" si="6"/>
        <v>0</v>
      </c>
      <c r="X105" s="323"/>
      <c r="CX105" s="1"/>
      <c r="CY105" s="1"/>
      <c r="CZ105" s="1"/>
      <c r="DA105" s="1"/>
      <c r="DB105" s="1"/>
      <c r="DC105" s="1"/>
      <c r="DD105" s="1"/>
    </row>
    <row r="106" spans="1:108" ht="15" customHeight="1" x14ac:dyDescent="0.35">
      <c r="B106" s="267" t="s">
        <v>93</v>
      </c>
      <c r="C106" s="268"/>
      <c r="D106" s="269"/>
      <c r="E106" s="270"/>
      <c r="F106" s="271"/>
      <c r="G106" s="272"/>
      <c r="H106" s="273"/>
      <c r="I106" s="273"/>
      <c r="J106" s="273"/>
      <c r="K106" s="273"/>
      <c r="L106" s="273"/>
      <c r="M106" s="274"/>
      <c r="N106" s="275"/>
      <c r="O106" s="276"/>
      <c r="P106" s="277"/>
      <c r="Q106" s="276"/>
      <c r="R106" s="276"/>
      <c r="S106" s="278"/>
      <c r="T106" s="279"/>
      <c r="U106" s="280"/>
      <c r="V106" s="317"/>
      <c r="W106" s="320">
        <f t="shared" si="6"/>
        <v>0</v>
      </c>
      <c r="X106" s="323"/>
      <c r="CX106" s="1"/>
      <c r="CY106" s="1"/>
      <c r="CZ106" s="1"/>
      <c r="DA106" s="1"/>
      <c r="DB106" s="1"/>
      <c r="DC106" s="1"/>
      <c r="DD106" s="1"/>
    </row>
    <row r="107" spans="1:108" ht="15" customHeight="1" x14ac:dyDescent="0.35">
      <c r="B107" s="267" t="s">
        <v>94</v>
      </c>
      <c r="C107" s="268"/>
      <c r="D107" s="269"/>
      <c r="E107" s="270"/>
      <c r="F107" s="271"/>
      <c r="G107" s="272"/>
      <c r="H107" s="273"/>
      <c r="I107" s="273"/>
      <c r="J107" s="273"/>
      <c r="K107" s="273"/>
      <c r="L107" s="273"/>
      <c r="M107" s="274"/>
      <c r="N107" s="275"/>
      <c r="O107" s="276"/>
      <c r="P107" s="277"/>
      <c r="Q107" s="276"/>
      <c r="R107" s="276"/>
      <c r="S107" s="278"/>
      <c r="T107" s="279"/>
      <c r="U107" s="280"/>
      <c r="V107" s="317"/>
      <c r="W107" s="320">
        <f t="shared" si="6"/>
        <v>0</v>
      </c>
      <c r="X107" s="323"/>
      <c r="CX107" s="1"/>
      <c r="CY107" s="1"/>
      <c r="CZ107" s="1"/>
      <c r="DA107" s="1"/>
      <c r="DB107" s="1"/>
      <c r="DC107" s="1"/>
      <c r="DD107" s="1"/>
    </row>
    <row r="108" spans="1:108" ht="15" customHeight="1" thickBot="1" x14ac:dyDescent="0.4">
      <c r="B108" s="282" t="s">
        <v>95</v>
      </c>
      <c r="C108" s="283"/>
      <c r="D108" s="284"/>
      <c r="E108" s="285"/>
      <c r="F108" s="286"/>
      <c r="G108" s="287"/>
      <c r="H108" s="288"/>
      <c r="I108" s="288"/>
      <c r="J108" s="288"/>
      <c r="K108" s="288"/>
      <c r="L108" s="288"/>
      <c r="M108" s="289"/>
      <c r="N108" s="290"/>
      <c r="O108" s="291"/>
      <c r="P108" s="292"/>
      <c r="Q108" s="291"/>
      <c r="R108" s="291"/>
      <c r="S108" s="293"/>
      <c r="T108" s="294"/>
      <c r="U108" s="295"/>
      <c r="V108" s="318"/>
      <c r="W108" s="320">
        <f t="shared" si="6"/>
        <v>0</v>
      </c>
      <c r="X108" s="324"/>
      <c r="CX108" s="1"/>
      <c r="CY108" s="1"/>
      <c r="CZ108" s="1"/>
      <c r="DA108" s="1"/>
      <c r="DB108" s="1"/>
      <c r="DC108" s="1"/>
      <c r="DD108" s="1"/>
    </row>
    <row r="109" spans="1:108" ht="15" customHeight="1" thickBot="1" x14ac:dyDescent="0.25">
      <c r="B109" s="171"/>
      <c r="C109" s="241"/>
      <c r="D109" s="250"/>
      <c r="E109" s="251"/>
      <c r="F109" s="252"/>
      <c r="G109" s="255"/>
      <c r="H109" s="245"/>
      <c r="I109" s="245"/>
      <c r="J109" s="245"/>
      <c r="K109" s="245"/>
      <c r="L109" s="245"/>
      <c r="M109" s="246"/>
      <c r="N109" s="257"/>
      <c r="O109" s="192">
        <f>SUM(O101:O108)</f>
        <v>0</v>
      </c>
      <c r="P109" s="191" t="e">
        <f>AVERAGE(P101:P108)</f>
        <v>#DIV/0!</v>
      </c>
      <c r="Q109" s="191"/>
      <c r="R109" s="192">
        <f>SUM(R101:R108)</f>
        <v>0</v>
      </c>
      <c r="S109" s="191" t="e">
        <f>AVERAGE(S101:S108)</f>
        <v>#DIV/0!</v>
      </c>
      <c r="T109" s="191"/>
      <c r="U109" s="253" t="e">
        <f>AVERAGE(U101:U108)</f>
        <v>#DIV/0!</v>
      </c>
      <c r="V109" s="303"/>
      <c r="W109" s="257"/>
      <c r="X109" s="193"/>
      <c r="CX109" s="1"/>
      <c r="CY109" s="1"/>
      <c r="CZ109" s="1"/>
      <c r="DA109" s="1"/>
      <c r="DB109" s="1"/>
      <c r="DC109" s="1"/>
      <c r="DD109" s="1"/>
    </row>
    <row r="110" spans="1:108" ht="15" customHeight="1" x14ac:dyDescent="0.2">
      <c r="B110" s="3"/>
      <c r="C110" s="3"/>
      <c r="D110" s="3"/>
      <c r="E110" s="15"/>
      <c r="F110" s="3"/>
      <c r="G110" s="18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108" ht="15" customHeight="1" x14ac:dyDescent="0.2">
      <c r="B111" s="3"/>
      <c r="C111" s="3"/>
      <c r="D111" s="3"/>
      <c r="E111" s="15"/>
      <c r="F111" s="3"/>
      <c r="G111" s="18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108" ht="15" customHeight="1" x14ac:dyDescent="0.2">
      <c r="A112" s="24"/>
    </row>
    <row r="113" spans="1:1" ht="15" customHeight="1" x14ac:dyDescent="0.2">
      <c r="A113" s="24"/>
    </row>
    <row r="114" spans="1:1" ht="15" hidden="1" customHeight="1" x14ac:dyDescent="0.2">
      <c r="A114" s="24"/>
    </row>
    <row r="115" spans="1:1" ht="15" hidden="1" customHeight="1" x14ac:dyDescent="0.2">
      <c r="A115" s="24"/>
    </row>
    <row r="116" spans="1:1" ht="15" hidden="1" customHeight="1" x14ac:dyDescent="0.2">
      <c r="A116" s="24"/>
    </row>
    <row r="117" spans="1:1" ht="15" hidden="1" customHeight="1" x14ac:dyDescent="0.2">
      <c r="A117" s="24"/>
    </row>
    <row r="118" spans="1:1" ht="15" hidden="1" customHeight="1" x14ac:dyDescent="0.2">
      <c r="A118" s="24"/>
    </row>
    <row r="119" spans="1:1" ht="15" hidden="1" customHeight="1" x14ac:dyDescent="0.2">
      <c r="A119" s="24"/>
    </row>
    <row r="120" spans="1:1" ht="15" hidden="1" customHeight="1" x14ac:dyDescent="0.2">
      <c r="A120" s="24"/>
    </row>
    <row r="121" spans="1:1" ht="15" hidden="1" customHeight="1" x14ac:dyDescent="0.2">
      <c r="A121" s="24"/>
    </row>
    <row r="122" spans="1:1" ht="15" hidden="1" customHeight="1" x14ac:dyDescent="0.2">
      <c r="A122" s="24"/>
    </row>
    <row r="123" spans="1:1" ht="15" hidden="1" customHeight="1" x14ac:dyDescent="0.2">
      <c r="A123" s="24"/>
    </row>
    <row r="124" spans="1:1" ht="15" hidden="1" customHeight="1" x14ac:dyDescent="0.2">
      <c r="A124" s="24"/>
    </row>
    <row r="125" spans="1:1" ht="15" hidden="1" customHeight="1" x14ac:dyDescent="0.2">
      <c r="A125" s="24"/>
    </row>
    <row r="126" spans="1:1" ht="15" hidden="1" customHeight="1" x14ac:dyDescent="0.2">
      <c r="A126" s="24"/>
    </row>
    <row r="127" spans="1:1" ht="15" hidden="1" customHeight="1" x14ac:dyDescent="0.2">
      <c r="A127" s="24"/>
    </row>
    <row r="128" spans="1:1" ht="15" hidden="1" customHeight="1" x14ac:dyDescent="0.2">
      <c r="A128" s="24"/>
    </row>
    <row r="129" spans="1:1" ht="15" hidden="1" customHeight="1" x14ac:dyDescent="0.2">
      <c r="A129" s="24"/>
    </row>
    <row r="130" spans="1:1" ht="15" hidden="1" customHeight="1" x14ac:dyDescent="0.2">
      <c r="A130" s="24"/>
    </row>
    <row r="131" spans="1:1" ht="15" hidden="1" customHeight="1" x14ac:dyDescent="0.2">
      <c r="A131" s="24"/>
    </row>
    <row r="132" spans="1:1" ht="15" hidden="1" customHeight="1" x14ac:dyDescent="0.2">
      <c r="A132" s="24"/>
    </row>
    <row r="133" spans="1:1" ht="15" hidden="1" customHeight="1" x14ac:dyDescent="0.2">
      <c r="A133" s="24"/>
    </row>
    <row r="134" spans="1:1" ht="15" hidden="1" customHeight="1" x14ac:dyDescent="0.2">
      <c r="A134" s="24"/>
    </row>
    <row r="135" spans="1:1" ht="15" hidden="1" customHeight="1" x14ac:dyDescent="0.2">
      <c r="A135" s="24"/>
    </row>
    <row r="136" spans="1:1" ht="15" hidden="1" customHeight="1" x14ac:dyDescent="0.2">
      <c r="A136" s="24"/>
    </row>
    <row r="137" spans="1:1" ht="15" hidden="1" customHeight="1" x14ac:dyDescent="0.2">
      <c r="A137" s="24"/>
    </row>
    <row r="138" spans="1:1" ht="15" hidden="1" customHeight="1" x14ac:dyDescent="0.2">
      <c r="A138" s="24"/>
    </row>
    <row r="139" spans="1:1" ht="15" hidden="1" customHeight="1" x14ac:dyDescent="0.2">
      <c r="A139" s="24"/>
    </row>
    <row r="140" spans="1:1" ht="15" hidden="1" customHeight="1" x14ac:dyDescent="0.2">
      <c r="A140" s="24"/>
    </row>
    <row r="141" spans="1:1" ht="15" hidden="1" customHeight="1" x14ac:dyDescent="0.2">
      <c r="A141" s="24"/>
    </row>
    <row r="142" spans="1:1" ht="15" hidden="1" customHeight="1" x14ac:dyDescent="0.2">
      <c r="A142" s="24"/>
    </row>
    <row r="143" spans="1:1" ht="15" customHeight="1" x14ac:dyDescent="0.2">
      <c r="A143" s="24"/>
    </row>
    <row r="144" spans="1:1" ht="15" customHeight="1" x14ac:dyDescent="0.2">
      <c r="A144" s="24"/>
    </row>
    <row r="145" spans="1:24" ht="15" customHeight="1" x14ac:dyDescent="0.2">
      <c r="A145" s="24"/>
    </row>
    <row r="146" spans="1:24" s="24" customFormat="1" ht="11.25" customHeight="1" thickBot="1" x14ac:dyDescent="0.25">
      <c r="B146" s="340" t="s">
        <v>50</v>
      </c>
      <c r="C146" s="34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s="24" customFormat="1" ht="12.95" customHeight="1" thickBot="1" x14ac:dyDescent="0.25">
      <c r="B147" s="330" t="s">
        <v>1</v>
      </c>
      <c r="C147" s="328" t="s">
        <v>77</v>
      </c>
      <c r="D147" s="330" t="s">
        <v>51</v>
      </c>
      <c r="E147" s="326" t="s">
        <v>4</v>
      </c>
      <c r="F147" s="332" t="s">
        <v>112</v>
      </c>
      <c r="G147" s="334" t="s">
        <v>52</v>
      </c>
      <c r="H147" s="335"/>
      <c r="I147" s="335"/>
      <c r="J147" s="335"/>
      <c r="K147" s="335"/>
      <c r="L147" s="335"/>
      <c r="M147" s="335"/>
      <c r="N147" s="335"/>
      <c r="O147" s="335"/>
      <c r="P147" s="336"/>
      <c r="Q147" s="337" t="s">
        <v>53</v>
      </c>
      <c r="R147" s="338"/>
      <c r="S147" s="338"/>
      <c r="T147" s="338"/>
      <c r="U147" s="338"/>
      <c r="V147" s="338"/>
      <c r="W147" s="339"/>
      <c r="X147" s="187"/>
    </row>
    <row r="148" spans="1:24" s="24" customFormat="1" ht="29.25" customHeight="1" thickBot="1" x14ac:dyDescent="0.25">
      <c r="B148" s="341"/>
      <c r="C148" s="329"/>
      <c r="D148" s="331"/>
      <c r="E148" s="342"/>
      <c r="F148" s="333"/>
      <c r="G148" s="140" t="s">
        <v>54</v>
      </c>
      <c r="H148" s="9" t="s">
        <v>55</v>
      </c>
      <c r="I148" s="9" t="s">
        <v>56</v>
      </c>
      <c r="J148" s="9" t="s">
        <v>57</v>
      </c>
      <c r="K148" s="9" t="s">
        <v>58</v>
      </c>
      <c r="L148" s="9" t="s">
        <v>59</v>
      </c>
      <c r="M148" s="9" t="s">
        <v>60</v>
      </c>
      <c r="N148" s="9" t="s">
        <v>61</v>
      </c>
      <c r="O148" s="141" t="s">
        <v>62</v>
      </c>
      <c r="P148" s="151" t="s">
        <v>63</v>
      </c>
      <c r="Q148" s="152" t="s">
        <v>54</v>
      </c>
      <c r="R148" s="153" t="s">
        <v>55</v>
      </c>
      <c r="S148" s="153" t="s">
        <v>56</v>
      </c>
      <c r="T148" s="153" t="s">
        <v>57</v>
      </c>
      <c r="U148" s="153" t="s">
        <v>58</v>
      </c>
      <c r="V148" s="153" t="s">
        <v>59</v>
      </c>
      <c r="W148" s="154" t="s">
        <v>60</v>
      </c>
      <c r="X148" s="302"/>
    </row>
    <row r="149" spans="1:24" s="24" customFormat="1" ht="16.5" customHeight="1" x14ac:dyDescent="0.2">
      <c r="B149" s="12" t="s">
        <v>88</v>
      </c>
      <c r="C149" s="145"/>
      <c r="D149" s="142"/>
      <c r="E149" s="12"/>
      <c r="F149" s="32"/>
      <c r="G149" s="34"/>
      <c r="H149" s="35"/>
      <c r="I149" s="35"/>
      <c r="J149" s="35"/>
      <c r="K149" s="35"/>
      <c r="L149" s="35"/>
      <c r="M149" s="35"/>
      <c r="N149" s="35"/>
      <c r="O149" s="35"/>
      <c r="P149" s="155"/>
      <c r="Q149" s="183"/>
      <c r="R149" s="184"/>
      <c r="S149" s="184"/>
      <c r="T149" s="184"/>
      <c r="U149" s="185"/>
      <c r="V149" s="185"/>
      <c r="W149" s="186"/>
    </row>
    <row r="150" spans="1:24" s="24" customFormat="1" ht="15" customHeight="1" x14ac:dyDescent="0.2">
      <c r="B150" s="13" t="s">
        <v>89</v>
      </c>
      <c r="C150" s="146"/>
      <c r="D150" s="143"/>
      <c r="E150" s="13"/>
      <c r="F150" s="43"/>
      <c r="G150" s="45"/>
      <c r="H150" s="46"/>
      <c r="I150" s="46"/>
      <c r="J150" s="46"/>
      <c r="K150" s="46"/>
      <c r="L150" s="46"/>
      <c r="M150" s="46"/>
      <c r="N150" s="46"/>
      <c r="O150" s="46"/>
      <c r="P150" s="160"/>
      <c r="Q150" s="161"/>
      <c r="R150" s="162"/>
      <c r="S150" s="162"/>
      <c r="T150" s="162"/>
      <c r="U150" s="163"/>
      <c r="V150" s="163"/>
      <c r="W150" s="164"/>
    </row>
    <row r="151" spans="1:24" s="24" customFormat="1" ht="15" customHeight="1" x14ac:dyDescent="0.2">
      <c r="B151" s="13" t="s">
        <v>90</v>
      </c>
      <c r="C151" s="146"/>
      <c r="D151" s="143"/>
      <c r="E151" s="13"/>
      <c r="F151" s="43"/>
      <c r="G151" s="45"/>
      <c r="H151" s="46"/>
      <c r="I151" s="46"/>
      <c r="J151" s="46"/>
      <c r="K151" s="46"/>
      <c r="L151" s="46"/>
      <c r="M151" s="46"/>
      <c r="N151" s="46"/>
      <c r="O151" s="46"/>
      <c r="P151" s="160"/>
      <c r="Q151" s="161"/>
      <c r="R151" s="162"/>
      <c r="S151" s="162"/>
      <c r="T151" s="162"/>
      <c r="U151" s="163"/>
      <c r="V151" s="163"/>
      <c r="W151" s="164"/>
    </row>
    <row r="152" spans="1:24" s="24" customFormat="1" ht="15" customHeight="1" x14ac:dyDescent="0.2">
      <c r="B152" s="13" t="s">
        <v>91</v>
      </c>
      <c r="C152" s="146"/>
      <c r="D152" s="143"/>
      <c r="E152" s="13"/>
      <c r="F152" s="43"/>
      <c r="G152" s="45"/>
      <c r="H152" s="46"/>
      <c r="I152" s="46"/>
      <c r="J152" s="46"/>
      <c r="K152" s="46"/>
      <c r="L152" s="46"/>
      <c r="M152" s="46"/>
      <c r="N152" s="46"/>
      <c r="O152" s="46"/>
      <c r="P152" s="160"/>
      <c r="Q152" s="161"/>
      <c r="R152" s="162"/>
      <c r="S152" s="162"/>
      <c r="T152" s="162"/>
      <c r="U152" s="163"/>
      <c r="V152" s="163"/>
      <c r="W152" s="164"/>
    </row>
    <row r="153" spans="1:24" s="24" customFormat="1" ht="15" customHeight="1" x14ac:dyDescent="0.2">
      <c r="B153" s="13" t="s">
        <v>92</v>
      </c>
      <c r="C153" s="146"/>
      <c r="D153" s="143"/>
      <c r="E153" s="13"/>
      <c r="F153" s="43"/>
      <c r="G153" s="45"/>
      <c r="H153" s="46"/>
      <c r="I153" s="46"/>
      <c r="J153" s="46"/>
      <c r="K153" s="46"/>
      <c r="L153" s="46"/>
      <c r="M153" s="46"/>
      <c r="N153" s="46"/>
      <c r="O153" s="46"/>
      <c r="P153" s="160"/>
      <c r="Q153" s="161"/>
      <c r="R153" s="162"/>
      <c r="S153" s="162"/>
      <c r="T153" s="162"/>
      <c r="U153" s="163"/>
      <c r="V153" s="163"/>
      <c r="W153" s="164"/>
    </row>
    <row r="154" spans="1:24" s="24" customFormat="1" ht="15" customHeight="1" x14ac:dyDescent="0.2">
      <c r="B154" s="13" t="s">
        <v>93</v>
      </c>
      <c r="C154" s="146"/>
      <c r="D154" s="143"/>
      <c r="E154" s="13"/>
      <c r="F154" s="43"/>
      <c r="G154" s="45"/>
      <c r="H154" s="46"/>
      <c r="I154" s="46"/>
      <c r="J154" s="46"/>
      <c r="K154" s="46"/>
      <c r="L154" s="46"/>
      <c r="M154" s="46"/>
      <c r="N154" s="46"/>
      <c r="O154" s="46"/>
      <c r="P154" s="160"/>
      <c r="Q154" s="161"/>
      <c r="R154" s="162"/>
      <c r="S154" s="162"/>
      <c r="T154" s="162"/>
      <c r="U154" s="163"/>
      <c r="V154" s="163"/>
      <c r="W154" s="164"/>
    </row>
    <row r="155" spans="1:24" s="24" customFormat="1" ht="15" customHeight="1" x14ac:dyDescent="0.2">
      <c r="B155" s="13" t="s">
        <v>94</v>
      </c>
      <c r="C155" s="146"/>
      <c r="D155" s="143"/>
      <c r="E155" s="13"/>
      <c r="F155" s="43"/>
      <c r="G155" s="45"/>
      <c r="H155" s="46"/>
      <c r="I155" s="46"/>
      <c r="J155" s="46"/>
      <c r="K155" s="46"/>
      <c r="L155" s="46"/>
      <c r="M155" s="46"/>
      <c r="N155" s="46"/>
      <c r="O155" s="46"/>
      <c r="P155" s="160"/>
      <c r="Q155" s="161"/>
      <c r="R155" s="162"/>
      <c r="S155" s="162"/>
      <c r="T155" s="162"/>
      <c r="U155" s="163"/>
      <c r="V155" s="163"/>
      <c r="W155" s="164"/>
    </row>
    <row r="156" spans="1:24" s="24" customFormat="1" ht="15" customHeight="1" x14ac:dyDescent="0.2">
      <c r="B156" s="13" t="s">
        <v>95</v>
      </c>
      <c r="C156" s="146"/>
      <c r="D156" s="143"/>
      <c r="E156" s="13"/>
      <c r="F156" s="43"/>
      <c r="G156" s="45"/>
      <c r="H156" s="46"/>
      <c r="I156" s="46"/>
      <c r="J156" s="46"/>
      <c r="K156" s="46"/>
      <c r="L156" s="46"/>
      <c r="M156" s="46"/>
      <c r="N156" s="46"/>
      <c r="O156" s="46"/>
      <c r="P156" s="160"/>
      <c r="Q156" s="161"/>
      <c r="R156" s="162"/>
      <c r="S156" s="162"/>
      <c r="T156" s="162"/>
      <c r="U156" s="163"/>
      <c r="V156" s="163"/>
      <c r="W156" s="164"/>
    </row>
    <row r="157" spans="1:24" s="24" customFormat="1" ht="15" customHeight="1" thickBot="1" x14ac:dyDescent="0.25">
      <c r="B157" s="14" t="s">
        <v>96</v>
      </c>
      <c r="C157" s="147"/>
      <c r="D157" s="144"/>
      <c r="E157" s="14"/>
      <c r="F157" s="54"/>
      <c r="G157" s="56"/>
      <c r="H157" s="57"/>
      <c r="I157" s="57"/>
      <c r="J157" s="57"/>
      <c r="K157" s="57"/>
      <c r="L157" s="57"/>
      <c r="M157" s="57"/>
      <c r="N157" s="57"/>
      <c r="O157" s="57"/>
      <c r="P157" s="165"/>
      <c r="Q157" s="166"/>
      <c r="R157" s="167"/>
      <c r="S157" s="167"/>
      <c r="T157" s="167"/>
      <c r="U157" s="168"/>
      <c r="V157" s="168"/>
      <c r="W157" s="169"/>
    </row>
    <row r="158" spans="1:24" s="24" customFormat="1" ht="1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65" spans="108:108" ht="12.95" customHeight="1" x14ac:dyDescent="0.2">
      <c r="DD165" s="1"/>
    </row>
    <row r="166" spans="108:108" ht="12.95" customHeight="1" x14ac:dyDescent="0.2">
      <c r="DD166" s="1"/>
    </row>
    <row r="167" spans="108:108" ht="12.95" customHeight="1" x14ac:dyDescent="0.2">
      <c r="DD167" s="1"/>
    </row>
    <row r="168" spans="108:108" ht="12.95" customHeight="1" x14ac:dyDescent="0.2">
      <c r="DD168" s="1"/>
    </row>
    <row r="169" spans="108:108" ht="12.95" customHeight="1" x14ac:dyDescent="0.2">
      <c r="DD169" s="1"/>
    </row>
    <row r="170" spans="108:108" ht="12.95" customHeight="1" x14ac:dyDescent="0.2">
      <c r="DD170" s="1"/>
    </row>
    <row r="171" spans="108:108" ht="12.95" customHeight="1" x14ac:dyDescent="0.2">
      <c r="DD171" s="1"/>
    </row>
    <row r="172" spans="108:108" ht="12.95" customHeight="1" x14ac:dyDescent="0.2">
      <c r="DD172" s="1"/>
    </row>
    <row r="173" spans="108:108" ht="12.95" customHeight="1" x14ac:dyDescent="0.2">
      <c r="DD173" s="1"/>
    </row>
    <row r="174" spans="108:108" ht="12.95" customHeight="1" x14ac:dyDescent="0.2">
      <c r="DD174" s="1"/>
    </row>
    <row r="175" spans="108:108" ht="12.95" customHeight="1" x14ac:dyDescent="0.2">
      <c r="DD175" s="1"/>
    </row>
    <row r="176" spans="108:108" ht="12.95" customHeight="1" x14ac:dyDescent="0.2">
      <c r="DD176" s="1"/>
    </row>
    <row r="177" spans="108:108" ht="12.95" customHeight="1" x14ac:dyDescent="0.2">
      <c r="DD177" s="1"/>
    </row>
    <row r="178" spans="108:108" ht="12.95" customHeight="1" x14ac:dyDescent="0.2">
      <c r="DD178" s="1"/>
    </row>
    <row r="179" spans="108:108" ht="12.95" customHeight="1" x14ac:dyDescent="0.2">
      <c r="DD179" s="1"/>
    </row>
    <row r="180" spans="108:108" ht="12.95" customHeight="1" x14ac:dyDescent="0.2">
      <c r="DD180" s="1"/>
    </row>
    <row r="181" spans="108:108" ht="12.95" customHeight="1" x14ac:dyDescent="0.2">
      <c r="DD181" s="1"/>
    </row>
    <row r="182" spans="108:108" ht="12.95" customHeight="1" x14ac:dyDescent="0.2">
      <c r="DD182" s="1"/>
    </row>
    <row r="183" spans="108:108" ht="12.95" customHeight="1" x14ac:dyDescent="0.2">
      <c r="DD183" s="1"/>
    </row>
    <row r="184" spans="108:108" ht="12.95" customHeight="1" x14ac:dyDescent="0.2">
      <c r="DD184" s="1"/>
    </row>
    <row r="185" spans="108:108" ht="12.95" customHeight="1" x14ac:dyDescent="0.2">
      <c r="DD185" s="1"/>
    </row>
    <row r="186" spans="108:108" ht="12.95" customHeight="1" x14ac:dyDescent="0.2">
      <c r="DD186" s="1"/>
    </row>
    <row r="187" spans="108:108" ht="12.95" customHeight="1" x14ac:dyDescent="0.2">
      <c r="DD187" s="1"/>
    </row>
    <row r="188" spans="108:108" ht="12.95" customHeight="1" x14ac:dyDescent="0.2">
      <c r="DD188" s="1"/>
    </row>
    <row r="189" spans="108:108" ht="12.95" customHeight="1" x14ac:dyDescent="0.2">
      <c r="DD189" s="1"/>
    </row>
    <row r="190" spans="108:108" ht="12.95" customHeight="1" x14ac:dyDescent="0.2">
      <c r="DD190" s="1"/>
    </row>
    <row r="191" spans="108:108" ht="12.95" customHeight="1" x14ac:dyDescent="0.2">
      <c r="DD191" s="1"/>
    </row>
    <row r="192" spans="108:108" ht="12.95" customHeight="1" x14ac:dyDescent="0.2">
      <c r="DD192" s="1"/>
    </row>
    <row r="193" spans="108:108" ht="12.95" customHeight="1" x14ac:dyDescent="0.2">
      <c r="DD193" s="1"/>
    </row>
    <row r="194" spans="108:108" ht="12.95" customHeight="1" x14ac:dyDescent="0.2">
      <c r="DD194" s="1"/>
    </row>
    <row r="195" spans="108:108" ht="12.95" customHeight="1" x14ac:dyDescent="0.2">
      <c r="DD195" s="1"/>
    </row>
    <row r="196" spans="108:108" ht="12.95" customHeight="1" x14ac:dyDescent="0.2">
      <c r="DD196" s="1"/>
    </row>
    <row r="197" spans="108:108" ht="12.95" customHeight="1" x14ac:dyDescent="0.2">
      <c r="DD197" s="1"/>
    </row>
  </sheetData>
  <sheetProtection autoFilter="0"/>
  <mergeCells count="44">
    <mergeCell ref="G147:P147"/>
    <mergeCell ref="Q147:W147"/>
    <mergeCell ref="B146:C146"/>
    <mergeCell ref="B147:B148"/>
    <mergeCell ref="C147:C148"/>
    <mergeCell ref="D147:D148"/>
    <mergeCell ref="E147:E148"/>
    <mergeCell ref="F147:F148"/>
    <mergeCell ref="B99:B100"/>
    <mergeCell ref="C99:C100"/>
    <mergeCell ref="D99:D100"/>
    <mergeCell ref="E99:E100"/>
    <mergeCell ref="F99:F100"/>
    <mergeCell ref="B83:B84"/>
    <mergeCell ref="C83:C84"/>
    <mergeCell ref="D83:D84"/>
    <mergeCell ref="E83:E84"/>
    <mergeCell ref="F83:F84"/>
    <mergeCell ref="B67:B68"/>
    <mergeCell ref="C67:C68"/>
    <mergeCell ref="D67:D68"/>
    <mergeCell ref="E67:E68"/>
    <mergeCell ref="F67:F68"/>
    <mergeCell ref="B51:B52"/>
    <mergeCell ref="C51:C52"/>
    <mergeCell ref="D51:D52"/>
    <mergeCell ref="E51:E52"/>
    <mergeCell ref="F51:F52"/>
    <mergeCell ref="B35:B36"/>
    <mergeCell ref="C35:C36"/>
    <mergeCell ref="D35:D36"/>
    <mergeCell ref="E35:E36"/>
    <mergeCell ref="F35:F36"/>
    <mergeCell ref="B19:B20"/>
    <mergeCell ref="C19:C20"/>
    <mergeCell ref="D19:D20"/>
    <mergeCell ref="E19:E20"/>
    <mergeCell ref="F19:F20"/>
    <mergeCell ref="B1:W1"/>
    <mergeCell ref="B3:B4"/>
    <mergeCell ref="C3:C4"/>
    <mergeCell ref="D3:D4"/>
    <mergeCell ref="E3:E4"/>
    <mergeCell ref="F3:F4"/>
  </mergeCells>
  <phoneticPr fontId="1" type="noConversion"/>
  <printOptions horizontalCentered="1"/>
  <pageMargins left="0.196850393700787" right="0.15748031496063" top="0.43307086614173201" bottom="0.23622047244094499" header="0.511811023622047" footer="0.511811023622047"/>
  <pageSetup paperSize="9" scale="90" orientation="portrait" r:id="rId1"/>
  <headerFooter scaleWithDoc="0" alignWithMargins="0"/>
  <rowBreaks count="2" manualBreakCount="2">
    <brk id="49" max="23" man="1"/>
    <brk id="96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57BF-AA12-4E4D-B1BF-D3713C739329}">
  <sheetPr>
    <tabColor rgb="FFFF0000"/>
  </sheetPr>
  <dimension ref="A1:BA150"/>
  <sheetViews>
    <sheetView zoomScaleNormal="100" zoomScaleSheetLayoutView="100" workbookViewId="0">
      <selection activeCell="G20" sqref="G20:K20"/>
    </sheetView>
  </sheetViews>
  <sheetFormatPr defaultColWidth="9" defaultRowHeight="12.95" customHeight="1" x14ac:dyDescent="0.2"/>
  <cols>
    <col min="1" max="1" width="0.75" style="1" customWidth="1"/>
    <col min="2" max="2" width="6.375" style="1" customWidth="1"/>
    <col min="3" max="3" width="5" style="1" bestFit="1" customWidth="1"/>
    <col min="4" max="4" width="8.5" style="1" bestFit="1" customWidth="1"/>
    <col min="5" max="6" width="5" style="1" bestFit="1" customWidth="1"/>
    <col min="7" max="7" width="7.5" style="1" customWidth="1"/>
    <col min="8" max="9" width="7.25" style="1" customWidth="1"/>
    <col min="10" max="10" width="8" style="1" customWidth="1"/>
    <col min="11" max="11" width="7.625" style="1" customWidth="1"/>
    <col min="12" max="12" width="5" style="1" bestFit="1" customWidth="1"/>
    <col min="13" max="13" width="6.75" style="1" bestFit="1" customWidth="1"/>
    <col min="14" max="14" width="5" style="1" customWidth="1"/>
    <col min="15" max="15" width="6.75" style="1" bestFit="1" customWidth="1"/>
    <col min="16" max="16" width="6.75" style="91" bestFit="1" customWidth="1"/>
    <col min="17" max="17" width="4.875" style="1" customWidth="1"/>
    <col min="18" max="53" width="9" style="24"/>
    <col min="54" max="16384" width="9" style="1"/>
  </cols>
  <sheetData>
    <row r="1" spans="2:53" ht="17.25" customHeight="1" x14ac:dyDescent="0.2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2:53" s="5" customFormat="1" ht="15" customHeight="1" thickBot="1" x14ac:dyDescent="0.25">
      <c r="B2" s="2" t="s">
        <v>0</v>
      </c>
      <c r="C2" s="2"/>
      <c r="N2" s="25"/>
      <c r="O2" s="26"/>
      <c r="P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</row>
    <row r="3" spans="2:53" s="6" customFormat="1" ht="13.5" customHeight="1" thickBot="1" x14ac:dyDescent="0.25">
      <c r="B3" s="326" t="s">
        <v>1</v>
      </c>
      <c r="C3" s="328" t="s">
        <v>77</v>
      </c>
      <c r="D3" s="330" t="s">
        <v>106</v>
      </c>
      <c r="E3" s="326" t="s">
        <v>3</v>
      </c>
      <c r="F3" s="332" t="s">
        <v>101</v>
      </c>
      <c r="G3" s="343" t="s">
        <v>5</v>
      </c>
      <c r="H3" s="344"/>
      <c r="I3" s="344"/>
      <c r="J3" s="344"/>
      <c r="K3" s="344"/>
      <c r="L3" s="247" t="s">
        <v>6</v>
      </c>
      <c r="M3" s="248"/>
      <c r="N3" s="248"/>
      <c r="O3" s="248"/>
      <c r="P3" s="248"/>
      <c r="Q3" s="249"/>
      <c r="R3" s="29"/>
      <c r="S3" s="29"/>
      <c r="T3" s="29"/>
      <c r="U3" s="29"/>
      <c r="V3" s="29"/>
      <c r="W3" s="29"/>
      <c r="X3" s="24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</row>
    <row r="4" spans="2:53" s="6" customFormat="1" ht="40.5" customHeight="1" thickBot="1" x14ac:dyDescent="0.25">
      <c r="B4" s="327"/>
      <c r="C4" s="345"/>
      <c r="D4" s="331"/>
      <c r="E4" s="327"/>
      <c r="F4" s="346"/>
      <c r="G4" s="206" t="s">
        <v>118</v>
      </c>
      <c r="H4" s="207" t="s">
        <v>120</v>
      </c>
      <c r="I4" s="207" t="s">
        <v>122</v>
      </c>
      <c r="J4" s="207" t="s">
        <v>114</v>
      </c>
      <c r="K4" s="223" t="s">
        <v>116</v>
      </c>
      <c r="L4" s="206" t="s">
        <v>18</v>
      </c>
      <c r="M4" s="207" t="s">
        <v>19</v>
      </c>
      <c r="N4" s="207" t="s">
        <v>20</v>
      </c>
      <c r="O4" s="207" t="s">
        <v>21</v>
      </c>
      <c r="P4" s="214" t="s">
        <v>22</v>
      </c>
      <c r="Q4" s="224" t="s">
        <v>107</v>
      </c>
      <c r="R4" s="29"/>
      <c r="S4" s="29"/>
      <c r="T4" s="29"/>
      <c r="U4" s="29"/>
      <c r="V4" s="29"/>
      <c r="W4" s="29"/>
      <c r="X4" s="28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r="5" spans="2:53" ht="14.25" customHeight="1" x14ac:dyDescent="0.2">
      <c r="B5" s="12" t="s">
        <v>78</v>
      </c>
      <c r="C5" s="100"/>
      <c r="D5" s="31"/>
      <c r="E5" s="12"/>
      <c r="F5" s="100"/>
      <c r="G5" s="226"/>
      <c r="H5" s="35"/>
      <c r="I5" s="35"/>
      <c r="J5" s="35"/>
      <c r="K5" s="76"/>
      <c r="L5" s="77"/>
      <c r="M5" s="38"/>
      <c r="N5" s="39"/>
      <c r="O5" s="78"/>
      <c r="P5" s="215"/>
      <c r="Q5" s="218"/>
    </row>
    <row r="6" spans="2:53" ht="14.25" customHeight="1" x14ac:dyDescent="0.2">
      <c r="B6" s="13" t="s">
        <v>79</v>
      </c>
      <c r="C6" s="101"/>
      <c r="D6" s="42"/>
      <c r="E6" s="13"/>
      <c r="F6" s="101"/>
      <c r="G6" s="209"/>
      <c r="H6" s="46"/>
      <c r="I6" s="46"/>
      <c r="J6" s="46"/>
      <c r="K6" s="80"/>
      <c r="L6" s="81"/>
      <c r="M6" s="49"/>
      <c r="N6" s="50"/>
      <c r="O6" s="82"/>
      <c r="P6" s="216"/>
      <c r="Q6" s="219"/>
      <c r="X6" s="28"/>
    </row>
    <row r="7" spans="2:53" ht="14.25" customHeight="1" x14ac:dyDescent="0.2">
      <c r="B7" s="13" t="s">
        <v>80</v>
      </c>
      <c r="C7" s="101"/>
      <c r="D7" s="42"/>
      <c r="E7" s="13"/>
      <c r="F7" s="101"/>
      <c r="G7" s="209"/>
      <c r="H7" s="46"/>
      <c r="I7" s="46"/>
      <c r="J7" s="46"/>
      <c r="K7" s="80"/>
      <c r="L7" s="81"/>
      <c r="M7" s="49"/>
      <c r="N7" s="50"/>
      <c r="O7" s="82"/>
      <c r="P7" s="216"/>
      <c r="Q7" s="219"/>
    </row>
    <row r="8" spans="2:53" ht="14.25" customHeight="1" x14ac:dyDescent="0.2">
      <c r="B8" s="13" t="s">
        <v>81</v>
      </c>
      <c r="C8" s="101"/>
      <c r="D8" s="42"/>
      <c r="E8" s="13"/>
      <c r="F8" s="101"/>
      <c r="G8" s="209"/>
      <c r="H8" s="46"/>
      <c r="I8" s="46"/>
      <c r="J8" s="46"/>
      <c r="K8" s="80"/>
      <c r="L8" s="81"/>
      <c r="M8" s="49"/>
      <c r="N8" s="50"/>
      <c r="O8" s="82"/>
      <c r="P8" s="216"/>
      <c r="Q8" s="219"/>
      <c r="X8" s="28"/>
    </row>
    <row r="9" spans="2:53" ht="14.25" customHeight="1" x14ac:dyDescent="0.2">
      <c r="B9" s="13" t="s">
        <v>82</v>
      </c>
      <c r="C9" s="101"/>
      <c r="D9" s="42"/>
      <c r="E9" s="13"/>
      <c r="F9" s="101"/>
      <c r="G9" s="209"/>
      <c r="H9" s="46"/>
      <c r="I9" s="46"/>
      <c r="J9" s="46"/>
      <c r="K9" s="80"/>
      <c r="L9" s="81"/>
      <c r="M9" s="49"/>
      <c r="N9" s="50"/>
      <c r="O9" s="82"/>
      <c r="P9" s="216"/>
      <c r="Q9" s="219"/>
    </row>
    <row r="10" spans="2:53" ht="14.25" customHeight="1" x14ac:dyDescent="0.2">
      <c r="B10" s="13" t="s">
        <v>83</v>
      </c>
      <c r="C10" s="101"/>
      <c r="D10" s="42"/>
      <c r="E10" s="13"/>
      <c r="F10" s="101"/>
      <c r="G10" s="209"/>
      <c r="H10" s="46"/>
      <c r="I10" s="46"/>
      <c r="J10" s="46"/>
      <c r="K10" s="80"/>
      <c r="L10" s="81"/>
      <c r="M10" s="49"/>
      <c r="N10" s="50"/>
      <c r="O10" s="82"/>
      <c r="P10" s="216"/>
      <c r="Q10" s="219"/>
      <c r="X10" s="28"/>
    </row>
    <row r="11" spans="2:53" ht="14.25" customHeight="1" x14ac:dyDescent="0.2">
      <c r="B11" s="13" t="s">
        <v>84</v>
      </c>
      <c r="C11" s="101"/>
      <c r="D11" s="42"/>
      <c r="E11" s="13"/>
      <c r="F11" s="101"/>
      <c r="G11" s="209"/>
      <c r="H11" s="46"/>
      <c r="I11" s="46"/>
      <c r="J11" s="46"/>
      <c r="K11" s="80"/>
      <c r="L11" s="81"/>
      <c r="M11" s="49"/>
      <c r="N11" s="50"/>
      <c r="O11" s="82"/>
      <c r="P11" s="216"/>
      <c r="Q11" s="219"/>
    </row>
    <row r="12" spans="2:53" ht="14.25" customHeight="1" thickBot="1" x14ac:dyDescent="0.25">
      <c r="B12" s="14" t="s">
        <v>85</v>
      </c>
      <c r="C12" s="102"/>
      <c r="D12" s="53"/>
      <c r="E12" s="14"/>
      <c r="F12" s="102"/>
      <c r="G12" s="227"/>
      <c r="H12" s="57"/>
      <c r="I12" s="57"/>
      <c r="J12" s="57"/>
      <c r="K12" s="84"/>
      <c r="L12" s="85"/>
      <c r="M12" s="58"/>
      <c r="N12" s="59"/>
      <c r="O12" s="86"/>
      <c r="P12" s="220"/>
      <c r="Q12" s="221"/>
      <c r="X12" s="28"/>
    </row>
    <row r="13" spans="2:53" ht="14.25" customHeight="1" thickBot="1" x14ac:dyDescent="0.25">
      <c r="B13" s="60"/>
      <c r="C13" s="148"/>
      <c r="D13" s="173"/>
      <c r="E13" s="60"/>
      <c r="F13" s="64"/>
      <c r="G13" s="92"/>
      <c r="H13" s="66"/>
      <c r="I13" s="66"/>
      <c r="J13" s="66"/>
      <c r="K13" s="67"/>
      <c r="L13" s="68">
        <f>SUM(L5:L12)</f>
        <v>0</v>
      </c>
      <c r="M13" s="69" t="e">
        <f>AVERAGE(M5:M12)</f>
        <v>#DIV/0!</v>
      </c>
      <c r="N13" s="70">
        <f>SUM(N5:N12)</f>
        <v>0</v>
      </c>
      <c r="O13" s="69" t="e">
        <f>AVERAGE(O5:O12)</f>
        <v>#DIV/0!</v>
      </c>
      <c r="P13" s="217" t="e">
        <f>AVERAGE(P5:P12)</f>
        <v>#DIV/0!</v>
      </c>
      <c r="Q13" s="225"/>
    </row>
    <row r="14" spans="2:53" ht="14.25" customHeight="1" x14ac:dyDescent="0.2">
      <c r="B14" s="15"/>
      <c r="C14" s="15"/>
      <c r="D14" s="174"/>
      <c r="E14" s="15"/>
      <c r="F14" s="15"/>
      <c r="G14" s="15"/>
      <c r="H14" s="175"/>
      <c r="I14" s="175"/>
      <c r="J14" s="175"/>
      <c r="K14" s="175"/>
      <c r="L14" s="176"/>
      <c r="M14" s="177"/>
      <c r="N14" s="176"/>
      <c r="O14" s="177"/>
      <c r="P14" s="178"/>
      <c r="X14" s="28"/>
    </row>
    <row r="15" spans="2:53" ht="14.25" customHeight="1" x14ac:dyDescent="0.2">
      <c r="B15" s="15"/>
      <c r="C15" s="15"/>
      <c r="D15" s="174"/>
      <c r="E15" s="15"/>
      <c r="F15" s="15"/>
      <c r="G15" s="15"/>
      <c r="H15" s="175"/>
      <c r="I15" s="175"/>
      <c r="J15" s="175"/>
      <c r="K15" s="175"/>
      <c r="L15" s="176"/>
      <c r="M15" s="177"/>
      <c r="N15" s="176"/>
      <c r="O15" s="177"/>
      <c r="P15" s="178"/>
    </row>
    <row r="16" spans="2:53" ht="14.25" customHeight="1" x14ac:dyDescent="0.2">
      <c r="B16" s="178"/>
      <c r="C16" s="177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X16" s="28"/>
    </row>
    <row r="17" spans="2:53" ht="50.25" customHeight="1" x14ac:dyDescent="0.2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72"/>
      <c r="N17" s="15"/>
      <c r="O17" s="72"/>
      <c r="P17" s="73"/>
    </row>
    <row r="18" spans="2:53" ht="18" customHeight="1" thickBot="1" x14ac:dyDescent="0.25">
      <c r="B18" s="17" t="s">
        <v>23</v>
      </c>
      <c r="C18" s="17"/>
      <c r="M18" s="74"/>
      <c r="N18" s="74"/>
      <c r="O18" s="74"/>
      <c r="P18" s="75"/>
      <c r="X18" s="28"/>
    </row>
    <row r="19" spans="2:53" s="6" customFormat="1" ht="15.75" customHeight="1" thickBot="1" x14ac:dyDescent="0.25">
      <c r="B19" s="326" t="s">
        <v>1</v>
      </c>
      <c r="C19" s="328" t="s">
        <v>77</v>
      </c>
      <c r="D19" s="330" t="s">
        <v>105</v>
      </c>
      <c r="E19" s="326" t="s">
        <v>3</v>
      </c>
      <c r="F19" s="332" t="s">
        <v>101</v>
      </c>
      <c r="G19" s="330" t="s">
        <v>5</v>
      </c>
      <c r="H19" s="347"/>
      <c r="I19" s="347"/>
      <c r="J19" s="347"/>
      <c r="K19" s="347"/>
      <c r="L19" s="247" t="s">
        <v>6</v>
      </c>
      <c r="M19" s="248"/>
      <c r="N19" s="248"/>
      <c r="O19" s="248"/>
      <c r="P19" s="248"/>
      <c r="Q19" s="249"/>
      <c r="R19" s="29"/>
      <c r="S19" s="29"/>
      <c r="T19" s="29"/>
      <c r="U19" s="29"/>
      <c r="V19" s="29"/>
      <c r="W19" s="29"/>
      <c r="X19" s="24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</row>
    <row r="20" spans="2:53" s="6" customFormat="1" ht="36" customHeight="1" thickBot="1" x14ac:dyDescent="0.25">
      <c r="B20" s="327"/>
      <c r="C20" s="329"/>
      <c r="D20" s="331"/>
      <c r="E20" s="327"/>
      <c r="F20" s="333"/>
      <c r="G20" s="301" t="s">
        <v>117</v>
      </c>
      <c r="H20" s="153" t="s">
        <v>119</v>
      </c>
      <c r="I20" s="153" t="s">
        <v>121</v>
      </c>
      <c r="J20" s="153" t="s">
        <v>113</v>
      </c>
      <c r="K20" s="154" t="s">
        <v>115</v>
      </c>
      <c r="L20" s="206" t="s">
        <v>18</v>
      </c>
      <c r="M20" s="207" t="s">
        <v>19</v>
      </c>
      <c r="N20" s="207" t="s">
        <v>20</v>
      </c>
      <c r="O20" s="207" t="s">
        <v>21</v>
      </c>
      <c r="P20" s="208" t="s">
        <v>22</v>
      </c>
      <c r="Q20" s="224" t="s">
        <v>107</v>
      </c>
      <c r="R20" s="29"/>
      <c r="S20" s="29"/>
      <c r="T20" s="29"/>
      <c r="U20" s="29"/>
      <c r="V20" s="29"/>
      <c r="W20" s="29"/>
      <c r="X20" s="28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</row>
    <row r="21" spans="2:53" ht="15.75" customHeight="1" x14ac:dyDescent="0.2">
      <c r="B21" s="12" t="s">
        <v>108</v>
      </c>
      <c r="C21" s="100"/>
      <c r="D21" s="31"/>
      <c r="E21" s="12"/>
      <c r="F21" s="32"/>
      <c r="G21" s="298"/>
      <c r="H21" s="299"/>
      <c r="I21" s="299"/>
      <c r="J21" s="299"/>
      <c r="K21" s="300"/>
      <c r="L21" s="77"/>
      <c r="M21" s="38"/>
      <c r="N21" s="39"/>
      <c r="O21" s="78"/>
      <c r="P21" s="180"/>
      <c r="Q21" s="218"/>
    </row>
    <row r="22" spans="2:53" ht="15.75" customHeight="1" x14ac:dyDescent="0.2">
      <c r="B22" s="13" t="s">
        <v>109</v>
      </c>
      <c r="C22" s="101"/>
      <c r="D22" s="42"/>
      <c r="E22" s="13"/>
      <c r="F22" s="43"/>
      <c r="G22" s="209"/>
      <c r="H22" s="46"/>
      <c r="I22" s="46"/>
      <c r="J22" s="46"/>
      <c r="K22" s="80"/>
      <c r="L22" s="81"/>
      <c r="M22" s="49"/>
      <c r="N22" s="50"/>
      <c r="O22" s="82"/>
      <c r="P22" s="181"/>
      <c r="Q22" s="219"/>
      <c r="X22" s="28"/>
    </row>
    <row r="23" spans="2:53" ht="15.75" customHeight="1" x14ac:dyDescent="0.2">
      <c r="B23" s="13" t="s">
        <v>80</v>
      </c>
      <c r="C23" s="101"/>
      <c r="D23" s="42"/>
      <c r="E23" s="13"/>
      <c r="F23" s="43"/>
      <c r="G23" s="209"/>
      <c r="H23" s="46"/>
      <c r="I23" s="46"/>
      <c r="J23" s="46"/>
      <c r="K23" s="80"/>
      <c r="L23" s="81"/>
      <c r="M23" s="49"/>
      <c r="N23" s="50"/>
      <c r="O23" s="82"/>
      <c r="P23" s="181"/>
      <c r="Q23" s="219"/>
    </row>
    <row r="24" spans="2:53" ht="15.75" customHeight="1" x14ac:dyDescent="0.2">
      <c r="B24" s="13" t="s">
        <v>81</v>
      </c>
      <c r="C24" s="101"/>
      <c r="D24" s="42"/>
      <c r="E24" s="13"/>
      <c r="F24" s="43"/>
      <c r="G24" s="209"/>
      <c r="H24" s="46"/>
      <c r="I24" s="46"/>
      <c r="J24" s="46"/>
      <c r="K24" s="80"/>
      <c r="L24" s="81"/>
      <c r="M24" s="49"/>
      <c r="N24" s="50"/>
      <c r="O24" s="82"/>
      <c r="P24" s="181"/>
      <c r="Q24" s="219"/>
      <c r="X24" s="28"/>
    </row>
    <row r="25" spans="2:53" ht="15.75" customHeight="1" x14ac:dyDescent="0.2">
      <c r="B25" s="13" t="s">
        <v>82</v>
      </c>
      <c r="C25" s="101"/>
      <c r="D25" s="42"/>
      <c r="E25" s="13"/>
      <c r="F25" s="43"/>
      <c r="G25" s="209"/>
      <c r="H25" s="46"/>
      <c r="I25" s="46"/>
      <c r="J25" s="46"/>
      <c r="K25" s="80"/>
      <c r="L25" s="81"/>
      <c r="M25" s="49"/>
      <c r="N25" s="50"/>
      <c r="O25" s="82"/>
      <c r="P25" s="181"/>
      <c r="Q25" s="219"/>
    </row>
    <row r="26" spans="2:53" ht="15.75" customHeight="1" x14ac:dyDescent="0.2">
      <c r="B26" s="13" t="s">
        <v>83</v>
      </c>
      <c r="C26" s="101"/>
      <c r="D26" s="42"/>
      <c r="E26" s="13"/>
      <c r="F26" s="43"/>
      <c r="G26" s="209"/>
      <c r="H26" s="46"/>
      <c r="I26" s="46"/>
      <c r="J26" s="46"/>
      <c r="K26" s="80"/>
      <c r="L26" s="81"/>
      <c r="M26" s="49"/>
      <c r="N26" s="50"/>
      <c r="O26" s="82"/>
      <c r="P26" s="181"/>
      <c r="Q26" s="219"/>
      <c r="X26" s="28"/>
    </row>
    <row r="27" spans="2:53" ht="15.75" customHeight="1" x14ac:dyDescent="0.2">
      <c r="B27" s="13" t="s">
        <v>84</v>
      </c>
      <c r="C27" s="101"/>
      <c r="D27" s="42"/>
      <c r="E27" s="13"/>
      <c r="F27" s="43"/>
      <c r="G27" s="209"/>
      <c r="H27" s="46"/>
      <c r="I27" s="46"/>
      <c r="J27" s="46"/>
      <c r="K27" s="80"/>
      <c r="L27" s="81"/>
      <c r="M27" s="49"/>
      <c r="N27" s="50"/>
      <c r="O27" s="82"/>
      <c r="P27" s="181"/>
      <c r="Q27" s="219"/>
    </row>
    <row r="28" spans="2:53" ht="15.75" customHeight="1" thickBot="1" x14ac:dyDescent="0.25">
      <c r="B28" s="228" t="s">
        <v>85</v>
      </c>
      <c r="C28" s="229"/>
      <c r="D28" s="230"/>
      <c r="E28" s="228"/>
      <c r="F28" s="231"/>
      <c r="G28" s="232"/>
      <c r="H28" s="233"/>
      <c r="I28" s="233"/>
      <c r="J28" s="233"/>
      <c r="K28" s="234"/>
      <c r="L28" s="235"/>
      <c r="M28" s="236"/>
      <c r="N28" s="237"/>
      <c r="O28" s="238"/>
      <c r="P28" s="239"/>
      <c r="Q28" s="240"/>
      <c r="X28" s="28"/>
    </row>
    <row r="29" spans="2:53" ht="15.75" customHeight="1" thickBot="1" x14ac:dyDescent="0.25">
      <c r="B29" s="171"/>
      <c r="C29" s="241"/>
      <c r="D29" s="242"/>
      <c r="E29" s="171"/>
      <c r="F29" s="243"/>
      <c r="G29" s="244"/>
      <c r="H29" s="245"/>
      <c r="I29" s="245"/>
      <c r="J29" s="245"/>
      <c r="K29" s="246"/>
      <c r="L29" s="190">
        <f>SUM(L21:L28)</f>
        <v>0</v>
      </c>
      <c r="M29" s="191" t="e">
        <f>AVERAGE(M21:M28)</f>
        <v>#DIV/0!</v>
      </c>
      <c r="N29" s="192">
        <f>SUM(N21:N28)</f>
        <v>0</v>
      </c>
      <c r="O29" s="191" t="e">
        <f>AVERAGE(O21:O28)</f>
        <v>#DIV/0!</v>
      </c>
      <c r="P29" s="193" t="e">
        <f>AVERAGE(P21:P28)</f>
        <v>#DIV/0!</v>
      </c>
      <c r="Q29" s="222"/>
    </row>
    <row r="30" spans="2:53" ht="15.75" customHeight="1" x14ac:dyDescent="0.2">
      <c r="B30" s="15"/>
      <c r="C30" s="15"/>
      <c r="D30" s="174"/>
      <c r="E30" s="15"/>
      <c r="F30" s="15"/>
      <c r="G30" s="15"/>
      <c r="H30" s="175"/>
      <c r="I30" s="175"/>
      <c r="J30" s="175"/>
      <c r="K30" s="175"/>
      <c r="L30" s="176"/>
      <c r="M30" s="177"/>
      <c r="N30" s="176"/>
      <c r="O30" s="177"/>
      <c r="P30" s="178"/>
      <c r="X30" s="28"/>
    </row>
    <row r="31" spans="2:53" ht="15.75" customHeight="1" x14ac:dyDescent="0.2">
      <c r="B31" s="15"/>
      <c r="C31" s="15"/>
      <c r="D31" s="174"/>
      <c r="E31" s="15"/>
      <c r="F31" s="15"/>
      <c r="G31" s="15"/>
      <c r="H31" s="175"/>
      <c r="I31" s="175"/>
      <c r="J31" s="175"/>
      <c r="K31" s="175"/>
      <c r="L31" s="176"/>
      <c r="M31" s="177"/>
      <c r="N31" s="176"/>
      <c r="O31" s="177"/>
      <c r="P31" s="178"/>
    </row>
    <row r="32" spans="2:53" ht="15.75" customHeight="1" x14ac:dyDescent="0.2">
      <c r="B32" s="15"/>
      <c r="C32" s="15"/>
      <c r="D32" s="174"/>
      <c r="E32" s="15"/>
      <c r="F32" s="15"/>
      <c r="G32" s="15"/>
      <c r="H32" s="175"/>
      <c r="I32" s="175"/>
      <c r="J32" s="175"/>
      <c r="K32" s="175"/>
      <c r="L32" s="176"/>
      <c r="M32" s="177"/>
      <c r="N32" s="176"/>
      <c r="O32" s="177"/>
      <c r="P32" s="176"/>
      <c r="X32" s="28"/>
    </row>
    <row r="33" spans="2:53" ht="58.5" customHeight="1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72"/>
      <c r="N33" s="15"/>
      <c r="O33" s="72"/>
      <c r="P33" s="73"/>
    </row>
    <row r="34" spans="2:53" ht="15" customHeight="1" thickBot="1" x14ac:dyDescent="0.25">
      <c r="B34" s="17" t="s">
        <v>25</v>
      </c>
      <c r="C34" s="17"/>
      <c r="M34" s="90"/>
      <c r="N34" s="90"/>
      <c r="O34" s="90"/>
      <c r="X34" s="28"/>
    </row>
    <row r="35" spans="2:53" s="6" customFormat="1" ht="12" customHeight="1" thickBot="1" x14ac:dyDescent="0.25">
      <c r="B35" s="326" t="s">
        <v>1</v>
      </c>
      <c r="C35" s="328" t="s">
        <v>77</v>
      </c>
      <c r="D35" s="330" t="s">
        <v>105</v>
      </c>
      <c r="E35" s="326" t="s">
        <v>3</v>
      </c>
      <c r="F35" s="332" t="s">
        <v>101</v>
      </c>
      <c r="G35" s="330" t="s">
        <v>5</v>
      </c>
      <c r="H35" s="347"/>
      <c r="I35" s="347"/>
      <c r="J35" s="347"/>
      <c r="K35" s="347"/>
      <c r="L35" s="247" t="s">
        <v>6</v>
      </c>
      <c r="M35" s="248"/>
      <c r="N35" s="248"/>
      <c r="O35" s="248"/>
      <c r="P35" s="248"/>
      <c r="Q35" s="249"/>
      <c r="R35" s="29"/>
      <c r="S35" s="29"/>
      <c r="T35" s="29"/>
      <c r="U35" s="29"/>
      <c r="V35" s="29"/>
      <c r="W35" s="29"/>
      <c r="X35" s="24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</row>
    <row r="36" spans="2:53" s="6" customFormat="1" ht="33" customHeight="1" thickBot="1" x14ac:dyDescent="0.25">
      <c r="B36" s="327"/>
      <c r="C36" s="329"/>
      <c r="D36" s="331"/>
      <c r="E36" s="327"/>
      <c r="F36" s="333"/>
      <c r="G36" s="301" t="s">
        <v>117</v>
      </c>
      <c r="H36" s="153" t="s">
        <v>119</v>
      </c>
      <c r="I36" s="153" t="s">
        <v>121</v>
      </c>
      <c r="J36" s="153" t="s">
        <v>113</v>
      </c>
      <c r="K36" s="154" t="s">
        <v>115</v>
      </c>
      <c r="L36" s="206" t="s">
        <v>18</v>
      </c>
      <c r="M36" s="207" t="s">
        <v>19</v>
      </c>
      <c r="N36" s="207" t="s">
        <v>20</v>
      </c>
      <c r="O36" s="207" t="s">
        <v>21</v>
      </c>
      <c r="P36" s="208" t="s">
        <v>22</v>
      </c>
      <c r="Q36" s="224" t="s">
        <v>107</v>
      </c>
      <c r="R36" s="29"/>
      <c r="S36" s="29"/>
      <c r="T36" s="29"/>
      <c r="U36" s="29"/>
      <c r="V36" s="29"/>
      <c r="W36" s="29"/>
      <c r="X36" s="28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</row>
    <row r="37" spans="2:53" ht="15" customHeight="1" x14ac:dyDescent="0.2">
      <c r="B37" s="12" t="s">
        <v>108</v>
      </c>
      <c r="C37" s="100"/>
      <c r="D37" s="31"/>
      <c r="E37" s="12"/>
      <c r="F37" s="32"/>
      <c r="G37" s="298"/>
      <c r="H37" s="299"/>
      <c r="I37" s="299"/>
      <c r="J37" s="299"/>
      <c r="K37" s="300"/>
      <c r="L37" s="77"/>
      <c r="M37" s="38"/>
      <c r="N37" s="39"/>
      <c r="O37" s="78"/>
      <c r="P37" s="180"/>
      <c r="Q37" s="218"/>
    </row>
    <row r="38" spans="2:53" ht="15" customHeight="1" x14ac:dyDescent="0.2">
      <c r="B38" s="13" t="s">
        <v>109</v>
      </c>
      <c r="C38" s="101"/>
      <c r="D38" s="42"/>
      <c r="E38" s="13"/>
      <c r="F38" s="43"/>
      <c r="G38" s="209"/>
      <c r="H38" s="46"/>
      <c r="I38" s="46"/>
      <c r="J38" s="46"/>
      <c r="K38" s="80"/>
      <c r="L38" s="81"/>
      <c r="M38" s="49"/>
      <c r="N38" s="50"/>
      <c r="O38" s="82"/>
      <c r="P38" s="181"/>
      <c r="Q38" s="219"/>
      <c r="X38" s="28"/>
    </row>
    <row r="39" spans="2:53" ht="15" customHeight="1" x14ac:dyDescent="0.2">
      <c r="B39" s="13" t="s">
        <v>80</v>
      </c>
      <c r="C39" s="101"/>
      <c r="D39" s="42"/>
      <c r="E39" s="13"/>
      <c r="F39" s="43"/>
      <c r="G39" s="209"/>
      <c r="H39" s="46"/>
      <c r="I39" s="46"/>
      <c r="J39" s="46"/>
      <c r="K39" s="80"/>
      <c r="L39" s="81"/>
      <c r="M39" s="49"/>
      <c r="N39" s="50"/>
      <c r="O39" s="82"/>
      <c r="P39" s="181"/>
      <c r="Q39" s="219"/>
    </row>
    <row r="40" spans="2:53" ht="15" customHeight="1" x14ac:dyDescent="0.2">
      <c r="B40" s="13" t="s">
        <v>81</v>
      </c>
      <c r="C40" s="101"/>
      <c r="D40" s="42"/>
      <c r="E40" s="13"/>
      <c r="F40" s="43"/>
      <c r="G40" s="209"/>
      <c r="H40" s="46"/>
      <c r="I40" s="46"/>
      <c r="J40" s="46"/>
      <c r="K40" s="80"/>
      <c r="L40" s="81"/>
      <c r="M40" s="49"/>
      <c r="N40" s="50"/>
      <c r="O40" s="82"/>
      <c r="P40" s="181"/>
      <c r="Q40" s="219"/>
      <c r="X40" s="28"/>
    </row>
    <row r="41" spans="2:53" ht="15" customHeight="1" x14ac:dyDescent="0.2">
      <c r="B41" s="13" t="s">
        <v>82</v>
      </c>
      <c r="C41" s="101"/>
      <c r="D41" s="42"/>
      <c r="E41" s="13"/>
      <c r="F41" s="43"/>
      <c r="G41" s="209"/>
      <c r="H41" s="46"/>
      <c r="I41" s="46"/>
      <c r="J41" s="46"/>
      <c r="K41" s="80"/>
      <c r="L41" s="81"/>
      <c r="M41" s="49"/>
      <c r="N41" s="50"/>
      <c r="O41" s="82"/>
      <c r="P41" s="181"/>
      <c r="Q41" s="219"/>
    </row>
    <row r="42" spans="2:53" ht="15" customHeight="1" x14ac:dyDescent="0.2">
      <c r="B42" s="13" t="s">
        <v>83</v>
      </c>
      <c r="C42" s="101"/>
      <c r="D42" s="42"/>
      <c r="E42" s="13"/>
      <c r="F42" s="43"/>
      <c r="G42" s="209"/>
      <c r="H42" s="46"/>
      <c r="I42" s="46"/>
      <c r="J42" s="46"/>
      <c r="K42" s="80"/>
      <c r="L42" s="81"/>
      <c r="M42" s="49"/>
      <c r="N42" s="50"/>
      <c r="O42" s="82"/>
      <c r="P42" s="181"/>
      <c r="Q42" s="219"/>
      <c r="X42" s="28"/>
    </row>
    <row r="43" spans="2:53" ht="15" customHeight="1" x14ac:dyDescent="0.2">
      <c r="B43" s="13" t="s">
        <v>84</v>
      </c>
      <c r="C43" s="101"/>
      <c r="D43" s="42"/>
      <c r="E43" s="13"/>
      <c r="F43" s="43"/>
      <c r="G43" s="209"/>
      <c r="H43" s="46"/>
      <c r="I43" s="46"/>
      <c r="J43" s="46"/>
      <c r="K43" s="80"/>
      <c r="L43" s="81"/>
      <c r="M43" s="49"/>
      <c r="N43" s="50"/>
      <c r="O43" s="82"/>
      <c r="P43" s="181"/>
      <c r="Q43" s="219"/>
    </row>
    <row r="44" spans="2:53" ht="15" customHeight="1" thickBot="1" x14ac:dyDescent="0.25">
      <c r="B44" s="228" t="s">
        <v>85</v>
      </c>
      <c r="C44" s="229"/>
      <c r="D44" s="230"/>
      <c r="E44" s="228"/>
      <c r="F44" s="231"/>
      <c r="G44" s="232"/>
      <c r="H44" s="233"/>
      <c r="I44" s="233"/>
      <c r="J44" s="233"/>
      <c r="K44" s="234"/>
      <c r="L44" s="235"/>
      <c r="M44" s="236"/>
      <c r="N44" s="237"/>
      <c r="O44" s="238"/>
      <c r="P44" s="239"/>
      <c r="Q44" s="240"/>
      <c r="X44" s="28"/>
    </row>
    <row r="45" spans="2:53" ht="15" customHeight="1" thickBot="1" x14ac:dyDescent="0.25">
      <c r="B45" s="171"/>
      <c r="C45" s="241"/>
      <c r="D45" s="242"/>
      <c r="E45" s="171"/>
      <c r="F45" s="243"/>
      <c r="G45" s="244"/>
      <c r="H45" s="245"/>
      <c r="I45" s="245"/>
      <c r="J45" s="245"/>
      <c r="K45" s="246"/>
      <c r="L45" s="190">
        <f>SUM(L37:L44)</f>
        <v>0</v>
      </c>
      <c r="M45" s="191" t="e">
        <f>AVERAGE(M37:M44)</f>
        <v>#DIV/0!</v>
      </c>
      <c r="N45" s="192">
        <f>SUM(N37:N44)</f>
        <v>0</v>
      </c>
      <c r="O45" s="191" t="e">
        <f>AVERAGE(O37:O44)</f>
        <v>#DIV/0!</v>
      </c>
      <c r="P45" s="193" t="e">
        <f>AVERAGE(P37:P44)</f>
        <v>#DIV/0!</v>
      </c>
      <c r="Q45" s="222"/>
    </row>
    <row r="46" spans="2:53" ht="15" customHeight="1" x14ac:dyDescent="0.2">
      <c r="B46" s="15"/>
      <c r="C46" s="15"/>
      <c r="D46" s="174"/>
      <c r="E46" s="15"/>
      <c r="F46" s="15"/>
      <c r="G46" s="15"/>
      <c r="H46" s="175"/>
      <c r="I46" s="175"/>
      <c r="J46" s="175"/>
      <c r="K46" s="175"/>
      <c r="L46" s="176"/>
      <c r="M46" s="177"/>
      <c r="N46" s="176"/>
      <c r="O46" s="177"/>
      <c r="P46" s="178"/>
      <c r="X46" s="28"/>
    </row>
    <row r="47" spans="2:53" ht="15" customHeight="1" x14ac:dyDescent="0.2">
      <c r="B47" s="15"/>
      <c r="C47" s="15"/>
      <c r="D47" s="174"/>
      <c r="E47" s="15"/>
      <c r="F47" s="15"/>
      <c r="G47" s="15"/>
      <c r="H47" s="175"/>
      <c r="I47" s="175"/>
      <c r="J47" s="175"/>
      <c r="K47" s="175"/>
      <c r="L47" s="176"/>
      <c r="M47" s="177"/>
      <c r="N47" s="176"/>
      <c r="O47" s="177"/>
      <c r="P47" s="178"/>
    </row>
    <row r="48" spans="2:53" ht="15" customHeight="1" x14ac:dyDescent="0.2">
      <c r="B48" s="15"/>
      <c r="C48" s="15"/>
      <c r="D48" s="15"/>
      <c r="E48" s="15"/>
      <c r="F48" s="15"/>
      <c r="G48" s="15"/>
      <c r="H48" s="175"/>
      <c r="I48" s="175"/>
      <c r="J48" s="175"/>
      <c r="K48" s="175"/>
      <c r="L48" s="176"/>
      <c r="M48" s="177"/>
      <c r="N48" s="176"/>
      <c r="O48" s="177"/>
      <c r="P48" s="179"/>
      <c r="X48" s="28"/>
    </row>
    <row r="49" spans="2:24" ht="11.25" customHeight="1" x14ac:dyDescent="0.2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72"/>
      <c r="N49" s="15"/>
      <c r="O49" s="72"/>
      <c r="P49" s="73"/>
    </row>
    <row r="50" spans="2:24" ht="15.75" customHeight="1" thickBot="1" x14ac:dyDescent="0.25">
      <c r="B50" s="17" t="s">
        <v>72</v>
      </c>
      <c r="C50" s="17"/>
      <c r="M50" s="90"/>
      <c r="N50" s="90"/>
      <c r="O50" s="90"/>
      <c r="X50" s="28"/>
    </row>
    <row r="51" spans="2:24" ht="15.75" customHeight="1" thickBot="1" x14ac:dyDescent="0.25">
      <c r="B51" s="326" t="s">
        <v>1</v>
      </c>
      <c r="C51" s="328" t="s">
        <v>77</v>
      </c>
      <c r="D51" s="330" t="s">
        <v>105</v>
      </c>
      <c r="E51" s="326" t="s">
        <v>3</v>
      </c>
      <c r="F51" s="332" t="s">
        <v>101</v>
      </c>
      <c r="G51" s="330" t="s">
        <v>5</v>
      </c>
      <c r="H51" s="347"/>
      <c r="I51" s="347"/>
      <c r="J51" s="347"/>
      <c r="K51" s="347"/>
      <c r="L51" s="247" t="s">
        <v>6</v>
      </c>
      <c r="M51" s="248"/>
      <c r="N51" s="248"/>
      <c r="O51" s="248"/>
      <c r="P51" s="248"/>
      <c r="Q51" s="249"/>
    </row>
    <row r="52" spans="2:24" ht="33" customHeight="1" thickBot="1" x14ac:dyDescent="0.25">
      <c r="B52" s="327"/>
      <c r="C52" s="329"/>
      <c r="D52" s="331"/>
      <c r="E52" s="327"/>
      <c r="F52" s="333"/>
      <c r="G52" s="301" t="s">
        <v>117</v>
      </c>
      <c r="H52" s="153" t="s">
        <v>119</v>
      </c>
      <c r="I52" s="153" t="s">
        <v>121</v>
      </c>
      <c r="J52" s="153" t="s">
        <v>113</v>
      </c>
      <c r="K52" s="154" t="s">
        <v>115</v>
      </c>
      <c r="L52" s="206" t="s">
        <v>18</v>
      </c>
      <c r="M52" s="207" t="s">
        <v>19</v>
      </c>
      <c r="N52" s="207" t="s">
        <v>20</v>
      </c>
      <c r="O52" s="207" t="s">
        <v>21</v>
      </c>
      <c r="P52" s="208" t="s">
        <v>22</v>
      </c>
      <c r="Q52" s="224" t="s">
        <v>107</v>
      </c>
      <c r="X52" s="28"/>
    </row>
    <row r="53" spans="2:24" ht="15.75" customHeight="1" x14ac:dyDescent="0.2">
      <c r="B53" s="12" t="s">
        <v>108</v>
      </c>
      <c r="C53" s="100"/>
      <c r="D53" s="31"/>
      <c r="E53" s="12"/>
      <c r="F53" s="32"/>
      <c r="G53" s="298"/>
      <c r="H53" s="299"/>
      <c r="I53" s="299"/>
      <c r="J53" s="299"/>
      <c r="K53" s="300"/>
      <c r="L53" s="77"/>
      <c r="M53" s="38"/>
      <c r="N53" s="39"/>
      <c r="O53" s="78"/>
      <c r="P53" s="180"/>
      <c r="Q53" s="218"/>
    </row>
    <row r="54" spans="2:24" ht="15.75" customHeight="1" x14ac:dyDescent="0.2">
      <c r="B54" s="13" t="s">
        <v>109</v>
      </c>
      <c r="C54" s="101"/>
      <c r="D54" s="42"/>
      <c r="E54" s="13"/>
      <c r="F54" s="43"/>
      <c r="G54" s="209"/>
      <c r="H54" s="46"/>
      <c r="I54" s="46"/>
      <c r="J54" s="46"/>
      <c r="K54" s="80"/>
      <c r="L54" s="81"/>
      <c r="M54" s="49"/>
      <c r="N54" s="50"/>
      <c r="O54" s="82"/>
      <c r="P54" s="181"/>
      <c r="Q54" s="219"/>
      <c r="X54" s="28"/>
    </row>
    <row r="55" spans="2:24" ht="15.75" customHeight="1" x14ac:dyDescent="0.2">
      <c r="B55" s="13" t="s">
        <v>80</v>
      </c>
      <c r="C55" s="101"/>
      <c r="D55" s="42"/>
      <c r="E55" s="13"/>
      <c r="F55" s="43"/>
      <c r="G55" s="209"/>
      <c r="H55" s="46"/>
      <c r="I55" s="46"/>
      <c r="J55" s="46"/>
      <c r="K55" s="80"/>
      <c r="L55" s="81"/>
      <c r="M55" s="49"/>
      <c r="N55" s="50"/>
      <c r="O55" s="82"/>
      <c r="P55" s="181"/>
      <c r="Q55" s="219"/>
    </row>
    <row r="56" spans="2:24" ht="15.75" customHeight="1" x14ac:dyDescent="0.2">
      <c r="B56" s="13" t="s">
        <v>81</v>
      </c>
      <c r="C56" s="101"/>
      <c r="D56" s="42"/>
      <c r="E56" s="13"/>
      <c r="F56" s="43"/>
      <c r="G56" s="209"/>
      <c r="H56" s="46"/>
      <c r="I56" s="46"/>
      <c r="J56" s="46"/>
      <c r="K56" s="80"/>
      <c r="L56" s="81"/>
      <c r="M56" s="49"/>
      <c r="N56" s="50"/>
      <c r="O56" s="82"/>
      <c r="P56" s="181"/>
      <c r="Q56" s="219"/>
      <c r="X56" s="28"/>
    </row>
    <row r="57" spans="2:24" ht="15.75" customHeight="1" x14ac:dyDescent="0.2">
      <c r="B57" s="13" t="s">
        <v>82</v>
      </c>
      <c r="C57" s="101"/>
      <c r="D57" s="42"/>
      <c r="E57" s="13"/>
      <c r="F57" s="43"/>
      <c r="G57" s="209"/>
      <c r="H57" s="46"/>
      <c r="I57" s="46"/>
      <c r="J57" s="46"/>
      <c r="K57" s="80"/>
      <c r="L57" s="81"/>
      <c r="M57" s="49"/>
      <c r="N57" s="50"/>
      <c r="O57" s="82"/>
      <c r="P57" s="181"/>
      <c r="Q57" s="219"/>
    </row>
    <row r="58" spans="2:24" ht="15.75" customHeight="1" x14ac:dyDescent="0.2">
      <c r="B58" s="13" t="s">
        <v>83</v>
      </c>
      <c r="C58" s="101"/>
      <c r="D58" s="42"/>
      <c r="E58" s="13"/>
      <c r="F58" s="43"/>
      <c r="G58" s="209"/>
      <c r="H58" s="46"/>
      <c r="I58" s="46"/>
      <c r="J58" s="46"/>
      <c r="K58" s="80"/>
      <c r="L58" s="81"/>
      <c r="M58" s="49"/>
      <c r="N58" s="50"/>
      <c r="O58" s="82"/>
      <c r="P58" s="181"/>
      <c r="Q58" s="219"/>
      <c r="X58" s="28"/>
    </row>
    <row r="59" spans="2:24" ht="15.75" customHeight="1" x14ac:dyDescent="0.2">
      <c r="B59" s="13" t="s">
        <v>84</v>
      </c>
      <c r="C59" s="101"/>
      <c r="D59" s="42"/>
      <c r="E59" s="13"/>
      <c r="F59" s="43"/>
      <c r="G59" s="209"/>
      <c r="H59" s="46"/>
      <c r="I59" s="46"/>
      <c r="J59" s="46"/>
      <c r="K59" s="80"/>
      <c r="L59" s="81"/>
      <c r="M59" s="49"/>
      <c r="N59" s="50"/>
      <c r="O59" s="82"/>
      <c r="P59" s="181"/>
      <c r="Q59" s="219"/>
    </row>
    <row r="60" spans="2:24" ht="15.75" customHeight="1" thickBot="1" x14ac:dyDescent="0.25">
      <c r="B60" s="228" t="s">
        <v>85</v>
      </c>
      <c r="C60" s="229"/>
      <c r="D60" s="230"/>
      <c r="E60" s="228"/>
      <c r="F60" s="231"/>
      <c r="G60" s="232"/>
      <c r="H60" s="233"/>
      <c r="I60" s="233"/>
      <c r="J60" s="233"/>
      <c r="K60" s="234"/>
      <c r="L60" s="235"/>
      <c r="M60" s="236"/>
      <c r="N60" s="237"/>
      <c r="O60" s="238"/>
      <c r="P60" s="239"/>
      <c r="Q60" s="240"/>
      <c r="X60" s="28"/>
    </row>
    <row r="61" spans="2:24" ht="15.75" customHeight="1" thickBot="1" x14ac:dyDescent="0.25">
      <c r="B61" s="171"/>
      <c r="C61" s="241"/>
      <c r="D61" s="242"/>
      <c r="E61" s="171"/>
      <c r="F61" s="243"/>
      <c r="G61" s="244"/>
      <c r="H61" s="245"/>
      <c r="I61" s="245"/>
      <c r="J61" s="245"/>
      <c r="K61" s="246"/>
      <c r="L61" s="190">
        <f>SUM(L53:L60)</f>
        <v>0</v>
      </c>
      <c r="M61" s="191" t="e">
        <f>AVERAGE(M53:M60)</f>
        <v>#DIV/0!</v>
      </c>
      <c r="N61" s="192">
        <f>SUM(N53:N60)</f>
        <v>0</v>
      </c>
      <c r="O61" s="191" t="e">
        <f>AVERAGE(O53:O60)</f>
        <v>#DIV/0!</v>
      </c>
      <c r="P61" s="193" t="e">
        <f>AVERAGE(P53:P60)</f>
        <v>#DIV/0!</v>
      </c>
      <c r="Q61" s="222"/>
    </row>
    <row r="62" spans="2:24" ht="15.75" customHeight="1" x14ac:dyDescent="0.2">
      <c r="B62" s="15"/>
      <c r="C62" s="15"/>
      <c r="D62" s="174"/>
      <c r="E62" s="15"/>
      <c r="F62" s="15"/>
      <c r="G62" s="15"/>
      <c r="H62" s="175"/>
      <c r="I62" s="175"/>
      <c r="J62" s="175"/>
      <c r="K62" s="175"/>
      <c r="L62" s="176"/>
      <c r="M62" s="177"/>
      <c r="N62" s="176"/>
      <c r="O62" s="177"/>
      <c r="P62" s="178"/>
      <c r="X62" s="28"/>
    </row>
    <row r="63" spans="2:24" ht="15.75" customHeight="1" x14ac:dyDescent="0.2">
      <c r="B63" s="15"/>
      <c r="C63" s="15"/>
      <c r="D63" s="174"/>
      <c r="E63" s="15"/>
      <c r="F63" s="15"/>
      <c r="G63" s="15"/>
      <c r="H63" s="175"/>
      <c r="I63" s="175"/>
      <c r="J63" s="175"/>
      <c r="K63" s="175"/>
      <c r="L63" s="176"/>
      <c r="M63" s="177"/>
      <c r="N63" s="176"/>
      <c r="O63" s="177"/>
      <c r="P63" s="178"/>
    </row>
    <row r="64" spans="2:24" ht="15.75" customHeight="1" x14ac:dyDescent="0.2">
      <c r="B64" s="3"/>
      <c r="C64" s="3"/>
      <c r="D64" s="3"/>
      <c r="E64" s="15"/>
      <c r="F64" s="3"/>
      <c r="G64" s="3"/>
      <c r="H64" s="175"/>
      <c r="I64" s="175"/>
      <c r="J64" s="175"/>
      <c r="K64" s="175"/>
      <c r="L64" s="176"/>
      <c r="M64" s="177"/>
      <c r="N64" s="176"/>
      <c r="O64" s="177"/>
      <c r="P64" s="179"/>
      <c r="X64" s="28"/>
    </row>
    <row r="65" spans="2:53" ht="75" customHeight="1" x14ac:dyDescent="0.2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72"/>
      <c r="N65" s="15"/>
      <c r="O65" s="72"/>
      <c r="P65" s="73"/>
    </row>
    <row r="66" spans="2:53" ht="17.25" customHeight="1" thickBot="1" x14ac:dyDescent="0.25">
      <c r="B66" s="17" t="s">
        <v>37</v>
      </c>
      <c r="C66" s="17"/>
      <c r="M66" s="90"/>
      <c r="N66" s="90"/>
      <c r="O66" s="90"/>
      <c r="X66" s="28"/>
    </row>
    <row r="67" spans="2:53" s="6" customFormat="1" ht="11.25" customHeight="1" thickBot="1" x14ac:dyDescent="0.25">
      <c r="B67" s="326" t="s">
        <v>1</v>
      </c>
      <c r="C67" s="328" t="s">
        <v>77</v>
      </c>
      <c r="D67" s="330" t="s">
        <v>105</v>
      </c>
      <c r="E67" s="326" t="s">
        <v>3</v>
      </c>
      <c r="F67" s="332" t="s">
        <v>101</v>
      </c>
      <c r="G67" s="330" t="s">
        <v>5</v>
      </c>
      <c r="H67" s="347"/>
      <c r="I67" s="347"/>
      <c r="J67" s="347"/>
      <c r="K67" s="347"/>
      <c r="L67" s="247" t="s">
        <v>6</v>
      </c>
      <c r="M67" s="248"/>
      <c r="N67" s="248"/>
      <c r="O67" s="248"/>
      <c r="P67" s="248"/>
      <c r="Q67" s="249"/>
      <c r="R67" s="29"/>
      <c r="S67" s="29"/>
      <c r="T67" s="29"/>
      <c r="U67" s="29"/>
      <c r="V67" s="29"/>
      <c r="W67" s="29"/>
      <c r="X67" s="24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</row>
    <row r="68" spans="2:53" s="6" customFormat="1" ht="31.5" customHeight="1" thickBot="1" x14ac:dyDescent="0.25">
      <c r="B68" s="327"/>
      <c r="C68" s="329"/>
      <c r="D68" s="331"/>
      <c r="E68" s="327"/>
      <c r="F68" s="333"/>
      <c r="G68" s="301" t="s">
        <v>117</v>
      </c>
      <c r="H68" s="153" t="s">
        <v>119</v>
      </c>
      <c r="I68" s="153" t="s">
        <v>121</v>
      </c>
      <c r="J68" s="153" t="s">
        <v>113</v>
      </c>
      <c r="K68" s="154" t="s">
        <v>115</v>
      </c>
      <c r="L68" s="206" t="s">
        <v>18</v>
      </c>
      <c r="M68" s="207" t="s">
        <v>19</v>
      </c>
      <c r="N68" s="207" t="s">
        <v>20</v>
      </c>
      <c r="O68" s="207" t="s">
        <v>21</v>
      </c>
      <c r="P68" s="208" t="s">
        <v>22</v>
      </c>
      <c r="Q68" s="224" t="s">
        <v>107</v>
      </c>
      <c r="R68" s="29"/>
      <c r="S68" s="29"/>
      <c r="T68" s="29"/>
      <c r="U68" s="29"/>
      <c r="V68" s="29"/>
      <c r="W68" s="29"/>
      <c r="X68" s="28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</row>
    <row r="69" spans="2:53" ht="14.25" customHeight="1" x14ac:dyDescent="0.2">
      <c r="B69" s="12" t="s">
        <v>108</v>
      </c>
      <c r="C69" s="100"/>
      <c r="D69" s="31"/>
      <c r="E69" s="12"/>
      <c r="F69" s="32"/>
      <c r="G69" s="298"/>
      <c r="H69" s="299"/>
      <c r="I69" s="299"/>
      <c r="J69" s="299"/>
      <c r="K69" s="300"/>
      <c r="L69" s="77"/>
      <c r="M69" s="38"/>
      <c r="N69" s="39"/>
      <c r="O69" s="78"/>
      <c r="P69" s="180"/>
      <c r="Q69" s="218"/>
    </row>
    <row r="70" spans="2:53" ht="14.25" customHeight="1" x14ac:dyDescent="0.2">
      <c r="B70" s="13" t="s">
        <v>109</v>
      </c>
      <c r="C70" s="101"/>
      <c r="D70" s="42"/>
      <c r="E70" s="13"/>
      <c r="F70" s="43"/>
      <c r="G70" s="209"/>
      <c r="H70" s="46"/>
      <c r="I70" s="46"/>
      <c r="J70" s="46"/>
      <c r="K70" s="80"/>
      <c r="L70" s="81"/>
      <c r="M70" s="49"/>
      <c r="N70" s="50"/>
      <c r="O70" s="82"/>
      <c r="P70" s="181"/>
      <c r="Q70" s="219"/>
      <c r="X70" s="28"/>
    </row>
    <row r="71" spans="2:53" ht="14.25" customHeight="1" x14ac:dyDescent="0.2">
      <c r="B71" s="13" t="s">
        <v>80</v>
      </c>
      <c r="C71" s="101"/>
      <c r="D71" s="42"/>
      <c r="E71" s="13"/>
      <c r="F71" s="43"/>
      <c r="G71" s="209"/>
      <c r="H71" s="46"/>
      <c r="I71" s="46"/>
      <c r="J71" s="46"/>
      <c r="K71" s="80"/>
      <c r="L71" s="81"/>
      <c r="M71" s="49"/>
      <c r="N71" s="50"/>
      <c r="O71" s="82"/>
      <c r="P71" s="181"/>
      <c r="Q71" s="219"/>
    </row>
    <row r="72" spans="2:53" ht="14.25" customHeight="1" x14ac:dyDescent="0.2">
      <c r="B72" s="13" t="s">
        <v>81</v>
      </c>
      <c r="C72" s="101"/>
      <c r="D72" s="42"/>
      <c r="E72" s="13"/>
      <c r="F72" s="43"/>
      <c r="G72" s="209"/>
      <c r="H72" s="46"/>
      <c r="I72" s="46"/>
      <c r="J72" s="46"/>
      <c r="K72" s="80"/>
      <c r="L72" s="81"/>
      <c r="M72" s="49"/>
      <c r="N72" s="50"/>
      <c r="O72" s="82"/>
      <c r="P72" s="181"/>
      <c r="Q72" s="219"/>
      <c r="X72" s="28"/>
    </row>
    <row r="73" spans="2:53" ht="14.25" customHeight="1" x14ac:dyDescent="0.2">
      <c r="B73" s="13" t="s">
        <v>82</v>
      </c>
      <c r="C73" s="101"/>
      <c r="D73" s="42"/>
      <c r="E73" s="13"/>
      <c r="F73" s="43"/>
      <c r="G73" s="209"/>
      <c r="H73" s="46"/>
      <c r="I73" s="46"/>
      <c r="J73" s="46"/>
      <c r="K73" s="80"/>
      <c r="L73" s="81"/>
      <c r="M73" s="49"/>
      <c r="N73" s="50"/>
      <c r="O73" s="82"/>
      <c r="P73" s="181"/>
      <c r="Q73" s="219"/>
    </row>
    <row r="74" spans="2:53" ht="14.25" customHeight="1" x14ac:dyDescent="0.2">
      <c r="B74" s="13" t="s">
        <v>83</v>
      </c>
      <c r="C74" s="101"/>
      <c r="D74" s="42"/>
      <c r="E74" s="13"/>
      <c r="F74" s="43"/>
      <c r="G74" s="209"/>
      <c r="H74" s="46"/>
      <c r="I74" s="46"/>
      <c r="J74" s="46"/>
      <c r="K74" s="80"/>
      <c r="L74" s="81"/>
      <c r="M74" s="49"/>
      <c r="N74" s="50"/>
      <c r="O74" s="82"/>
      <c r="P74" s="181"/>
      <c r="Q74" s="219"/>
      <c r="X74" s="28"/>
    </row>
    <row r="75" spans="2:53" ht="14.25" customHeight="1" x14ac:dyDescent="0.2">
      <c r="B75" s="13" t="s">
        <v>84</v>
      </c>
      <c r="C75" s="101"/>
      <c r="D75" s="42"/>
      <c r="E75" s="13"/>
      <c r="F75" s="43"/>
      <c r="G75" s="209"/>
      <c r="H75" s="46"/>
      <c r="I75" s="46"/>
      <c r="J75" s="46"/>
      <c r="K75" s="80"/>
      <c r="L75" s="81"/>
      <c r="M75" s="49"/>
      <c r="N75" s="50"/>
      <c r="O75" s="82"/>
      <c r="P75" s="181"/>
      <c r="Q75" s="219"/>
    </row>
    <row r="76" spans="2:53" ht="14.25" customHeight="1" thickBot="1" x14ac:dyDescent="0.25">
      <c r="B76" s="228" t="s">
        <v>85</v>
      </c>
      <c r="C76" s="229"/>
      <c r="D76" s="230"/>
      <c r="E76" s="228"/>
      <c r="F76" s="231"/>
      <c r="G76" s="232"/>
      <c r="H76" s="233"/>
      <c r="I76" s="233"/>
      <c r="J76" s="233"/>
      <c r="K76" s="234"/>
      <c r="L76" s="235"/>
      <c r="M76" s="236"/>
      <c r="N76" s="237"/>
      <c r="O76" s="238"/>
      <c r="P76" s="239"/>
      <c r="Q76" s="240"/>
      <c r="X76" s="28"/>
    </row>
    <row r="77" spans="2:53" ht="14.25" customHeight="1" thickBot="1" x14ac:dyDescent="0.25">
      <c r="B77" s="171"/>
      <c r="C77" s="241"/>
      <c r="D77" s="242"/>
      <c r="E77" s="171"/>
      <c r="F77" s="243"/>
      <c r="G77" s="244"/>
      <c r="H77" s="245"/>
      <c r="I77" s="245"/>
      <c r="J77" s="245"/>
      <c r="K77" s="246"/>
      <c r="L77" s="190">
        <f>SUM(L69:L76)</f>
        <v>0</v>
      </c>
      <c r="M77" s="191" t="e">
        <f>AVERAGE(M69:M76)</f>
        <v>#DIV/0!</v>
      </c>
      <c r="N77" s="192">
        <f>SUM(N69:N76)</f>
        <v>0</v>
      </c>
      <c r="O77" s="191" t="e">
        <f>AVERAGE(O69:O76)</f>
        <v>#DIV/0!</v>
      </c>
      <c r="P77" s="193" t="e">
        <f>AVERAGE(P69:P76)</f>
        <v>#DIV/0!</v>
      </c>
      <c r="Q77" s="222"/>
    </row>
    <row r="78" spans="2:53" ht="14.25" customHeight="1" x14ac:dyDescent="0.2">
      <c r="B78" s="15"/>
      <c r="C78" s="15"/>
      <c r="D78" s="174"/>
      <c r="E78" s="15"/>
      <c r="F78" s="15"/>
      <c r="G78" s="15"/>
      <c r="H78" s="175"/>
      <c r="I78" s="175"/>
      <c r="J78" s="175"/>
      <c r="K78" s="175"/>
      <c r="L78" s="176"/>
      <c r="M78" s="177"/>
      <c r="N78" s="176"/>
      <c r="O78" s="177"/>
      <c r="P78" s="178"/>
      <c r="X78" s="28"/>
    </row>
    <row r="79" spans="2:53" ht="14.25" customHeight="1" x14ac:dyDescent="0.2">
      <c r="B79" s="15"/>
      <c r="C79" s="15"/>
      <c r="D79" s="174"/>
      <c r="E79" s="15"/>
      <c r="F79" s="15"/>
      <c r="G79" s="15"/>
      <c r="H79" s="175"/>
      <c r="I79" s="175"/>
      <c r="J79" s="175"/>
      <c r="K79" s="175"/>
      <c r="L79" s="176"/>
      <c r="M79" s="177"/>
      <c r="N79" s="176"/>
      <c r="O79" s="177"/>
      <c r="P79" s="178"/>
    </row>
    <row r="80" spans="2:53" ht="14.25" customHeight="1" x14ac:dyDescent="0.2">
      <c r="B80" s="3"/>
      <c r="C80" s="3"/>
      <c r="D80" s="3"/>
      <c r="E80" s="15"/>
      <c r="F80" s="3"/>
      <c r="G80" s="3"/>
      <c r="H80" s="175"/>
      <c r="I80" s="175"/>
      <c r="J80" s="175"/>
      <c r="K80" s="175"/>
      <c r="L80" s="176"/>
      <c r="M80" s="177"/>
      <c r="N80" s="176"/>
      <c r="O80" s="177"/>
      <c r="P80" s="179"/>
      <c r="X80" s="28"/>
    </row>
    <row r="81" spans="2:53" ht="73.5" customHeight="1" x14ac:dyDescent="0.2">
      <c r="M81" s="90"/>
      <c r="N81" s="90"/>
      <c r="O81" s="90"/>
    </row>
    <row r="82" spans="2:53" ht="13.5" customHeight="1" thickBot="1" x14ac:dyDescent="0.25">
      <c r="B82" s="17" t="s">
        <v>48</v>
      </c>
      <c r="C82" s="17"/>
      <c r="M82" s="90"/>
      <c r="N82" s="90"/>
      <c r="O82" s="90"/>
      <c r="X82" s="28"/>
    </row>
    <row r="83" spans="2:53" s="6" customFormat="1" ht="15" customHeight="1" thickBot="1" x14ac:dyDescent="0.25">
      <c r="B83" s="326" t="s">
        <v>1</v>
      </c>
      <c r="C83" s="328" t="s">
        <v>77</v>
      </c>
      <c r="D83" s="330" t="s">
        <v>105</v>
      </c>
      <c r="E83" s="326" t="s">
        <v>3</v>
      </c>
      <c r="F83" s="332" t="s">
        <v>101</v>
      </c>
      <c r="G83" s="330" t="s">
        <v>5</v>
      </c>
      <c r="H83" s="347"/>
      <c r="I83" s="347"/>
      <c r="J83" s="347"/>
      <c r="K83" s="347"/>
      <c r="L83" s="247" t="s">
        <v>6</v>
      </c>
      <c r="M83" s="248"/>
      <c r="N83" s="248"/>
      <c r="O83" s="248"/>
      <c r="P83" s="248"/>
      <c r="Q83" s="249"/>
      <c r="R83" s="29"/>
      <c r="S83" s="29"/>
      <c r="T83" s="29"/>
      <c r="U83" s="29"/>
      <c r="V83" s="29"/>
      <c r="W83" s="29"/>
      <c r="X83" s="24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</row>
    <row r="84" spans="2:53" s="6" customFormat="1" ht="27.75" customHeight="1" thickBot="1" x14ac:dyDescent="0.25">
      <c r="B84" s="327"/>
      <c r="C84" s="329"/>
      <c r="D84" s="331"/>
      <c r="E84" s="327"/>
      <c r="F84" s="333"/>
      <c r="G84" s="301" t="s">
        <v>117</v>
      </c>
      <c r="H84" s="153" t="s">
        <v>119</v>
      </c>
      <c r="I84" s="153" t="s">
        <v>121</v>
      </c>
      <c r="J84" s="153" t="s">
        <v>113</v>
      </c>
      <c r="K84" s="154" t="s">
        <v>115</v>
      </c>
      <c r="L84" s="206" t="s">
        <v>18</v>
      </c>
      <c r="M84" s="207" t="s">
        <v>19</v>
      </c>
      <c r="N84" s="207" t="s">
        <v>20</v>
      </c>
      <c r="O84" s="207" t="s">
        <v>21</v>
      </c>
      <c r="P84" s="208" t="s">
        <v>22</v>
      </c>
      <c r="Q84" s="224" t="s">
        <v>107</v>
      </c>
      <c r="R84" s="29"/>
      <c r="S84" s="29"/>
      <c r="T84" s="29"/>
      <c r="U84" s="29"/>
      <c r="V84" s="29"/>
      <c r="W84" s="29"/>
      <c r="X84" s="28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</row>
    <row r="85" spans="2:53" ht="15" customHeight="1" x14ac:dyDescent="0.2">
      <c r="B85" s="12" t="s">
        <v>108</v>
      </c>
      <c r="C85" s="100"/>
      <c r="D85" s="31"/>
      <c r="E85" s="12"/>
      <c r="F85" s="32"/>
      <c r="G85" s="298"/>
      <c r="H85" s="299"/>
      <c r="I85" s="299"/>
      <c r="J85" s="299"/>
      <c r="K85" s="300"/>
      <c r="L85" s="77"/>
      <c r="M85" s="38"/>
      <c r="N85" s="39"/>
      <c r="O85" s="78"/>
      <c r="P85" s="180"/>
      <c r="Q85" s="218"/>
    </row>
    <row r="86" spans="2:53" ht="15" customHeight="1" x14ac:dyDescent="0.2">
      <c r="B86" s="13" t="s">
        <v>109</v>
      </c>
      <c r="C86" s="101"/>
      <c r="D86" s="42"/>
      <c r="E86" s="13"/>
      <c r="F86" s="43"/>
      <c r="G86" s="209"/>
      <c r="H86" s="46"/>
      <c r="I86" s="46"/>
      <c r="J86" s="46"/>
      <c r="K86" s="80"/>
      <c r="L86" s="81"/>
      <c r="M86" s="49"/>
      <c r="N86" s="50"/>
      <c r="O86" s="82"/>
      <c r="P86" s="181"/>
      <c r="Q86" s="219"/>
      <c r="X86" s="28"/>
    </row>
    <row r="87" spans="2:53" ht="15" customHeight="1" x14ac:dyDescent="0.2">
      <c r="B87" s="13" t="s">
        <v>80</v>
      </c>
      <c r="C87" s="101"/>
      <c r="D87" s="42"/>
      <c r="E87" s="13"/>
      <c r="F87" s="43"/>
      <c r="G87" s="209"/>
      <c r="H87" s="46"/>
      <c r="I87" s="46"/>
      <c r="J87" s="46"/>
      <c r="K87" s="80"/>
      <c r="L87" s="81"/>
      <c r="M87" s="49"/>
      <c r="N87" s="50"/>
      <c r="O87" s="82"/>
      <c r="P87" s="181"/>
      <c r="Q87" s="219"/>
    </row>
    <row r="88" spans="2:53" ht="15" customHeight="1" x14ac:dyDescent="0.2">
      <c r="B88" s="13" t="s">
        <v>81</v>
      </c>
      <c r="C88" s="101"/>
      <c r="D88" s="42"/>
      <c r="E88" s="13"/>
      <c r="F88" s="43"/>
      <c r="G88" s="209"/>
      <c r="H88" s="46"/>
      <c r="I88" s="46"/>
      <c r="J88" s="46"/>
      <c r="K88" s="80"/>
      <c r="L88" s="81"/>
      <c r="M88" s="49"/>
      <c r="N88" s="50"/>
      <c r="O88" s="82"/>
      <c r="P88" s="181"/>
      <c r="Q88" s="219"/>
      <c r="X88" s="28"/>
    </row>
    <row r="89" spans="2:53" ht="15" customHeight="1" x14ac:dyDescent="0.2">
      <c r="B89" s="13" t="s">
        <v>82</v>
      </c>
      <c r="C89" s="101"/>
      <c r="D89" s="42"/>
      <c r="E89" s="13"/>
      <c r="F89" s="43"/>
      <c r="G89" s="209"/>
      <c r="H89" s="46"/>
      <c r="I89" s="46"/>
      <c r="J89" s="46"/>
      <c r="K89" s="80"/>
      <c r="L89" s="81"/>
      <c r="M89" s="49"/>
      <c r="N89" s="50"/>
      <c r="O89" s="82"/>
      <c r="P89" s="181"/>
      <c r="Q89" s="219"/>
    </row>
    <row r="90" spans="2:53" ht="15" customHeight="1" x14ac:dyDescent="0.2">
      <c r="B90" s="13" t="s">
        <v>83</v>
      </c>
      <c r="C90" s="101"/>
      <c r="D90" s="42"/>
      <c r="E90" s="13"/>
      <c r="F90" s="43"/>
      <c r="G90" s="209"/>
      <c r="H90" s="46"/>
      <c r="I90" s="46"/>
      <c r="J90" s="46"/>
      <c r="K90" s="80"/>
      <c r="L90" s="81"/>
      <c r="M90" s="49"/>
      <c r="N90" s="50"/>
      <c r="O90" s="82"/>
      <c r="P90" s="181"/>
      <c r="Q90" s="219"/>
      <c r="X90" s="28"/>
    </row>
    <row r="91" spans="2:53" ht="15" customHeight="1" x14ac:dyDescent="0.2">
      <c r="B91" s="13" t="s">
        <v>84</v>
      </c>
      <c r="C91" s="101"/>
      <c r="D91" s="42"/>
      <c r="E91" s="13"/>
      <c r="F91" s="43"/>
      <c r="G91" s="209"/>
      <c r="H91" s="46"/>
      <c r="I91" s="46"/>
      <c r="J91" s="46"/>
      <c r="K91" s="80"/>
      <c r="L91" s="81"/>
      <c r="M91" s="49"/>
      <c r="N91" s="50"/>
      <c r="O91" s="82"/>
      <c r="P91" s="181"/>
      <c r="Q91" s="219"/>
    </row>
    <row r="92" spans="2:53" ht="15" customHeight="1" thickBot="1" x14ac:dyDescent="0.25">
      <c r="B92" s="13" t="s">
        <v>85</v>
      </c>
      <c r="C92" s="101"/>
      <c r="D92" s="42"/>
      <c r="E92" s="13"/>
      <c r="F92" s="43"/>
      <c r="G92" s="209"/>
      <c r="H92" s="46"/>
      <c r="I92" s="46"/>
      <c r="J92" s="46"/>
      <c r="K92" s="80"/>
      <c r="L92" s="81"/>
      <c r="M92" s="49"/>
      <c r="N92" s="50"/>
      <c r="O92" s="82"/>
      <c r="P92" s="181"/>
      <c r="Q92" s="221"/>
      <c r="X92" s="28"/>
    </row>
    <row r="93" spans="2:53" ht="15" customHeight="1" thickBot="1" x14ac:dyDescent="0.25">
      <c r="B93" s="60"/>
      <c r="C93" s="148"/>
      <c r="D93" s="173"/>
      <c r="E93" s="171"/>
      <c r="F93" s="172"/>
      <c r="G93" s="210"/>
      <c r="H93" s="211"/>
      <c r="I93" s="211"/>
      <c r="J93" s="211"/>
      <c r="K93" s="212"/>
      <c r="L93" s="190">
        <f>SUM(L85:L92)</f>
        <v>0</v>
      </c>
      <c r="M93" s="191" t="e">
        <f>AVERAGE(M85:M92)</f>
        <v>#DIV/0!</v>
      </c>
      <c r="N93" s="192">
        <f>SUM(N85:N92)</f>
        <v>0</v>
      </c>
      <c r="O93" s="191" t="e">
        <f>AVERAGE(O85:O92)</f>
        <v>#DIV/0!</v>
      </c>
      <c r="P93" s="193" t="e">
        <f>AVERAGE(P85:P92)</f>
        <v>#DIV/0!</v>
      </c>
      <c r="Q93" s="225"/>
    </row>
    <row r="94" spans="2:53" ht="15" customHeight="1" x14ac:dyDescent="0.2">
      <c r="B94" s="15"/>
      <c r="C94" s="15"/>
      <c r="D94" s="174"/>
      <c r="E94" s="15"/>
      <c r="F94" s="15"/>
      <c r="G94" s="15"/>
      <c r="H94" s="175"/>
      <c r="I94" s="175"/>
      <c r="J94" s="175"/>
      <c r="K94" s="175"/>
      <c r="L94" s="176"/>
      <c r="M94" s="177"/>
      <c r="N94" s="176"/>
      <c r="O94" s="177"/>
      <c r="P94" s="178"/>
      <c r="X94" s="28"/>
    </row>
    <row r="95" spans="2:53" ht="15" customHeight="1" x14ac:dyDescent="0.2">
      <c r="B95" s="15"/>
      <c r="C95" s="15"/>
      <c r="D95" s="174"/>
      <c r="E95" s="15"/>
      <c r="F95" s="15"/>
      <c r="G95" s="15"/>
      <c r="H95" s="175"/>
      <c r="I95" s="175"/>
      <c r="J95" s="175"/>
      <c r="K95" s="175"/>
      <c r="L95" s="176"/>
      <c r="M95" s="177"/>
      <c r="N95" s="176"/>
      <c r="O95" s="177"/>
      <c r="P95" s="178"/>
    </row>
    <row r="96" spans="2:53" ht="15" customHeight="1" x14ac:dyDescent="0.2">
      <c r="B96" s="3"/>
      <c r="C96" s="3"/>
      <c r="D96" s="3"/>
      <c r="E96" s="15"/>
      <c r="F96" s="3"/>
      <c r="G96" s="3"/>
      <c r="H96" s="3"/>
      <c r="I96" s="3"/>
      <c r="J96" s="3"/>
      <c r="K96" s="3"/>
      <c r="L96" s="176"/>
      <c r="M96" s="177"/>
      <c r="N96" s="176"/>
      <c r="O96" s="177"/>
      <c r="P96" s="179"/>
      <c r="X96" s="28"/>
    </row>
    <row r="97" spans="2:53" ht="66" customHeight="1" x14ac:dyDescent="0.2">
      <c r="B97" s="3"/>
      <c r="C97" s="3"/>
      <c r="D97" s="3"/>
      <c r="E97" s="15"/>
      <c r="F97" s="3"/>
      <c r="G97" s="3"/>
      <c r="H97" s="3"/>
      <c r="I97" s="3"/>
      <c r="J97" s="3"/>
      <c r="K97" s="3"/>
      <c r="L97" s="15"/>
      <c r="M97" s="72"/>
      <c r="N97" s="15"/>
      <c r="O97" s="72"/>
      <c r="P97" s="4"/>
    </row>
    <row r="98" spans="2:53" ht="15" customHeight="1" thickBot="1" x14ac:dyDescent="0.25">
      <c r="B98" s="17" t="s">
        <v>49</v>
      </c>
      <c r="C98" s="17"/>
      <c r="M98" s="90"/>
      <c r="N98" s="90"/>
      <c r="O98" s="90"/>
      <c r="X98" s="28"/>
    </row>
    <row r="99" spans="2:53" ht="13.5" customHeight="1" thickBot="1" x14ac:dyDescent="0.25">
      <c r="B99" s="326" t="s">
        <v>1</v>
      </c>
      <c r="C99" s="328" t="s">
        <v>77</v>
      </c>
      <c r="D99" s="330" t="s">
        <v>105</v>
      </c>
      <c r="E99" s="326" t="s">
        <v>3</v>
      </c>
      <c r="F99" s="332" t="s">
        <v>101</v>
      </c>
      <c r="G99" s="330" t="s">
        <v>5</v>
      </c>
      <c r="H99" s="347"/>
      <c r="I99" s="347"/>
      <c r="J99" s="347"/>
      <c r="K99" s="347"/>
      <c r="L99" s="247" t="s">
        <v>6</v>
      </c>
      <c r="M99" s="248"/>
      <c r="N99" s="248"/>
      <c r="O99" s="248"/>
      <c r="P99" s="248"/>
      <c r="Q99" s="249"/>
    </row>
    <row r="100" spans="2:53" s="6" customFormat="1" ht="30.75" customHeight="1" thickBot="1" x14ac:dyDescent="0.25">
      <c r="B100" s="327"/>
      <c r="C100" s="329"/>
      <c r="D100" s="331"/>
      <c r="E100" s="327"/>
      <c r="F100" s="333"/>
      <c r="G100" s="301" t="s">
        <v>117</v>
      </c>
      <c r="H100" s="153" t="s">
        <v>119</v>
      </c>
      <c r="I100" s="153" t="s">
        <v>121</v>
      </c>
      <c r="J100" s="153" t="s">
        <v>113</v>
      </c>
      <c r="K100" s="154" t="s">
        <v>115</v>
      </c>
      <c r="L100" s="206" t="s">
        <v>18</v>
      </c>
      <c r="M100" s="207" t="s">
        <v>19</v>
      </c>
      <c r="N100" s="207" t="s">
        <v>20</v>
      </c>
      <c r="O100" s="207" t="s">
        <v>21</v>
      </c>
      <c r="P100" s="208" t="s">
        <v>22</v>
      </c>
      <c r="Q100" s="224" t="s">
        <v>107</v>
      </c>
      <c r="R100" s="29"/>
      <c r="S100" s="29"/>
      <c r="T100" s="29"/>
      <c r="U100" s="29"/>
      <c r="V100" s="29"/>
      <c r="W100" s="29"/>
      <c r="X100" s="28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</row>
    <row r="101" spans="2:53" s="6" customFormat="1" ht="15" customHeight="1" x14ac:dyDescent="0.2">
      <c r="B101" s="12" t="s">
        <v>108</v>
      </c>
      <c r="C101" s="100"/>
      <c r="D101" s="31"/>
      <c r="E101" s="12"/>
      <c r="F101" s="32"/>
      <c r="G101" s="298"/>
      <c r="H101" s="299"/>
      <c r="I101" s="299"/>
      <c r="J101" s="299"/>
      <c r="K101" s="300"/>
      <c r="L101" s="77"/>
      <c r="M101" s="38"/>
      <c r="N101" s="39"/>
      <c r="O101" s="78"/>
      <c r="P101" s="180"/>
      <c r="Q101" s="218"/>
      <c r="R101" s="29"/>
      <c r="S101" s="29"/>
      <c r="T101" s="29"/>
      <c r="U101" s="29"/>
      <c r="V101" s="29"/>
      <c r="W101" s="29"/>
      <c r="X101" s="24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</row>
    <row r="102" spans="2:53" ht="15" customHeight="1" x14ac:dyDescent="0.2">
      <c r="B102" s="13" t="s">
        <v>109</v>
      </c>
      <c r="C102" s="101"/>
      <c r="D102" s="42"/>
      <c r="E102" s="13"/>
      <c r="F102" s="43"/>
      <c r="G102" s="209"/>
      <c r="H102" s="46"/>
      <c r="I102" s="46"/>
      <c r="J102" s="46"/>
      <c r="K102" s="80"/>
      <c r="L102" s="81"/>
      <c r="M102" s="49"/>
      <c r="N102" s="50"/>
      <c r="O102" s="82"/>
      <c r="P102" s="181"/>
      <c r="Q102" s="219"/>
      <c r="X102" s="28"/>
    </row>
    <row r="103" spans="2:53" ht="15" customHeight="1" x14ac:dyDescent="0.2">
      <c r="B103" s="13" t="s">
        <v>80</v>
      </c>
      <c r="C103" s="101"/>
      <c r="D103" s="42"/>
      <c r="E103" s="13"/>
      <c r="F103" s="43"/>
      <c r="G103" s="209"/>
      <c r="H103" s="46"/>
      <c r="I103" s="46"/>
      <c r="J103" s="46"/>
      <c r="K103" s="80"/>
      <c r="L103" s="81"/>
      <c r="M103" s="49"/>
      <c r="N103" s="50"/>
      <c r="O103" s="82"/>
      <c r="P103" s="181"/>
      <c r="Q103" s="219"/>
    </row>
    <row r="104" spans="2:53" ht="15" customHeight="1" x14ac:dyDescent="0.2">
      <c r="B104" s="13" t="s">
        <v>81</v>
      </c>
      <c r="C104" s="101"/>
      <c r="D104" s="42"/>
      <c r="E104" s="13"/>
      <c r="F104" s="43"/>
      <c r="G104" s="209"/>
      <c r="H104" s="46"/>
      <c r="I104" s="46"/>
      <c r="J104" s="46"/>
      <c r="K104" s="80"/>
      <c r="L104" s="81"/>
      <c r="M104" s="49"/>
      <c r="N104" s="50"/>
      <c r="O104" s="82"/>
      <c r="P104" s="181"/>
      <c r="Q104" s="219"/>
      <c r="X104" s="28"/>
    </row>
    <row r="105" spans="2:53" ht="15" customHeight="1" x14ac:dyDescent="0.2">
      <c r="B105" s="13" t="s">
        <v>82</v>
      </c>
      <c r="C105" s="101"/>
      <c r="D105" s="42"/>
      <c r="E105" s="13"/>
      <c r="F105" s="43"/>
      <c r="G105" s="209"/>
      <c r="H105" s="46"/>
      <c r="I105" s="46"/>
      <c r="J105" s="46"/>
      <c r="K105" s="80"/>
      <c r="L105" s="81"/>
      <c r="M105" s="49"/>
      <c r="N105" s="50"/>
      <c r="O105" s="82"/>
      <c r="P105" s="181"/>
      <c r="Q105" s="219"/>
    </row>
    <row r="106" spans="2:53" ht="15" customHeight="1" x14ac:dyDescent="0.2">
      <c r="B106" s="13" t="s">
        <v>83</v>
      </c>
      <c r="C106" s="101"/>
      <c r="D106" s="42"/>
      <c r="E106" s="13"/>
      <c r="F106" s="43"/>
      <c r="G106" s="209"/>
      <c r="H106" s="46"/>
      <c r="I106" s="46"/>
      <c r="J106" s="46"/>
      <c r="K106" s="80"/>
      <c r="L106" s="81"/>
      <c r="M106" s="49"/>
      <c r="N106" s="50"/>
      <c r="O106" s="82"/>
      <c r="P106" s="181"/>
      <c r="Q106" s="219"/>
      <c r="X106" s="28"/>
    </row>
    <row r="107" spans="2:53" ht="15" customHeight="1" x14ac:dyDescent="0.2">
      <c r="B107" s="13" t="s">
        <v>84</v>
      </c>
      <c r="C107" s="101"/>
      <c r="D107" s="42"/>
      <c r="E107" s="13"/>
      <c r="F107" s="43"/>
      <c r="G107" s="209"/>
      <c r="H107" s="46"/>
      <c r="I107" s="46"/>
      <c r="J107" s="46"/>
      <c r="K107" s="80"/>
      <c r="L107" s="81"/>
      <c r="M107" s="49"/>
      <c r="N107" s="50"/>
      <c r="O107" s="82"/>
      <c r="P107" s="181"/>
      <c r="Q107" s="219"/>
    </row>
    <row r="108" spans="2:53" ht="15" customHeight="1" thickBot="1" x14ac:dyDescent="0.25">
      <c r="B108" s="228" t="s">
        <v>85</v>
      </c>
      <c r="C108" s="229"/>
      <c r="D108" s="230"/>
      <c r="E108" s="228"/>
      <c r="F108" s="231"/>
      <c r="G108" s="232"/>
      <c r="H108" s="233"/>
      <c r="I108" s="233"/>
      <c r="J108" s="233"/>
      <c r="K108" s="234"/>
      <c r="L108" s="235"/>
      <c r="M108" s="236"/>
      <c r="N108" s="237"/>
      <c r="O108" s="238"/>
      <c r="P108" s="239"/>
      <c r="Q108" s="240"/>
      <c r="X108" s="28"/>
    </row>
    <row r="109" spans="2:53" ht="15" customHeight="1" thickBot="1" x14ac:dyDescent="0.25">
      <c r="B109" s="171"/>
      <c r="C109" s="241"/>
      <c r="D109" s="242"/>
      <c r="E109" s="171"/>
      <c r="F109" s="243"/>
      <c r="G109" s="244"/>
      <c r="H109" s="245"/>
      <c r="I109" s="245"/>
      <c r="J109" s="245"/>
      <c r="K109" s="246"/>
      <c r="L109" s="190">
        <f>SUM(L101:L108)</f>
        <v>0</v>
      </c>
      <c r="M109" s="191" t="e">
        <f>AVERAGE(M101:M108)</f>
        <v>#DIV/0!</v>
      </c>
      <c r="N109" s="192">
        <f>SUM(N101:N108)</f>
        <v>0</v>
      </c>
      <c r="O109" s="191" t="e">
        <f>AVERAGE(O101:O108)</f>
        <v>#DIV/0!</v>
      </c>
      <c r="P109" s="193" t="e">
        <f>AVERAGE(P101:P108)</f>
        <v>#DIV/0!</v>
      </c>
      <c r="Q109" s="222"/>
    </row>
    <row r="110" spans="2:53" ht="15" customHeight="1" x14ac:dyDescent="0.2">
      <c r="B110" s="15"/>
      <c r="C110" s="15"/>
      <c r="D110" s="174"/>
      <c r="E110" s="15"/>
      <c r="F110" s="15"/>
      <c r="G110" s="15"/>
      <c r="H110" s="175"/>
      <c r="I110" s="175"/>
      <c r="J110" s="175"/>
      <c r="K110" s="175"/>
      <c r="L110" s="176"/>
      <c r="M110" s="177"/>
      <c r="N110" s="176"/>
      <c r="O110" s="177"/>
      <c r="P110" s="178"/>
      <c r="X110" s="28"/>
    </row>
    <row r="111" spans="2:53" ht="15" customHeight="1" x14ac:dyDescent="0.2">
      <c r="B111" s="15"/>
      <c r="C111" s="15"/>
      <c r="D111" s="174"/>
      <c r="E111" s="15"/>
      <c r="F111" s="15"/>
      <c r="G111" s="15"/>
      <c r="H111" s="175"/>
      <c r="I111" s="175"/>
      <c r="J111" s="175"/>
      <c r="K111" s="175"/>
      <c r="L111" s="176"/>
      <c r="M111" s="177"/>
      <c r="N111" s="176"/>
      <c r="O111" s="177"/>
      <c r="P111" s="178"/>
    </row>
    <row r="112" spans="2:53" ht="15" customHeight="1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16"/>
      <c r="N112" s="16"/>
      <c r="O112" s="16"/>
      <c r="P112" s="4"/>
      <c r="X112" s="28"/>
    </row>
    <row r="113" spans="2:24" ht="15" customHeight="1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16"/>
      <c r="N113" s="16"/>
      <c r="O113" s="16"/>
      <c r="P113" s="4"/>
    </row>
    <row r="114" spans="2:24" ht="5.25" hidden="1" customHeight="1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16"/>
      <c r="N114" s="16"/>
      <c r="O114" s="16"/>
      <c r="P114" s="4"/>
      <c r="X114" s="28"/>
    </row>
    <row r="115" spans="2:24" ht="5.25" hidden="1" customHeight="1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16"/>
      <c r="N115" s="16"/>
      <c r="O115" s="16"/>
      <c r="P115" s="4"/>
    </row>
    <row r="116" spans="2:24" ht="5.25" hidden="1" customHeight="1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16"/>
      <c r="N116" s="16"/>
      <c r="O116" s="16"/>
      <c r="P116" s="4"/>
      <c r="X116" s="28"/>
    </row>
    <row r="117" spans="2:24" ht="5.25" hidden="1" customHeight="1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16"/>
      <c r="N117" s="16"/>
      <c r="O117" s="16"/>
      <c r="P117" s="4"/>
    </row>
    <row r="118" spans="2:24" ht="5.25" hidden="1" customHeight="1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16"/>
      <c r="N118" s="16"/>
      <c r="O118" s="16"/>
      <c r="P118" s="4"/>
      <c r="X118" s="28"/>
    </row>
    <row r="119" spans="2:24" ht="5.25" hidden="1" customHeight="1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16"/>
      <c r="N119" s="16"/>
      <c r="O119" s="16"/>
      <c r="P119" s="4"/>
    </row>
    <row r="120" spans="2:24" ht="5.25" hidden="1" customHeight="1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16"/>
      <c r="N120" s="16"/>
      <c r="O120" s="16"/>
      <c r="P120" s="4"/>
      <c r="X120" s="28"/>
    </row>
    <row r="121" spans="2:24" ht="5.25" hidden="1" customHeight="1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16"/>
      <c r="N121" s="16"/>
      <c r="O121" s="16"/>
      <c r="P121" s="4"/>
    </row>
    <row r="122" spans="2:24" ht="5.25" hidden="1" customHeight="1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16"/>
      <c r="N122" s="16"/>
      <c r="O122" s="16"/>
      <c r="P122" s="4"/>
      <c r="X122" s="28"/>
    </row>
    <row r="123" spans="2:24" ht="5.25" hidden="1" customHeight="1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16"/>
      <c r="N123" s="16"/>
      <c r="O123" s="16"/>
      <c r="P123" s="4"/>
    </row>
    <row r="124" spans="2:24" ht="5.25" hidden="1" customHeight="1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16"/>
      <c r="N124" s="16"/>
      <c r="O124" s="16"/>
      <c r="P124" s="4"/>
      <c r="X124" s="28"/>
    </row>
    <row r="125" spans="2:24" ht="5.25" hidden="1" customHeight="1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16"/>
      <c r="N125" s="16"/>
      <c r="O125" s="16"/>
      <c r="P125" s="4"/>
    </row>
    <row r="126" spans="2:24" ht="12" customHeight="1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16"/>
      <c r="N126" s="16"/>
      <c r="O126" s="16"/>
      <c r="P126" s="4"/>
      <c r="X126" s="28"/>
    </row>
    <row r="127" spans="2:24" ht="12" customHeight="1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16"/>
      <c r="N127" s="16"/>
      <c r="O127" s="16"/>
      <c r="P127" s="4"/>
    </row>
    <row r="128" spans="2:24" ht="12" customHeight="1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16"/>
      <c r="N128" s="16"/>
      <c r="O128" s="16"/>
      <c r="P128" s="4"/>
      <c r="X128" s="28"/>
    </row>
    <row r="129" spans="1:24" s="24" customFormat="1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91"/>
      <c r="Q129" s="1"/>
    </row>
    <row r="130" spans="1:24" s="24" customFormat="1" ht="12.95" customHeight="1" thickBot="1" x14ac:dyDescent="0.25">
      <c r="A130" s="1"/>
      <c r="B130" s="17" t="s">
        <v>50</v>
      </c>
      <c r="C130" s="17"/>
      <c r="D130" s="1"/>
      <c r="E130" s="1"/>
      <c r="F130" s="1"/>
      <c r="G130" s="1"/>
      <c r="H130" s="1"/>
      <c r="I130" s="1"/>
      <c r="J130" s="1"/>
      <c r="K130" s="1"/>
      <c r="L130" s="1"/>
      <c r="M130" s="90"/>
      <c r="N130" s="90"/>
      <c r="O130" s="90"/>
      <c r="P130" s="91"/>
      <c r="Q130" s="1"/>
      <c r="X130" s="28"/>
    </row>
    <row r="131" spans="1:24" s="24" customFormat="1" ht="12.95" customHeight="1" x14ac:dyDescent="0.2">
      <c r="A131" s="1"/>
      <c r="B131" s="330" t="s">
        <v>1</v>
      </c>
      <c r="C131" s="328" t="s">
        <v>77</v>
      </c>
      <c r="D131" s="330" t="s">
        <v>105</v>
      </c>
      <c r="E131" s="326" t="s">
        <v>4</v>
      </c>
      <c r="F131" s="347" t="s">
        <v>3</v>
      </c>
      <c r="G131" s="334" t="s">
        <v>52</v>
      </c>
      <c r="H131" s="335"/>
      <c r="I131" s="335"/>
      <c r="J131" s="335"/>
      <c r="K131" s="335"/>
      <c r="L131" s="335"/>
      <c r="M131" s="335"/>
      <c r="N131" s="335"/>
      <c r="O131" s="335"/>
      <c r="P131" s="336"/>
    </row>
    <row r="132" spans="1:24" s="24" customFormat="1" ht="27" customHeight="1" thickBot="1" x14ac:dyDescent="0.25">
      <c r="A132" s="1"/>
      <c r="B132" s="341"/>
      <c r="C132" s="329"/>
      <c r="D132" s="331"/>
      <c r="E132" s="342"/>
      <c r="F132" s="346"/>
      <c r="G132" s="140" t="s">
        <v>54</v>
      </c>
      <c r="H132" s="9" t="s">
        <v>55</v>
      </c>
      <c r="I132" s="9" t="s">
        <v>56</v>
      </c>
      <c r="J132" s="9" t="s">
        <v>57</v>
      </c>
      <c r="K132" s="9" t="s">
        <v>58</v>
      </c>
      <c r="L132" s="9" t="s">
        <v>104</v>
      </c>
      <c r="M132" s="9" t="s">
        <v>60</v>
      </c>
      <c r="N132" s="9" t="s">
        <v>61</v>
      </c>
      <c r="O132" s="141" t="s">
        <v>62</v>
      </c>
      <c r="P132" s="202" t="s">
        <v>63</v>
      </c>
      <c r="Q132" s="28"/>
    </row>
    <row r="133" spans="1:24" s="24" customFormat="1" ht="15" customHeight="1" x14ac:dyDescent="0.2">
      <c r="A133" s="1"/>
      <c r="B133" s="12" t="s">
        <v>108</v>
      </c>
      <c r="C133" s="145"/>
      <c r="D133" s="142"/>
      <c r="E133" s="12"/>
      <c r="F133" s="32"/>
      <c r="G133" s="204"/>
      <c r="H133" s="35"/>
      <c r="I133" s="35"/>
      <c r="J133" s="35"/>
      <c r="K133" s="35"/>
      <c r="L133" s="35"/>
      <c r="M133" s="35"/>
      <c r="N133" s="35"/>
      <c r="O133" s="35"/>
      <c r="P133" s="203"/>
    </row>
    <row r="134" spans="1:24" s="24" customFormat="1" ht="15" customHeight="1" x14ac:dyDescent="0.2">
      <c r="A134" s="1"/>
      <c r="B134" s="13" t="s">
        <v>109</v>
      </c>
      <c r="C134" s="146"/>
      <c r="D134" s="143"/>
      <c r="E134" s="13"/>
      <c r="F134" s="43"/>
      <c r="G134" s="205"/>
      <c r="H134" s="46"/>
      <c r="I134" s="46"/>
      <c r="J134" s="46"/>
      <c r="K134" s="46"/>
      <c r="L134" s="46"/>
      <c r="M134" s="46"/>
      <c r="N134" s="46"/>
      <c r="O134" s="46"/>
      <c r="P134" s="196"/>
      <c r="Q134" s="28"/>
    </row>
    <row r="135" spans="1:24" s="24" customFormat="1" ht="15" customHeight="1" x14ac:dyDescent="0.2">
      <c r="A135" s="1"/>
      <c r="B135" s="13" t="s">
        <v>80</v>
      </c>
      <c r="C135" s="146"/>
      <c r="D135" s="143"/>
      <c r="E135" s="13"/>
      <c r="F135" s="43"/>
      <c r="G135" s="205"/>
      <c r="H135" s="46"/>
      <c r="I135" s="46"/>
      <c r="J135" s="46"/>
      <c r="K135" s="46"/>
      <c r="L135" s="46"/>
      <c r="M135" s="46"/>
      <c r="N135" s="46"/>
      <c r="O135" s="46"/>
      <c r="P135" s="196"/>
    </row>
    <row r="136" spans="1:24" s="24" customFormat="1" ht="15" customHeight="1" x14ac:dyDescent="0.2">
      <c r="A136" s="1"/>
      <c r="B136" s="13" t="s">
        <v>81</v>
      </c>
      <c r="C136" s="146"/>
      <c r="D136" s="143"/>
      <c r="E136" s="13"/>
      <c r="F136" s="43"/>
      <c r="G136" s="205"/>
      <c r="H136" s="46"/>
      <c r="I136" s="46"/>
      <c r="J136" s="46"/>
      <c r="K136" s="46"/>
      <c r="L136" s="46"/>
      <c r="M136" s="46"/>
      <c r="N136" s="46"/>
      <c r="O136" s="46"/>
      <c r="P136" s="196"/>
      <c r="Q136" s="28"/>
    </row>
    <row r="137" spans="1:24" s="24" customFormat="1" ht="15" customHeight="1" x14ac:dyDescent="0.2">
      <c r="A137" s="1"/>
      <c r="B137" s="13" t="s">
        <v>82</v>
      </c>
      <c r="C137" s="146"/>
      <c r="D137" s="143"/>
      <c r="E137" s="13"/>
      <c r="F137" s="43"/>
      <c r="G137" s="205"/>
      <c r="H137" s="46"/>
      <c r="I137" s="46"/>
      <c r="J137" s="46"/>
      <c r="K137" s="46"/>
      <c r="L137" s="46"/>
      <c r="M137" s="46"/>
      <c r="N137" s="46"/>
      <c r="O137" s="46"/>
      <c r="P137" s="196"/>
      <c r="Q137" s="28"/>
    </row>
    <row r="138" spans="1:24" s="24" customFormat="1" ht="15" customHeight="1" x14ac:dyDescent="0.2">
      <c r="A138" s="1"/>
      <c r="B138" s="13" t="s">
        <v>83</v>
      </c>
      <c r="C138" s="146"/>
      <c r="D138" s="143"/>
      <c r="E138" s="13"/>
      <c r="F138" s="43"/>
      <c r="G138" s="205"/>
      <c r="H138" s="46"/>
      <c r="I138" s="46"/>
      <c r="J138" s="46"/>
      <c r="K138" s="46"/>
      <c r="L138" s="46"/>
      <c r="M138" s="46"/>
      <c r="N138" s="46"/>
      <c r="O138" s="46"/>
      <c r="P138" s="196"/>
    </row>
    <row r="139" spans="1:24" s="24" customFormat="1" ht="15" customHeight="1" x14ac:dyDescent="0.2">
      <c r="A139" s="1"/>
      <c r="B139" s="13" t="s">
        <v>84</v>
      </c>
      <c r="C139" s="146"/>
      <c r="D139" s="143"/>
      <c r="E139" s="13"/>
      <c r="F139" s="43"/>
      <c r="G139" s="205"/>
      <c r="H139" s="46"/>
      <c r="I139" s="46"/>
      <c r="J139" s="46"/>
      <c r="K139" s="46"/>
      <c r="L139" s="46"/>
      <c r="M139" s="46"/>
      <c r="N139" s="46"/>
      <c r="O139" s="46"/>
      <c r="P139" s="196"/>
      <c r="Q139" s="28"/>
    </row>
    <row r="140" spans="1:24" s="24" customFormat="1" ht="15" customHeight="1" thickBot="1" x14ac:dyDescent="0.25">
      <c r="A140" s="1"/>
      <c r="B140" s="13" t="s">
        <v>85</v>
      </c>
      <c r="C140" s="146"/>
      <c r="D140" s="143"/>
      <c r="E140" s="13"/>
      <c r="F140" s="43"/>
      <c r="G140" s="205"/>
      <c r="H140" s="46"/>
      <c r="I140" s="46"/>
      <c r="J140" s="46"/>
      <c r="K140" s="46"/>
      <c r="L140" s="46"/>
      <c r="M140" s="46"/>
      <c r="N140" s="46"/>
      <c r="O140" s="46"/>
      <c r="P140" s="196"/>
    </row>
    <row r="141" spans="1:24" ht="12.95" customHeight="1" x14ac:dyDescent="0.2">
      <c r="B141" s="330" t="s">
        <v>1</v>
      </c>
      <c r="C141" s="328" t="s">
        <v>77</v>
      </c>
      <c r="D141" s="330" t="s">
        <v>105</v>
      </c>
      <c r="E141" s="326" t="s">
        <v>4</v>
      </c>
      <c r="F141" s="347" t="s">
        <v>3</v>
      </c>
      <c r="G141" s="348" t="s">
        <v>53</v>
      </c>
      <c r="H141" s="349"/>
      <c r="I141" s="349"/>
      <c r="J141" s="349"/>
      <c r="K141" s="349"/>
      <c r="L141" s="349"/>
      <c r="M141" s="349"/>
      <c r="N141" s="349"/>
      <c r="O141" s="349"/>
      <c r="P141" s="350"/>
    </row>
    <row r="142" spans="1:24" ht="12.95" customHeight="1" thickBot="1" x14ac:dyDescent="0.25">
      <c r="B142" s="331"/>
      <c r="C142" s="345"/>
      <c r="D142" s="331"/>
      <c r="E142" s="327"/>
      <c r="F142" s="346"/>
      <c r="G142" s="140" t="s">
        <v>54</v>
      </c>
      <c r="H142" s="9" t="s">
        <v>55</v>
      </c>
      <c r="I142" s="9" t="s">
        <v>56</v>
      </c>
      <c r="J142" s="9" t="s">
        <v>57</v>
      </c>
      <c r="K142" s="9" t="s">
        <v>58</v>
      </c>
      <c r="L142" s="9" t="s">
        <v>104</v>
      </c>
      <c r="M142" s="9" t="s">
        <v>60</v>
      </c>
      <c r="N142" s="9" t="s">
        <v>61</v>
      </c>
      <c r="O142" s="141" t="s">
        <v>62</v>
      </c>
      <c r="P142" s="202" t="s">
        <v>63</v>
      </c>
    </row>
    <row r="143" spans="1:24" ht="12.95" customHeight="1" x14ac:dyDescent="0.2">
      <c r="B143" s="12" t="s">
        <v>108</v>
      </c>
      <c r="C143" s="145"/>
      <c r="D143" s="142"/>
      <c r="E143" s="12"/>
      <c r="F143" s="100"/>
      <c r="G143" s="183"/>
      <c r="H143" s="184"/>
      <c r="I143" s="184"/>
      <c r="J143" s="184"/>
      <c r="K143" s="185"/>
      <c r="L143" s="185"/>
      <c r="M143" s="185"/>
      <c r="N143" s="35"/>
      <c r="O143" s="35"/>
      <c r="P143" s="203"/>
    </row>
    <row r="144" spans="1:24" ht="12.95" customHeight="1" x14ac:dyDescent="0.2">
      <c r="B144" s="13" t="s">
        <v>109</v>
      </c>
      <c r="C144" s="146"/>
      <c r="D144" s="143"/>
      <c r="E144" s="13"/>
      <c r="F144" s="101"/>
      <c r="G144" s="161"/>
      <c r="H144" s="162"/>
      <c r="I144" s="162"/>
      <c r="J144" s="162"/>
      <c r="K144" s="163"/>
      <c r="L144" s="163"/>
      <c r="M144" s="163"/>
      <c r="N144" s="46"/>
      <c r="O144" s="46"/>
      <c r="P144" s="196"/>
    </row>
    <row r="145" spans="2:16" ht="12.95" customHeight="1" x14ac:dyDescent="0.2">
      <c r="B145" s="13" t="s">
        <v>80</v>
      </c>
      <c r="C145" s="146"/>
      <c r="D145" s="143"/>
      <c r="E145" s="13"/>
      <c r="F145" s="101"/>
      <c r="G145" s="161"/>
      <c r="H145" s="162"/>
      <c r="I145" s="162"/>
      <c r="J145" s="162"/>
      <c r="K145" s="163"/>
      <c r="L145" s="163"/>
      <c r="M145" s="163"/>
      <c r="N145" s="46"/>
      <c r="O145" s="46"/>
      <c r="P145" s="196"/>
    </row>
    <row r="146" spans="2:16" ht="12.95" customHeight="1" x14ac:dyDescent="0.2">
      <c r="B146" s="13" t="s">
        <v>81</v>
      </c>
      <c r="C146" s="146"/>
      <c r="D146" s="143"/>
      <c r="E146" s="13"/>
      <c r="F146" s="101"/>
      <c r="G146" s="161"/>
      <c r="H146" s="162"/>
      <c r="I146" s="162"/>
      <c r="J146" s="162"/>
      <c r="K146" s="163"/>
      <c r="L146" s="163"/>
      <c r="M146" s="163"/>
      <c r="N146" s="46"/>
      <c r="O146" s="46"/>
      <c r="P146" s="196"/>
    </row>
    <row r="147" spans="2:16" ht="12.95" customHeight="1" x14ac:dyDescent="0.2">
      <c r="B147" s="13" t="s">
        <v>82</v>
      </c>
      <c r="C147" s="146"/>
      <c r="D147" s="143"/>
      <c r="E147" s="13"/>
      <c r="F147" s="101"/>
      <c r="G147" s="161"/>
      <c r="H147" s="162"/>
      <c r="I147" s="162"/>
      <c r="J147" s="162"/>
      <c r="K147" s="163"/>
      <c r="L147" s="163"/>
      <c r="M147" s="163"/>
      <c r="N147" s="46"/>
      <c r="O147" s="46"/>
      <c r="P147" s="196"/>
    </row>
    <row r="148" spans="2:16" ht="12.95" customHeight="1" x14ac:dyDescent="0.2">
      <c r="B148" s="13" t="s">
        <v>83</v>
      </c>
      <c r="C148" s="146"/>
      <c r="D148" s="143"/>
      <c r="E148" s="13"/>
      <c r="F148" s="101"/>
      <c r="G148" s="161"/>
      <c r="H148" s="162"/>
      <c r="I148" s="162"/>
      <c r="J148" s="162"/>
      <c r="K148" s="163"/>
      <c r="L148" s="163"/>
      <c r="M148" s="163"/>
      <c r="N148" s="46"/>
      <c r="O148" s="46"/>
      <c r="P148" s="196"/>
    </row>
    <row r="149" spans="2:16" ht="12.95" customHeight="1" x14ac:dyDescent="0.2">
      <c r="B149" s="13" t="s">
        <v>84</v>
      </c>
      <c r="C149" s="146"/>
      <c r="D149" s="143"/>
      <c r="E149" s="13"/>
      <c r="F149" s="101"/>
      <c r="G149" s="161"/>
      <c r="H149" s="162"/>
      <c r="I149" s="162"/>
      <c r="J149" s="162"/>
      <c r="K149" s="163"/>
      <c r="L149" s="163"/>
      <c r="M149" s="163"/>
      <c r="N149" s="46"/>
      <c r="O149" s="46"/>
      <c r="P149" s="196"/>
    </row>
    <row r="150" spans="2:16" ht="12.95" customHeight="1" thickBot="1" x14ac:dyDescent="0.25">
      <c r="B150" s="14" t="s">
        <v>85</v>
      </c>
      <c r="C150" s="147"/>
      <c r="D150" s="144"/>
      <c r="E150" s="14"/>
      <c r="F150" s="102"/>
      <c r="G150" s="166"/>
      <c r="H150" s="167"/>
      <c r="I150" s="167"/>
      <c r="J150" s="167"/>
      <c r="K150" s="168"/>
      <c r="L150" s="168"/>
      <c r="M150" s="168"/>
      <c r="N150" s="57"/>
      <c r="O150" s="57"/>
      <c r="P150" s="197"/>
    </row>
  </sheetData>
  <sheetProtection autoFilter="0"/>
  <mergeCells count="54">
    <mergeCell ref="F141:F142"/>
    <mergeCell ref="G141:P141"/>
    <mergeCell ref="B131:B132"/>
    <mergeCell ref="C131:C132"/>
    <mergeCell ref="D131:D132"/>
    <mergeCell ref="E131:E132"/>
    <mergeCell ref="F131:F132"/>
    <mergeCell ref="G131:P131"/>
    <mergeCell ref="G99:K99"/>
    <mergeCell ref="B141:B142"/>
    <mergeCell ref="C141:C142"/>
    <mergeCell ref="B83:B84"/>
    <mergeCell ref="C83:C84"/>
    <mergeCell ref="D83:D84"/>
    <mergeCell ref="E83:E84"/>
    <mergeCell ref="F83:F84"/>
    <mergeCell ref="G83:K83"/>
    <mergeCell ref="B99:B100"/>
    <mergeCell ref="C99:C100"/>
    <mergeCell ref="D99:D100"/>
    <mergeCell ref="E99:E100"/>
    <mergeCell ref="F99:F100"/>
    <mergeCell ref="D141:D142"/>
    <mergeCell ref="E141:E142"/>
    <mergeCell ref="G67:K67"/>
    <mergeCell ref="B51:B52"/>
    <mergeCell ref="C51:C52"/>
    <mergeCell ref="D51:D52"/>
    <mergeCell ref="E51:E52"/>
    <mergeCell ref="F51:F52"/>
    <mergeCell ref="G51:K51"/>
    <mergeCell ref="B67:B68"/>
    <mergeCell ref="C67:C68"/>
    <mergeCell ref="D67:D68"/>
    <mergeCell ref="E67:E68"/>
    <mergeCell ref="F67:F68"/>
    <mergeCell ref="G35:K35"/>
    <mergeCell ref="B19:B20"/>
    <mergeCell ref="C19:C20"/>
    <mergeCell ref="D19:D20"/>
    <mergeCell ref="E19:E20"/>
    <mergeCell ref="F19:F20"/>
    <mergeCell ref="G19:K19"/>
    <mergeCell ref="B35:B36"/>
    <mergeCell ref="C35:C36"/>
    <mergeCell ref="D35:D36"/>
    <mergeCell ref="E35:E36"/>
    <mergeCell ref="F35:F36"/>
    <mergeCell ref="G3:K3"/>
    <mergeCell ref="B3:B4"/>
    <mergeCell ref="C3:C4"/>
    <mergeCell ref="D3:D4"/>
    <mergeCell ref="E3:E4"/>
    <mergeCell ref="F3:F4"/>
  </mergeCells>
  <phoneticPr fontId="1" type="noConversion"/>
  <printOptions horizontalCentered="1"/>
  <pageMargins left="0.196850393700787" right="0.15748031496063" top="0.43307086614173201" bottom="0.23622047244094499" header="0.511811023622047" footer="0.511811023622047"/>
  <pageSetup paperSize="9" scale="90" orientation="portrait" r:id="rId1"/>
  <headerFooter scaleWithDoc="0" alignWithMargins="0"/>
  <rowBreaks count="2" manualBreakCount="2">
    <brk id="49" max="23" man="1"/>
    <brk id="96" max="2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04CC-929A-425F-A69A-F5F5A7A76066}">
  <sheetPr>
    <tabColor rgb="FFFF0000"/>
  </sheetPr>
  <dimension ref="A1:BI142"/>
  <sheetViews>
    <sheetView zoomScaleNormal="100" zoomScaleSheetLayoutView="100" workbookViewId="0">
      <selection activeCell="B131" sqref="B131:W142"/>
    </sheetView>
  </sheetViews>
  <sheetFormatPr defaultColWidth="9" defaultRowHeight="12.95" customHeight="1" x14ac:dyDescent="0.2"/>
  <cols>
    <col min="1" max="1" width="0.75" style="1" customWidth="1"/>
    <col min="2" max="3" width="3.625" style="1" customWidth="1"/>
    <col min="4" max="4" width="4.5" style="1" customWidth="1"/>
    <col min="5" max="5" width="5.375" style="1" customWidth="1"/>
    <col min="6" max="6" width="3.5" style="1" customWidth="1"/>
    <col min="7" max="7" width="5.25" style="1" customWidth="1"/>
    <col min="8" max="18" width="4" style="1" customWidth="1"/>
    <col min="19" max="19" width="4.25" style="1" customWidth="1"/>
    <col min="20" max="20" width="5.125" style="1" customWidth="1"/>
    <col min="21" max="21" width="5.5" style="1" customWidth="1"/>
    <col min="22" max="22" width="5" style="1" customWidth="1"/>
    <col min="23" max="23" width="6.375" style="1" customWidth="1"/>
    <col min="24" max="24" width="5.375" style="91" customWidth="1"/>
    <col min="25" max="25" width="2.75" style="1" customWidth="1"/>
    <col min="26" max="61" width="9" style="24"/>
    <col min="62" max="16384" width="9" style="1"/>
  </cols>
  <sheetData>
    <row r="1" spans="2:61" ht="17.25" customHeight="1" x14ac:dyDescent="0.2">
      <c r="B1" s="23" t="s">
        <v>99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2:61" s="5" customFormat="1" ht="15" customHeight="1" thickBot="1" x14ac:dyDescent="0.25">
      <c r="B2" s="2" t="s">
        <v>0</v>
      </c>
      <c r="C2" s="2"/>
      <c r="V2" s="25"/>
      <c r="W2" s="26"/>
      <c r="X2" s="27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</row>
    <row r="3" spans="2:61" s="6" customFormat="1" ht="13.5" customHeight="1" x14ac:dyDescent="0.2">
      <c r="B3" s="326" t="s">
        <v>1</v>
      </c>
      <c r="C3" s="328" t="s">
        <v>77</v>
      </c>
      <c r="D3" s="330" t="s">
        <v>2</v>
      </c>
      <c r="E3" s="326" t="s">
        <v>3</v>
      </c>
      <c r="F3" s="332" t="s">
        <v>4</v>
      </c>
      <c r="G3" s="330" t="s">
        <v>5</v>
      </c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32"/>
      <c r="T3" s="351" t="s">
        <v>6</v>
      </c>
      <c r="U3" s="335"/>
      <c r="V3" s="335"/>
      <c r="W3" s="335"/>
      <c r="X3" s="336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</row>
    <row r="4" spans="2:61" s="6" customFormat="1" ht="40.5" customHeight="1" thickBot="1" x14ac:dyDescent="0.25">
      <c r="B4" s="327"/>
      <c r="C4" s="329"/>
      <c r="D4" s="331"/>
      <c r="E4" s="327"/>
      <c r="F4" s="333"/>
      <c r="G4" s="7" t="s">
        <v>98</v>
      </c>
      <c r="H4" s="8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10">
        <v>120</v>
      </c>
      <c r="T4" s="11" t="s">
        <v>18</v>
      </c>
      <c r="U4" s="9" t="s">
        <v>19</v>
      </c>
      <c r="V4" s="9" t="s">
        <v>20</v>
      </c>
      <c r="W4" s="9" t="s">
        <v>21</v>
      </c>
      <c r="X4" s="30" t="s">
        <v>22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2:61" ht="14.25" customHeight="1" x14ac:dyDescent="0.2">
      <c r="B5" s="12" t="s">
        <v>78</v>
      </c>
      <c r="C5" s="100"/>
      <c r="D5" s="31">
        <v>30</v>
      </c>
      <c r="E5" s="12">
        <v>57</v>
      </c>
      <c r="F5" s="32">
        <v>3</v>
      </c>
      <c r="G5" s="33">
        <v>17</v>
      </c>
      <c r="H5" s="34">
        <v>3</v>
      </c>
      <c r="I5" s="35">
        <v>0</v>
      </c>
      <c r="J5" s="35">
        <v>0</v>
      </c>
      <c r="K5" s="35">
        <v>10</v>
      </c>
      <c r="L5" s="35">
        <v>23</v>
      </c>
      <c r="M5" s="35">
        <v>0.76666666666666672</v>
      </c>
      <c r="N5" s="35">
        <v>0</v>
      </c>
      <c r="O5" s="35">
        <v>0</v>
      </c>
      <c r="P5" s="35">
        <v>76.900000000000006</v>
      </c>
      <c r="Q5" s="35"/>
      <c r="R5" s="35"/>
      <c r="S5" s="76"/>
      <c r="T5" s="77"/>
      <c r="U5" s="38"/>
      <c r="V5" s="39"/>
      <c r="W5" s="78"/>
      <c r="X5" s="180"/>
    </row>
    <row r="6" spans="2:61" ht="14.25" customHeight="1" x14ac:dyDescent="0.2">
      <c r="B6" s="13" t="s">
        <v>79</v>
      </c>
      <c r="C6" s="101"/>
      <c r="D6" s="42">
        <v>30</v>
      </c>
      <c r="E6" s="13">
        <v>53</v>
      </c>
      <c r="F6" s="43">
        <v>10</v>
      </c>
      <c r="G6" s="44">
        <v>14</v>
      </c>
      <c r="H6" s="45">
        <v>5</v>
      </c>
      <c r="I6" s="46">
        <v>1</v>
      </c>
      <c r="J6" s="46">
        <v>0</v>
      </c>
      <c r="K6" s="46">
        <v>10</v>
      </c>
      <c r="L6" s="46">
        <v>25</v>
      </c>
      <c r="M6" s="46">
        <v>0.83333333333333337</v>
      </c>
      <c r="N6" s="46">
        <v>0</v>
      </c>
      <c r="O6" s="46">
        <v>0</v>
      </c>
      <c r="P6" s="46">
        <v>77.333333333333329</v>
      </c>
      <c r="Q6" s="46"/>
      <c r="R6" s="46"/>
      <c r="S6" s="80"/>
      <c r="T6" s="81"/>
      <c r="U6" s="49"/>
      <c r="V6" s="50"/>
      <c r="W6" s="82"/>
      <c r="X6" s="181"/>
    </row>
    <row r="7" spans="2:61" ht="14.25" customHeight="1" x14ac:dyDescent="0.2">
      <c r="B7" s="13" t="s">
        <v>80</v>
      </c>
      <c r="C7" s="101"/>
      <c r="D7" s="42">
        <v>30</v>
      </c>
      <c r="E7" s="13">
        <v>54</v>
      </c>
      <c r="F7" s="43">
        <v>8</v>
      </c>
      <c r="G7" s="44">
        <v>17</v>
      </c>
      <c r="H7" s="45">
        <v>1</v>
      </c>
      <c r="I7" s="46">
        <v>1</v>
      </c>
      <c r="J7" s="46">
        <v>0</v>
      </c>
      <c r="K7" s="46">
        <v>11</v>
      </c>
      <c r="L7" s="46">
        <v>24</v>
      </c>
      <c r="M7" s="46">
        <v>0.8</v>
      </c>
      <c r="N7" s="46">
        <v>0</v>
      </c>
      <c r="O7" s="46">
        <v>0</v>
      </c>
      <c r="P7" s="46">
        <v>78.599999999999994</v>
      </c>
      <c r="Q7" s="46"/>
      <c r="R7" s="46"/>
      <c r="S7" s="80"/>
      <c r="T7" s="81"/>
      <c r="U7" s="49"/>
      <c r="V7" s="50"/>
      <c r="W7" s="82"/>
      <c r="X7" s="181"/>
    </row>
    <row r="8" spans="2:61" ht="14.25" customHeight="1" x14ac:dyDescent="0.2">
      <c r="B8" s="13" t="s">
        <v>81</v>
      </c>
      <c r="C8" s="101"/>
      <c r="D8" s="42">
        <v>30</v>
      </c>
      <c r="E8" s="13">
        <v>55</v>
      </c>
      <c r="F8" s="43">
        <v>4</v>
      </c>
      <c r="G8" s="44">
        <v>15</v>
      </c>
      <c r="H8" s="45">
        <v>5</v>
      </c>
      <c r="I8" s="46">
        <v>0</v>
      </c>
      <c r="J8" s="46">
        <v>0</v>
      </c>
      <c r="K8" s="46">
        <v>10</v>
      </c>
      <c r="L8" s="46">
        <v>28</v>
      </c>
      <c r="M8" s="46">
        <v>0.93333333333333335</v>
      </c>
      <c r="N8" s="46">
        <v>0</v>
      </c>
      <c r="O8" s="46">
        <v>0</v>
      </c>
      <c r="P8" s="46">
        <v>76.7</v>
      </c>
      <c r="Q8" s="46"/>
      <c r="R8" s="46"/>
      <c r="S8" s="80"/>
      <c r="T8" s="81"/>
      <c r="U8" s="49"/>
      <c r="V8" s="50"/>
      <c r="W8" s="82"/>
      <c r="X8" s="181"/>
    </row>
    <row r="9" spans="2:61" ht="14.25" customHeight="1" x14ac:dyDescent="0.2">
      <c r="B9" s="13" t="s">
        <v>82</v>
      </c>
      <c r="C9" s="101"/>
      <c r="D9" s="42">
        <v>30</v>
      </c>
      <c r="E9" s="13">
        <v>55</v>
      </c>
      <c r="F9" s="43">
        <v>4</v>
      </c>
      <c r="G9" s="44">
        <v>15</v>
      </c>
      <c r="H9" s="45">
        <v>4</v>
      </c>
      <c r="I9" s="46">
        <v>2</v>
      </c>
      <c r="J9" s="46">
        <v>0</v>
      </c>
      <c r="K9" s="46">
        <v>9</v>
      </c>
      <c r="L9" s="46">
        <v>23</v>
      </c>
      <c r="M9" s="46">
        <v>0.76666666666666672</v>
      </c>
      <c r="N9" s="46">
        <v>0</v>
      </c>
      <c r="O9" s="46">
        <v>0</v>
      </c>
      <c r="P9" s="46">
        <v>77.2</v>
      </c>
      <c r="Q9" s="46"/>
      <c r="R9" s="46"/>
      <c r="S9" s="80"/>
      <c r="T9" s="81"/>
      <c r="U9" s="49"/>
      <c r="V9" s="50"/>
      <c r="W9" s="82"/>
      <c r="X9" s="181"/>
    </row>
    <row r="10" spans="2:61" ht="14.25" customHeight="1" x14ac:dyDescent="0.2">
      <c r="B10" s="13" t="s">
        <v>83</v>
      </c>
      <c r="C10" s="101"/>
      <c r="D10" s="42">
        <v>30</v>
      </c>
      <c r="E10" s="13">
        <v>55</v>
      </c>
      <c r="F10" s="43">
        <v>4</v>
      </c>
      <c r="G10" s="44">
        <v>17</v>
      </c>
      <c r="H10" s="45">
        <v>1</v>
      </c>
      <c r="I10" s="46">
        <v>2</v>
      </c>
      <c r="J10" s="46">
        <v>0</v>
      </c>
      <c r="K10" s="46">
        <v>10</v>
      </c>
      <c r="L10" s="46">
        <v>24</v>
      </c>
      <c r="M10" s="46">
        <v>0.8</v>
      </c>
      <c r="N10" s="46">
        <v>1</v>
      </c>
      <c r="O10" s="46">
        <v>3.3333333333333333E-2</v>
      </c>
      <c r="P10" s="46">
        <v>78.433333333333337</v>
      </c>
      <c r="Q10" s="46"/>
      <c r="R10" s="46"/>
      <c r="S10" s="80"/>
      <c r="T10" s="81"/>
      <c r="U10" s="49"/>
      <c r="V10" s="50"/>
      <c r="W10" s="82"/>
      <c r="X10" s="181"/>
    </row>
    <row r="11" spans="2:61" ht="14.25" customHeight="1" x14ac:dyDescent="0.2">
      <c r="B11" s="13" t="s">
        <v>84</v>
      </c>
      <c r="C11" s="101"/>
      <c r="D11" s="42">
        <v>30</v>
      </c>
      <c r="E11" s="13">
        <v>55</v>
      </c>
      <c r="F11" s="43">
        <v>4</v>
      </c>
      <c r="G11" s="44">
        <v>17</v>
      </c>
      <c r="H11" s="45">
        <v>1</v>
      </c>
      <c r="I11" s="46">
        <v>2</v>
      </c>
      <c r="J11" s="46">
        <v>0</v>
      </c>
      <c r="K11" s="46">
        <v>10</v>
      </c>
      <c r="L11" s="46">
        <v>23</v>
      </c>
      <c r="M11" s="46">
        <v>0.76666666666666672</v>
      </c>
      <c r="N11" s="46">
        <v>0</v>
      </c>
      <c r="O11" s="46">
        <v>0</v>
      </c>
      <c r="P11" s="46">
        <v>77.25</v>
      </c>
      <c r="Q11" s="46"/>
      <c r="R11" s="46"/>
      <c r="S11" s="80"/>
      <c r="T11" s="81"/>
      <c r="U11" s="49"/>
      <c r="V11" s="50"/>
      <c r="W11" s="82"/>
      <c r="X11" s="181"/>
    </row>
    <row r="12" spans="2:61" ht="14.25" customHeight="1" x14ac:dyDescent="0.2">
      <c r="B12" s="13" t="s">
        <v>85</v>
      </c>
      <c r="C12" s="101"/>
      <c r="D12" s="42">
        <v>30</v>
      </c>
      <c r="E12" s="13">
        <v>54</v>
      </c>
      <c r="F12" s="43">
        <v>8</v>
      </c>
      <c r="G12" s="44">
        <v>17</v>
      </c>
      <c r="H12" s="45">
        <v>1</v>
      </c>
      <c r="I12" s="46">
        <v>1</v>
      </c>
      <c r="J12" s="46">
        <v>0</v>
      </c>
      <c r="K12" s="46">
        <v>11</v>
      </c>
      <c r="L12" s="46">
        <v>25</v>
      </c>
      <c r="M12" s="46">
        <v>0.83333333333333337</v>
      </c>
      <c r="N12" s="46">
        <v>0</v>
      </c>
      <c r="O12" s="46">
        <v>0</v>
      </c>
      <c r="P12" s="46">
        <v>77.666666666666671</v>
      </c>
      <c r="Q12" s="46"/>
      <c r="R12" s="46"/>
      <c r="S12" s="80"/>
      <c r="T12" s="81"/>
      <c r="U12" s="49"/>
      <c r="V12" s="50"/>
      <c r="W12" s="82"/>
      <c r="X12" s="181"/>
    </row>
    <row r="13" spans="2:61" ht="14.25" customHeight="1" x14ac:dyDescent="0.2">
      <c r="B13" s="13" t="s">
        <v>86</v>
      </c>
      <c r="C13" s="101"/>
      <c r="D13" s="42">
        <v>30</v>
      </c>
      <c r="E13" s="13">
        <v>58</v>
      </c>
      <c r="F13" s="43">
        <v>2</v>
      </c>
      <c r="G13" s="44">
        <v>19</v>
      </c>
      <c r="H13" s="45">
        <v>0</v>
      </c>
      <c r="I13" s="46">
        <v>1</v>
      </c>
      <c r="J13" s="46">
        <v>0</v>
      </c>
      <c r="K13" s="46">
        <v>10</v>
      </c>
      <c r="L13" s="46">
        <v>25</v>
      </c>
      <c r="M13" s="46">
        <v>0.83333333333333337</v>
      </c>
      <c r="N13" s="46">
        <v>0</v>
      </c>
      <c r="O13" s="46">
        <v>0</v>
      </c>
      <c r="P13" s="46">
        <v>80.3</v>
      </c>
      <c r="Q13" s="46"/>
      <c r="R13" s="46"/>
      <c r="S13" s="80"/>
      <c r="T13" s="81"/>
      <c r="U13" s="49"/>
      <c r="V13" s="50"/>
      <c r="W13" s="82"/>
      <c r="X13" s="181"/>
    </row>
    <row r="14" spans="2:61" ht="14.25" customHeight="1" thickBot="1" x14ac:dyDescent="0.25">
      <c r="B14" s="14" t="s">
        <v>87</v>
      </c>
      <c r="C14" s="102"/>
      <c r="D14" s="53">
        <v>30</v>
      </c>
      <c r="E14" s="14">
        <v>65</v>
      </c>
      <c r="F14" s="54">
        <v>1</v>
      </c>
      <c r="G14" s="55">
        <v>21</v>
      </c>
      <c r="H14" s="56">
        <v>1</v>
      </c>
      <c r="I14" s="57">
        <v>0</v>
      </c>
      <c r="J14" s="57">
        <v>0</v>
      </c>
      <c r="K14" s="57">
        <v>8</v>
      </c>
      <c r="L14" s="57">
        <v>27</v>
      </c>
      <c r="M14" s="57">
        <v>0.9</v>
      </c>
      <c r="N14" s="57">
        <v>0</v>
      </c>
      <c r="O14" s="57">
        <v>0</v>
      </c>
      <c r="P14" s="57">
        <v>79.283333333333331</v>
      </c>
      <c r="Q14" s="57"/>
      <c r="R14" s="57"/>
      <c r="S14" s="84"/>
      <c r="T14" s="85"/>
      <c r="U14" s="58"/>
      <c r="V14" s="59"/>
      <c r="W14" s="86"/>
      <c r="X14" s="182"/>
    </row>
    <row r="15" spans="2:61" ht="14.25" customHeight="1" thickBot="1" x14ac:dyDescent="0.25">
      <c r="B15" s="60"/>
      <c r="C15" s="148"/>
      <c r="D15" s="173">
        <v>1</v>
      </c>
      <c r="E15" s="171">
        <v>2</v>
      </c>
      <c r="F15" s="172">
        <v>3</v>
      </c>
      <c r="G15" s="64">
        <v>4</v>
      </c>
      <c r="H15" s="65">
        <v>5</v>
      </c>
      <c r="I15" s="66">
        <v>6</v>
      </c>
      <c r="J15" s="66">
        <v>7</v>
      </c>
      <c r="K15" s="66">
        <v>8</v>
      </c>
      <c r="L15" s="66">
        <v>9</v>
      </c>
      <c r="M15" s="66">
        <v>10</v>
      </c>
      <c r="N15" s="66">
        <v>11</v>
      </c>
      <c r="O15" s="66">
        <v>12</v>
      </c>
      <c r="P15" s="66">
        <v>13</v>
      </c>
      <c r="Q15" s="66"/>
      <c r="R15" s="66"/>
      <c r="S15" s="67"/>
      <c r="T15" s="190">
        <f>SUM(T5:T14)</f>
        <v>0</v>
      </c>
      <c r="U15" s="191" t="e">
        <f>AVERAGE(U5:U14)</f>
        <v>#DIV/0!</v>
      </c>
      <c r="V15" s="192">
        <f>SUM(V5:V14)</f>
        <v>0</v>
      </c>
      <c r="W15" s="191" t="e">
        <f>AVERAGE(W5:W14)</f>
        <v>#DIV/0!</v>
      </c>
      <c r="X15" s="193" t="e">
        <f>AVERAGE(X5:X14)</f>
        <v>#DIV/0!</v>
      </c>
    </row>
    <row r="16" spans="2:61" ht="14.25" customHeight="1" x14ac:dyDescent="0.2">
      <c r="B16" s="178"/>
      <c r="C16" s="177"/>
      <c r="D16" s="176">
        <v>1</v>
      </c>
      <c r="E16" s="176">
        <v>2</v>
      </c>
      <c r="F16" s="176">
        <v>3</v>
      </c>
      <c r="G16" s="176">
        <v>4</v>
      </c>
      <c r="H16" s="176">
        <v>5</v>
      </c>
      <c r="I16" s="176">
        <v>6</v>
      </c>
      <c r="J16" s="176">
        <v>7</v>
      </c>
      <c r="K16" s="176">
        <v>8</v>
      </c>
      <c r="L16" s="176">
        <v>9</v>
      </c>
      <c r="M16" s="176">
        <v>10</v>
      </c>
      <c r="N16" s="176">
        <v>11</v>
      </c>
      <c r="O16" s="176">
        <v>12</v>
      </c>
      <c r="P16" s="176">
        <v>13</v>
      </c>
      <c r="Q16" s="176"/>
      <c r="R16" s="176"/>
      <c r="S16" s="176"/>
      <c r="T16" s="176"/>
      <c r="U16" s="176"/>
      <c r="V16" s="176"/>
      <c r="W16" s="176"/>
      <c r="X16" s="176"/>
    </row>
    <row r="17" spans="2:61" ht="50.25" customHeight="1" x14ac:dyDescent="0.2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72"/>
      <c r="V17" s="15"/>
      <c r="W17" s="72"/>
      <c r="X17" s="73"/>
    </row>
    <row r="18" spans="2:61" ht="18" customHeight="1" thickBot="1" x14ac:dyDescent="0.25">
      <c r="B18" s="17" t="s">
        <v>23</v>
      </c>
      <c r="C18" s="17"/>
      <c r="U18" s="74"/>
      <c r="V18" s="74"/>
      <c r="W18" s="74"/>
      <c r="X18" s="75"/>
    </row>
    <row r="19" spans="2:61" s="6" customFormat="1" ht="15.75" customHeight="1" x14ac:dyDescent="0.2">
      <c r="B19" s="326" t="s">
        <v>1</v>
      </c>
      <c r="C19" s="328" t="s">
        <v>77</v>
      </c>
      <c r="D19" s="330" t="s">
        <v>2</v>
      </c>
      <c r="E19" s="326" t="s">
        <v>3</v>
      </c>
      <c r="F19" s="332" t="s">
        <v>4</v>
      </c>
      <c r="G19" s="330" t="s">
        <v>5</v>
      </c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32"/>
      <c r="T19" s="351" t="s">
        <v>6</v>
      </c>
      <c r="U19" s="335"/>
      <c r="V19" s="335"/>
      <c r="W19" s="335"/>
      <c r="X19" s="336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</row>
    <row r="20" spans="2:61" s="6" customFormat="1" ht="36" customHeight="1" thickBot="1" x14ac:dyDescent="0.25">
      <c r="B20" s="327"/>
      <c r="C20" s="329"/>
      <c r="D20" s="331"/>
      <c r="E20" s="342"/>
      <c r="F20" s="333"/>
      <c r="G20" s="7" t="s">
        <v>98</v>
      </c>
      <c r="H20" s="8" t="s">
        <v>7</v>
      </c>
      <c r="I20" s="9" t="s">
        <v>8</v>
      </c>
      <c r="J20" s="9" t="s">
        <v>9</v>
      </c>
      <c r="K20" s="9" t="s">
        <v>10</v>
      </c>
      <c r="L20" s="9" t="s">
        <v>11</v>
      </c>
      <c r="M20" s="9" t="s">
        <v>12</v>
      </c>
      <c r="N20" s="9" t="s">
        <v>13</v>
      </c>
      <c r="O20" s="9" t="s">
        <v>14</v>
      </c>
      <c r="P20" s="9" t="s">
        <v>15</v>
      </c>
      <c r="Q20" s="9" t="s">
        <v>16</v>
      </c>
      <c r="R20" s="9" t="s">
        <v>17</v>
      </c>
      <c r="S20" s="10">
        <v>120</v>
      </c>
      <c r="T20" s="9" t="s">
        <v>18</v>
      </c>
      <c r="U20" s="9" t="s">
        <v>19</v>
      </c>
      <c r="V20" s="11" t="s">
        <v>20</v>
      </c>
      <c r="W20" s="194" t="s">
        <v>21</v>
      </c>
      <c r="X20" s="195" t="s">
        <v>22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</row>
    <row r="21" spans="2:61" ht="15.75" customHeight="1" x14ac:dyDescent="0.2">
      <c r="B21" s="12" t="s">
        <v>78</v>
      </c>
      <c r="C21" s="100"/>
      <c r="D21" s="31"/>
      <c r="E21" s="12"/>
      <c r="F21" s="32"/>
      <c r="G21" s="33"/>
      <c r="H21" s="34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76"/>
      <c r="T21" s="77"/>
      <c r="U21" s="38"/>
      <c r="V21" s="39"/>
      <c r="W21" s="78"/>
      <c r="X21" s="180"/>
    </row>
    <row r="22" spans="2:61" ht="15.75" customHeight="1" x14ac:dyDescent="0.2">
      <c r="B22" s="13" t="s">
        <v>79</v>
      </c>
      <c r="C22" s="101"/>
      <c r="D22" s="42"/>
      <c r="E22" s="13"/>
      <c r="F22" s="43"/>
      <c r="G22" s="44"/>
      <c r="H22" s="45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80"/>
      <c r="T22" s="81"/>
      <c r="U22" s="49"/>
      <c r="V22" s="50"/>
      <c r="W22" s="82"/>
      <c r="X22" s="181"/>
    </row>
    <row r="23" spans="2:61" ht="15.75" customHeight="1" x14ac:dyDescent="0.2">
      <c r="B23" s="13" t="s">
        <v>80</v>
      </c>
      <c r="C23" s="101"/>
      <c r="D23" s="42"/>
      <c r="E23" s="13"/>
      <c r="F23" s="43"/>
      <c r="G23" s="44"/>
      <c r="H23" s="45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80"/>
      <c r="T23" s="81"/>
      <c r="U23" s="49"/>
      <c r="V23" s="50"/>
      <c r="W23" s="82"/>
      <c r="X23" s="181"/>
    </row>
    <row r="24" spans="2:61" ht="15.75" customHeight="1" x14ac:dyDescent="0.2">
      <c r="B24" s="13" t="s">
        <v>81</v>
      </c>
      <c r="C24" s="101"/>
      <c r="D24" s="42"/>
      <c r="E24" s="13"/>
      <c r="F24" s="43"/>
      <c r="G24" s="44"/>
      <c r="H24" s="45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80"/>
      <c r="T24" s="81"/>
      <c r="U24" s="49"/>
      <c r="V24" s="50"/>
      <c r="W24" s="82"/>
      <c r="X24" s="181"/>
    </row>
    <row r="25" spans="2:61" ht="15.75" customHeight="1" x14ac:dyDescent="0.2">
      <c r="B25" s="13" t="s">
        <v>82</v>
      </c>
      <c r="C25" s="101"/>
      <c r="D25" s="42"/>
      <c r="E25" s="13"/>
      <c r="F25" s="43"/>
      <c r="G25" s="44"/>
      <c r="H25" s="45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80"/>
      <c r="T25" s="81"/>
      <c r="U25" s="49"/>
      <c r="V25" s="50"/>
      <c r="W25" s="82"/>
      <c r="X25" s="181"/>
    </row>
    <row r="26" spans="2:61" ht="15.75" customHeight="1" x14ac:dyDescent="0.2">
      <c r="B26" s="13" t="s">
        <v>83</v>
      </c>
      <c r="C26" s="101"/>
      <c r="D26" s="42"/>
      <c r="E26" s="13"/>
      <c r="F26" s="43"/>
      <c r="G26" s="44"/>
      <c r="H26" s="45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80"/>
      <c r="T26" s="81"/>
      <c r="U26" s="49"/>
      <c r="V26" s="50"/>
      <c r="W26" s="82"/>
      <c r="X26" s="181"/>
    </row>
    <row r="27" spans="2:61" ht="15.75" customHeight="1" x14ac:dyDescent="0.2">
      <c r="B27" s="13" t="s">
        <v>84</v>
      </c>
      <c r="C27" s="101"/>
      <c r="D27" s="42"/>
      <c r="E27" s="13"/>
      <c r="F27" s="43"/>
      <c r="G27" s="44"/>
      <c r="H27" s="45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80"/>
      <c r="T27" s="81"/>
      <c r="U27" s="49"/>
      <c r="V27" s="50"/>
      <c r="W27" s="82"/>
      <c r="X27" s="181"/>
    </row>
    <row r="28" spans="2:61" ht="15.75" customHeight="1" x14ac:dyDescent="0.2">
      <c r="B28" s="13" t="s">
        <v>85</v>
      </c>
      <c r="C28" s="101"/>
      <c r="D28" s="42"/>
      <c r="E28" s="13"/>
      <c r="F28" s="43"/>
      <c r="G28" s="44"/>
      <c r="H28" s="45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80"/>
      <c r="T28" s="81"/>
      <c r="U28" s="49"/>
      <c r="V28" s="50"/>
      <c r="W28" s="82"/>
      <c r="X28" s="181"/>
    </row>
    <row r="29" spans="2:61" ht="15.75" customHeight="1" x14ac:dyDescent="0.2">
      <c r="B29" s="13" t="s">
        <v>86</v>
      </c>
      <c r="C29" s="101"/>
      <c r="D29" s="42"/>
      <c r="E29" s="13"/>
      <c r="F29" s="43"/>
      <c r="G29" s="44"/>
      <c r="H29" s="45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80"/>
      <c r="T29" s="81"/>
      <c r="U29" s="49"/>
      <c r="V29" s="50"/>
      <c r="W29" s="82"/>
      <c r="X29" s="181"/>
    </row>
    <row r="30" spans="2:61" ht="15.75" customHeight="1" thickBot="1" x14ac:dyDescent="0.25">
      <c r="B30" s="14" t="s">
        <v>87</v>
      </c>
      <c r="C30" s="102"/>
      <c r="D30" s="53"/>
      <c r="E30" s="14"/>
      <c r="F30" s="54"/>
      <c r="G30" s="55"/>
      <c r="H30" s="56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84"/>
      <c r="T30" s="85"/>
      <c r="U30" s="58"/>
      <c r="V30" s="59"/>
      <c r="W30" s="86"/>
      <c r="X30" s="182"/>
    </row>
    <row r="31" spans="2:61" ht="15.75" customHeight="1" thickBot="1" x14ac:dyDescent="0.25">
      <c r="B31" s="60"/>
      <c r="C31" s="148"/>
      <c r="D31" s="173"/>
      <c r="E31" s="171"/>
      <c r="F31" s="172"/>
      <c r="G31" s="64"/>
      <c r="H31" s="65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7"/>
      <c r="T31" s="190">
        <f>SUM(T21:T30)</f>
        <v>0</v>
      </c>
      <c r="U31" s="191" t="e">
        <f>AVERAGE(U21:U30)</f>
        <v>#DIV/0!</v>
      </c>
      <c r="V31" s="192">
        <f>SUM(V21:V30)</f>
        <v>0</v>
      </c>
      <c r="W31" s="191" t="e">
        <f>AVERAGE(W21:W30)</f>
        <v>#DIV/0!</v>
      </c>
      <c r="X31" s="193" t="e">
        <f>AVERAGE(X21:X30)</f>
        <v>#DIV/0!</v>
      </c>
    </row>
    <row r="32" spans="2:61" ht="15.75" customHeight="1" x14ac:dyDescent="0.2">
      <c r="B32" s="15"/>
      <c r="C32" s="15"/>
      <c r="D32" s="174"/>
      <c r="E32" s="15"/>
      <c r="F32" s="15"/>
      <c r="G32" s="1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6"/>
      <c r="U32" s="177"/>
      <c r="V32" s="176"/>
      <c r="W32" s="177"/>
      <c r="X32" s="176"/>
    </row>
    <row r="33" spans="2:61" ht="58.5" customHeight="1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72"/>
      <c r="V33" s="15"/>
      <c r="W33" s="72"/>
      <c r="X33" s="73"/>
    </row>
    <row r="34" spans="2:61" ht="15" customHeight="1" thickBot="1" x14ac:dyDescent="0.25">
      <c r="B34" s="17" t="s">
        <v>25</v>
      </c>
      <c r="C34" s="17"/>
      <c r="U34" s="90"/>
      <c r="V34" s="90"/>
      <c r="W34" s="90"/>
    </row>
    <row r="35" spans="2:61" s="6" customFormat="1" ht="12" customHeight="1" x14ac:dyDescent="0.2">
      <c r="B35" s="326" t="s">
        <v>1</v>
      </c>
      <c r="C35" s="328" t="s">
        <v>77</v>
      </c>
      <c r="D35" s="330" t="s">
        <v>2</v>
      </c>
      <c r="E35" s="326" t="s">
        <v>3</v>
      </c>
      <c r="F35" s="332" t="s">
        <v>4</v>
      </c>
      <c r="G35" s="330" t="s">
        <v>5</v>
      </c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32"/>
      <c r="T35" s="334" t="s">
        <v>6</v>
      </c>
      <c r="U35" s="335"/>
      <c r="V35" s="335"/>
      <c r="W35" s="335"/>
      <c r="X35" s="336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s="6" customFormat="1" ht="33" customHeight="1" thickBot="1" x14ac:dyDescent="0.25">
      <c r="B36" s="327"/>
      <c r="C36" s="329"/>
      <c r="D36" s="331"/>
      <c r="E36" s="342"/>
      <c r="F36" s="333"/>
      <c r="G36" s="7" t="s">
        <v>98</v>
      </c>
      <c r="H36" s="8" t="s">
        <v>7</v>
      </c>
      <c r="I36" s="9" t="s">
        <v>8</v>
      </c>
      <c r="J36" s="9" t="s">
        <v>9</v>
      </c>
      <c r="K36" s="9" t="s">
        <v>10</v>
      </c>
      <c r="L36" s="9" t="s">
        <v>11</v>
      </c>
      <c r="M36" s="9" t="s">
        <v>12</v>
      </c>
      <c r="N36" s="9" t="s">
        <v>13</v>
      </c>
      <c r="O36" s="9" t="s">
        <v>14</v>
      </c>
      <c r="P36" s="9" t="s">
        <v>15</v>
      </c>
      <c r="Q36" s="9" t="s">
        <v>16</v>
      </c>
      <c r="R36" s="9" t="s">
        <v>17</v>
      </c>
      <c r="S36" s="10">
        <v>120</v>
      </c>
      <c r="T36" s="9" t="s">
        <v>18</v>
      </c>
      <c r="U36" s="9" t="s">
        <v>19</v>
      </c>
      <c r="V36" s="11" t="s">
        <v>20</v>
      </c>
      <c r="W36" s="194" t="s">
        <v>21</v>
      </c>
      <c r="X36" s="195" t="s">
        <v>22</v>
      </c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  <row r="37" spans="2:61" ht="15" customHeight="1" x14ac:dyDescent="0.2">
      <c r="B37" s="12" t="s">
        <v>78</v>
      </c>
      <c r="C37" s="100"/>
      <c r="D37" s="31"/>
      <c r="E37" s="12"/>
      <c r="F37" s="32"/>
      <c r="G37" s="33"/>
      <c r="H37" s="34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76"/>
      <c r="T37" s="77"/>
      <c r="U37" s="38"/>
      <c r="V37" s="39"/>
      <c r="W37" s="78"/>
      <c r="X37" s="180"/>
    </row>
    <row r="38" spans="2:61" ht="15" customHeight="1" x14ac:dyDescent="0.2">
      <c r="B38" s="13" t="s">
        <v>79</v>
      </c>
      <c r="C38" s="101"/>
      <c r="D38" s="42"/>
      <c r="E38" s="13"/>
      <c r="F38" s="43"/>
      <c r="G38" s="44"/>
      <c r="H38" s="45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80"/>
      <c r="T38" s="81"/>
      <c r="U38" s="49"/>
      <c r="V38" s="50"/>
      <c r="W38" s="82"/>
      <c r="X38" s="181"/>
    </row>
    <row r="39" spans="2:61" ht="15" customHeight="1" x14ac:dyDescent="0.2">
      <c r="B39" s="13" t="s">
        <v>80</v>
      </c>
      <c r="C39" s="101"/>
      <c r="D39" s="42"/>
      <c r="E39" s="13"/>
      <c r="F39" s="43"/>
      <c r="G39" s="44"/>
      <c r="H39" s="45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80"/>
      <c r="T39" s="81"/>
      <c r="U39" s="49"/>
      <c r="V39" s="50"/>
      <c r="W39" s="82"/>
      <c r="X39" s="181"/>
    </row>
    <row r="40" spans="2:61" ht="15" customHeight="1" x14ac:dyDescent="0.2">
      <c r="B40" s="13" t="s">
        <v>81</v>
      </c>
      <c r="C40" s="101"/>
      <c r="D40" s="42"/>
      <c r="E40" s="13"/>
      <c r="F40" s="43"/>
      <c r="G40" s="44"/>
      <c r="H40" s="45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80"/>
      <c r="T40" s="81"/>
      <c r="U40" s="49"/>
      <c r="V40" s="50"/>
      <c r="W40" s="82"/>
      <c r="X40" s="181"/>
    </row>
    <row r="41" spans="2:61" ht="15" customHeight="1" x14ac:dyDescent="0.2">
      <c r="B41" s="13" t="s">
        <v>82</v>
      </c>
      <c r="C41" s="101"/>
      <c r="D41" s="42"/>
      <c r="E41" s="13"/>
      <c r="F41" s="43"/>
      <c r="G41" s="44"/>
      <c r="H41" s="45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80"/>
      <c r="T41" s="81"/>
      <c r="U41" s="49"/>
      <c r="V41" s="50"/>
      <c r="W41" s="82"/>
      <c r="X41" s="181"/>
    </row>
    <row r="42" spans="2:61" ht="15" customHeight="1" x14ac:dyDescent="0.2">
      <c r="B42" s="13" t="s">
        <v>83</v>
      </c>
      <c r="C42" s="101"/>
      <c r="D42" s="42"/>
      <c r="E42" s="13"/>
      <c r="F42" s="43"/>
      <c r="G42" s="44"/>
      <c r="H42" s="45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80"/>
      <c r="T42" s="81"/>
      <c r="U42" s="49"/>
      <c r="V42" s="50"/>
      <c r="W42" s="82"/>
      <c r="X42" s="181"/>
    </row>
    <row r="43" spans="2:61" ht="15" customHeight="1" x14ac:dyDescent="0.2">
      <c r="B43" s="13" t="s">
        <v>84</v>
      </c>
      <c r="C43" s="101"/>
      <c r="D43" s="42"/>
      <c r="E43" s="13"/>
      <c r="F43" s="43"/>
      <c r="G43" s="44"/>
      <c r="H43" s="45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80"/>
      <c r="T43" s="81"/>
      <c r="U43" s="49"/>
      <c r="V43" s="50"/>
      <c r="W43" s="82"/>
      <c r="X43" s="181"/>
    </row>
    <row r="44" spans="2:61" ht="15" customHeight="1" x14ac:dyDescent="0.2">
      <c r="B44" s="13" t="s">
        <v>85</v>
      </c>
      <c r="C44" s="101"/>
      <c r="D44" s="42"/>
      <c r="E44" s="13"/>
      <c r="F44" s="43"/>
      <c r="G44" s="44"/>
      <c r="H44" s="45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80"/>
      <c r="T44" s="81"/>
      <c r="U44" s="49"/>
      <c r="V44" s="50"/>
      <c r="W44" s="82"/>
      <c r="X44" s="181"/>
    </row>
    <row r="45" spans="2:61" ht="15" customHeight="1" x14ac:dyDescent="0.2">
      <c r="B45" s="13" t="s">
        <v>86</v>
      </c>
      <c r="C45" s="101"/>
      <c r="D45" s="42"/>
      <c r="E45" s="13"/>
      <c r="F45" s="43"/>
      <c r="G45" s="44"/>
      <c r="H45" s="45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80"/>
      <c r="T45" s="81"/>
      <c r="U45" s="49"/>
      <c r="V45" s="50"/>
      <c r="W45" s="82"/>
      <c r="X45" s="181"/>
    </row>
    <row r="46" spans="2:61" ht="15" customHeight="1" thickBot="1" x14ac:dyDescent="0.25">
      <c r="B46" s="14" t="s">
        <v>87</v>
      </c>
      <c r="C46" s="102"/>
      <c r="D46" s="53"/>
      <c r="E46" s="14"/>
      <c r="F46" s="54"/>
      <c r="G46" s="55"/>
      <c r="H46" s="56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84"/>
      <c r="T46" s="85"/>
      <c r="U46" s="58"/>
      <c r="V46" s="59"/>
      <c r="W46" s="86"/>
      <c r="X46" s="182"/>
    </row>
    <row r="47" spans="2:61" ht="15" customHeight="1" thickBot="1" x14ac:dyDescent="0.25">
      <c r="B47" s="60"/>
      <c r="C47" s="148"/>
      <c r="D47" s="173"/>
      <c r="E47" s="171"/>
      <c r="F47" s="172"/>
      <c r="G47" s="64"/>
      <c r="H47" s="65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7"/>
      <c r="T47" s="190">
        <f>SUM(T37:T46)</f>
        <v>0</v>
      </c>
      <c r="U47" s="191" t="e">
        <f>AVERAGE(U37:U46)</f>
        <v>#DIV/0!</v>
      </c>
      <c r="V47" s="192">
        <f>SUM(V37:V46)</f>
        <v>0</v>
      </c>
      <c r="W47" s="191" t="e">
        <f>AVERAGE(W37:W46)</f>
        <v>#DIV/0!</v>
      </c>
      <c r="X47" s="193" t="e">
        <f>AVERAGE(X37:X46)</f>
        <v>#DIV/0!</v>
      </c>
    </row>
    <row r="48" spans="2:61" ht="15" customHeight="1" x14ac:dyDescent="0.2">
      <c r="B48" s="15"/>
      <c r="C48" s="15"/>
      <c r="D48" s="15"/>
      <c r="E48" s="15"/>
      <c r="F48" s="15"/>
      <c r="G48" s="1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6"/>
      <c r="U48" s="177"/>
      <c r="V48" s="176"/>
      <c r="W48" s="177"/>
      <c r="X48" s="179"/>
    </row>
    <row r="49" spans="2:24" ht="11.25" customHeight="1" x14ac:dyDescent="0.2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72"/>
      <c r="V49" s="15"/>
      <c r="W49" s="72"/>
      <c r="X49" s="73"/>
    </row>
    <row r="50" spans="2:24" ht="15.75" customHeight="1" thickBot="1" x14ac:dyDescent="0.25">
      <c r="B50" s="17" t="s">
        <v>72</v>
      </c>
      <c r="C50" s="17"/>
      <c r="U50" s="90"/>
      <c r="V50" s="90"/>
      <c r="W50" s="90"/>
    </row>
    <row r="51" spans="2:24" ht="15.75" customHeight="1" x14ac:dyDescent="0.2">
      <c r="B51" s="326" t="s">
        <v>1</v>
      </c>
      <c r="C51" s="328" t="s">
        <v>77</v>
      </c>
      <c r="D51" s="330" t="s">
        <v>2</v>
      </c>
      <c r="E51" s="326" t="s">
        <v>24</v>
      </c>
      <c r="F51" s="347" t="s">
        <v>4</v>
      </c>
      <c r="G51" s="330" t="s">
        <v>5</v>
      </c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32"/>
      <c r="T51" s="351" t="s">
        <v>6</v>
      </c>
      <c r="U51" s="335"/>
      <c r="V51" s="335"/>
      <c r="W51" s="335"/>
      <c r="X51" s="336"/>
    </row>
    <row r="52" spans="2:24" ht="33" customHeight="1" thickBot="1" x14ac:dyDescent="0.25">
      <c r="B52" s="342"/>
      <c r="C52" s="329"/>
      <c r="D52" s="331"/>
      <c r="E52" s="327"/>
      <c r="F52" s="346"/>
      <c r="G52" s="7" t="s">
        <v>98</v>
      </c>
      <c r="H52" s="11" t="s">
        <v>26</v>
      </c>
      <c r="I52" s="9" t="s">
        <v>27</v>
      </c>
      <c r="J52" s="9" t="s">
        <v>28</v>
      </c>
      <c r="K52" s="9" t="s">
        <v>29</v>
      </c>
      <c r="L52" s="9" t="s">
        <v>30</v>
      </c>
      <c r="M52" s="9" t="s">
        <v>31</v>
      </c>
      <c r="N52" s="9" t="s">
        <v>32</v>
      </c>
      <c r="O52" s="9" t="s">
        <v>33</v>
      </c>
      <c r="P52" s="9" t="s">
        <v>34</v>
      </c>
      <c r="Q52" s="9" t="s">
        <v>35</v>
      </c>
      <c r="R52" s="9" t="s">
        <v>36</v>
      </c>
      <c r="S52" s="10">
        <v>70</v>
      </c>
      <c r="T52" s="9" t="s">
        <v>18</v>
      </c>
      <c r="U52" s="9" t="s">
        <v>19</v>
      </c>
      <c r="V52" s="11" t="s">
        <v>20</v>
      </c>
      <c r="W52" s="194" t="s">
        <v>21</v>
      </c>
      <c r="X52" s="195" t="s">
        <v>22</v>
      </c>
    </row>
    <row r="53" spans="2:24" ht="15.75" customHeight="1" x14ac:dyDescent="0.2">
      <c r="B53" s="12" t="s">
        <v>78</v>
      </c>
      <c r="C53" s="100"/>
      <c r="D53" s="31"/>
      <c r="E53" s="12"/>
      <c r="F53" s="32"/>
      <c r="G53" s="33"/>
      <c r="H53" s="34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76"/>
      <c r="T53" s="77"/>
      <c r="U53" s="38"/>
      <c r="V53" s="39"/>
      <c r="W53" s="78"/>
      <c r="X53" s="180"/>
    </row>
    <row r="54" spans="2:24" ht="15.75" customHeight="1" x14ac:dyDescent="0.2">
      <c r="B54" s="13" t="s">
        <v>79</v>
      </c>
      <c r="C54" s="101"/>
      <c r="D54" s="42"/>
      <c r="E54" s="13"/>
      <c r="F54" s="43"/>
      <c r="G54" s="44"/>
      <c r="H54" s="45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80"/>
      <c r="T54" s="81"/>
      <c r="U54" s="49"/>
      <c r="V54" s="50"/>
      <c r="W54" s="82"/>
      <c r="X54" s="181"/>
    </row>
    <row r="55" spans="2:24" ht="15.75" customHeight="1" x14ac:dyDescent="0.2">
      <c r="B55" s="13" t="s">
        <v>80</v>
      </c>
      <c r="C55" s="101"/>
      <c r="D55" s="42"/>
      <c r="E55" s="13"/>
      <c r="F55" s="43"/>
      <c r="G55" s="44"/>
      <c r="H55" s="45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80"/>
      <c r="T55" s="81"/>
      <c r="U55" s="49"/>
      <c r="V55" s="50"/>
      <c r="W55" s="82"/>
      <c r="X55" s="181"/>
    </row>
    <row r="56" spans="2:24" ht="15.75" customHeight="1" x14ac:dyDescent="0.2">
      <c r="B56" s="13" t="s">
        <v>81</v>
      </c>
      <c r="C56" s="101"/>
      <c r="D56" s="42"/>
      <c r="E56" s="13"/>
      <c r="F56" s="43"/>
      <c r="G56" s="44"/>
      <c r="H56" s="45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80"/>
      <c r="T56" s="81"/>
      <c r="U56" s="49"/>
      <c r="V56" s="50"/>
      <c r="W56" s="82"/>
      <c r="X56" s="181"/>
    </row>
    <row r="57" spans="2:24" ht="15.75" customHeight="1" x14ac:dyDescent="0.2">
      <c r="B57" s="13" t="s">
        <v>82</v>
      </c>
      <c r="C57" s="101"/>
      <c r="D57" s="42"/>
      <c r="E57" s="13"/>
      <c r="F57" s="43"/>
      <c r="G57" s="44"/>
      <c r="H57" s="45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80"/>
      <c r="T57" s="81"/>
      <c r="U57" s="49"/>
      <c r="V57" s="50"/>
      <c r="W57" s="82"/>
      <c r="X57" s="181"/>
    </row>
    <row r="58" spans="2:24" ht="15.75" customHeight="1" x14ac:dyDescent="0.2">
      <c r="B58" s="13" t="s">
        <v>83</v>
      </c>
      <c r="C58" s="101"/>
      <c r="D58" s="42"/>
      <c r="E58" s="13"/>
      <c r="F58" s="43"/>
      <c r="G58" s="44"/>
      <c r="H58" s="45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80"/>
      <c r="T58" s="81"/>
      <c r="U58" s="49"/>
      <c r="V58" s="50"/>
      <c r="W58" s="82"/>
      <c r="X58" s="181"/>
    </row>
    <row r="59" spans="2:24" ht="15.75" customHeight="1" x14ac:dyDescent="0.2">
      <c r="B59" s="13" t="s">
        <v>84</v>
      </c>
      <c r="C59" s="101"/>
      <c r="D59" s="42"/>
      <c r="E59" s="13"/>
      <c r="F59" s="43"/>
      <c r="G59" s="44"/>
      <c r="H59" s="45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80"/>
      <c r="T59" s="81"/>
      <c r="U59" s="49"/>
      <c r="V59" s="50"/>
      <c r="W59" s="82"/>
      <c r="X59" s="181"/>
    </row>
    <row r="60" spans="2:24" ht="15.75" customHeight="1" x14ac:dyDescent="0.2">
      <c r="B60" s="13" t="s">
        <v>85</v>
      </c>
      <c r="C60" s="101"/>
      <c r="D60" s="42"/>
      <c r="E60" s="13"/>
      <c r="F60" s="43"/>
      <c r="G60" s="44"/>
      <c r="H60" s="45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80"/>
      <c r="T60" s="81"/>
      <c r="U60" s="49"/>
      <c r="V60" s="50"/>
      <c r="W60" s="82"/>
      <c r="X60" s="181"/>
    </row>
    <row r="61" spans="2:24" ht="15.75" customHeight="1" x14ac:dyDescent="0.2">
      <c r="B61" s="13" t="s">
        <v>86</v>
      </c>
      <c r="C61" s="101"/>
      <c r="D61" s="42"/>
      <c r="E61" s="13"/>
      <c r="F61" s="43"/>
      <c r="G61" s="44"/>
      <c r="H61" s="45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80"/>
      <c r="T61" s="81"/>
      <c r="U61" s="49"/>
      <c r="V61" s="50"/>
      <c r="W61" s="82"/>
      <c r="X61" s="181"/>
    </row>
    <row r="62" spans="2:24" ht="15.75" customHeight="1" thickBot="1" x14ac:dyDescent="0.25">
      <c r="B62" s="14" t="s">
        <v>87</v>
      </c>
      <c r="C62" s="102"/>
      <c r="D62" s="53"/>
      <c r="E62" s="14"/>
      <c r="F62" s="54"/>
      <c r="G62" s="55"/>
      <c r="H62" s="56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84"/>
      <c r="T62" s="85"/>
      <c r="U62" s="58"/>
      <c r="V62" s="59"/>
      <c r="W62" s="86"/>
      <c r="X62" s="182"/>
    </row>
    <row r="63" spans="2:24" ht="15.75" customHeight="1" thickBot="1" x14ac:dyDescent="0.25">
      <c r="B63" s="96"/>
      <c r="C63" s="148"/>
      <c r="D63" s="173"/>
      <c r="E63" s="171"/>
      <c r="F63" s="172"/>
      <c r="G63" s="64"/>
      <c r="H63" s="65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7"/>
      <c r="T63" s="190">
        <f>SUM(T53:T62)</f>
        <v>0</v>
      </c>
      <c r="U63" s="191" t="e">
        <f>AVERAGE(U53:U62)</f>
        <v>#DIV/0!</v>
      </c>
      <c r="V63" s="192">
        <f>SUM(V53:V62)</f>
        <v>0</v>
      </c>
      <c r="W63" s="191" t="e">
        <f>AVERAGE(W53:W62)</f>
        <v>#DIV/0!</v>
      </c>
      <c r="X63" s="193" t="e">
        <f>AVERAGE(X53:X62)</f>
        <v>#DIV/0!</v>
      </c>
    </row>
    <row r="64" spans="2:24" ht="15.75" customHeight="1" x14ac:dyDescent="0.2">
      <c r="B64" s="3"/>
      <c r="C64" s="3"/>
      <c r="D64" s="3"/>
      <c r="E64" s="15"/>
      <c r="F64" s="3"/>
      <c r="G64" s="3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6"/>
      <c r="U64" s="177"/>
      <c r="V64" s="176"/>
      <c r="W64" s="177"/>
      <c r="X64" s="179"/>
    </row>
    <row r="65" spans="2:61" ht="75" customHeight="1" x14ac:dyDescent="0.2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72"/>
      <c r="V65" s="15"/>
      <c r="W65" s="72"/>
      <c r="X65" s="73"/>
    </row>
    <row r="66" spans="2:61" ht="17.25" customHeight="1" thickBot="1" x14ac:dyDescent="0.25">
      <c r="B66" s="17" t="s">
        <v>37</v>
      </c>
      <c r="C66" s="17"/>
      <c r="U66" s="90"/>
      <c r="V66" s="90"/>
      <c r="W66" s="90"/>
    </row>
    <row r="67" spans="2:61" s="6" customFormat="1" ht="11.25" customHeight="1" x14ac:dyDescent="0.2">
      <c r="B67" s="326" t="s">
        <v>1</v>
      </c>
      <c r="C67" s="328" t="s">
        <v>77</v>
      </c>
      <c r="D67" s="330" t="s">
        <v>2</v>
      </c>
      <c r="E67" s="326" t="s">
        <v>24</v>
      </c>
      <c r="F67" s="347" t="s">
        <v>4</v>
      </c>
      <c r="G67" s="330" t="s">
        <v>5</v>
      </c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32"/>
      <c r="T67" s="351" t="s">
        <v>6</v>
      </c>
      <c r="U67" s="335"/>
      <c r="V67" s="335"/>
      <c r="W67" s="335"/>
      <c r="X67" s="336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</row>
    <row r="68" spans="2:61" s="6" customFormat="1" ht="31.5" customHeight="1" thickBot="1" x14ac:dyDescent="0.25">
      <c r="B68" s="342"/>
      <c r="C68" s="329"/>
      <c r="D68" s="331"/>
      <c r="E68" s="327"/>
      <c r="F68" s="346"/>
      <c r="G68" s="7" t="s">
        <v>98</v>
      </c>
      <c r="H68" s="11" t="s">
        <v>38</v>
      </c>
      <c r="I68" s="9" t="s">
        <v>39</v>
      </c>
      <c r="J68" s="9" t="s">
        <v>40</v>
      </c>
      <c r="K68" s="9" t="s">
        <v>41</v>
      </c>
      <c r="L68" s="9" t="s">
        <v>42</v>
      </c>
      <c r="M68" s="9" t="s">
        <v>43</v>
      </c>
      <c r="N68" s="9" t="s">
        <v>44</v>
      </c>
      <c r="O68" s="9" t="s">
        <v>45</v>
      </c>
      <c r="P68" s="9" t="s">
        <v>29</v>
      </c>
      <c r="Q68" s="9" t="s">
        <v>46</v>
      </c>
      <c r="R68" s="9" t="s">
        <v>47</v>
      </c>
      <c r="S68" s="10">
        <v>50</v>
      </c>
      <c r="T68" s="9" t="s">
        <v>18</v>
      </c>
      <c r="U68" s="9" t="s">
        <v>19</v>
      </c>
      <c r="V68" s="11" t="s">
        <v>20</v>
      </c>
      <c r="W68" s="194" t="s">
        <v>21</v>
      </c>
      <c r="X68" s="195" t="s">
        <v>22</v>
      </c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</row>
    <row r="69" spans="2:61" ht="14.25" customHeight="1" x14ac:dyDescent="0.2">
      <c r="B69" s="12" t="s">
        <v>78</v>
      </c>
      <c r="C69" s="100"/>
      <c r="D69" s="31"/>
      <c r="E69" s="12"/>
      <c r="F69" s="32"/>
      <c r="G69" s="33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76"/>
      <c r="T69" s="77"/>
      <c r="U69" s="38"/>
      <c r="V69" s="39"/>
      <c r="W69" s="78"/>
      <c r="X69" s="180"/>
    </row>
    <row r="70" spans="2:61" ht="14.25" customHeight="1" x14ac:dyDescent="0.2">
      <c r="B70" s="13" t="s">
        <v>79</v>
      </c>
      <c r="C70" s="101"/>
      <c r="D70" s="42"/>
      <c r="E70" s="13"/>
      <c r="F70" s="43"/>
      <c r="G70" s="44"/>
      <c r="H70" s="45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80"/>
      <c r="T70" s="81"/>
      <c r="U70" s="49"/>
      <c r="V70" s="50"/>
      <c r="W70" s="82"/>
      <c r="X70" s="181"/>
    </row>
    <row r="71" spans="2:61" ht="14.25" customHeight="1" x14ac:dyDescent="0.2">
      <c r="B71" s="13" t="s">
        <v>80</v>
      </c>
      <c r="C71" s="101"/>
      <c r="D71" s="42"/>
      <c r="E71" s="13"/>
      <c r="F71" s="43"/>
      <c r="G71" s="44"/>
      <c r="H71" s="45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80"/>
      <c r="T71" s="81"/>
      <c r="U71" s="49"/>
      <c r="V71" s="50"/>
      <c r="W71" s="82"/>
      <c r="X71" s="181"/>
    </row>
    <row r="72" spans="2:61" ht="14.25" customHeight="1" x14ac:dyDescent="0.2">
      <c r="B72" s="13" t="s">
        <v>81</v>
      </c>
      <c r="C72" s="101"/>
      <c r="D72" s="42"/>
      <c r="E72" s="13"/>
      <c r="F72" s="43"/>
      <c r="G72" s="44"/>
      <c r="H72" s="45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80"/>
      <c r="T72" s="81"/>
      <c r="U72" s="49"/>
      <c r="V72" s="50"/>
      <c r="W72" s="82"/>
      <c r="X72" s="181"/>
    </row>
    <row r="73" spans="2:61" ht="14.25" customHeight="1" x14ac:dyDescent="0.2">
      <c r="B73" s="13" t="s">
        <v>82</v>
      </c>
      <c r="C73" s="101"/>
      <c r="D73" s="42"/>
      <c r="E73" s="13"/>
      <c r="F73" s="43"/>
      <c r="G73" s="44"/>
      <c r="H73" s="45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80"/>
      <c r="T73" s="81"/>
      <c r="U73" s="49"/>
      <c r="V73" s="50"/>
      <c r="W73" s="82"/>
      <c r="X73" s="181"/>
    </row>
    <row r="74" spans="2:61" ht="14.25" customHeight="1" x14ac:dyDescent="0.2">
      <c r="B74" s="13" t="s">
        <v>83</v>
      </c>
      <c r="C74" s="101"/>
      <c r="D74" s="42"/>
      <c r="E74" s="13"/>
      <c r="F74" s="43"/>
      <c r="G74" s="44"/>
      <c r="H74" s="45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80"/>
      <c r="T74" s="81"/>
      <c r="U74" s="49"/>
      <c r="V74" s="50"/>
      <c r="W74" s="82"/>
      <c r="X74" s="181"/>
    </row>
    <row r="75" spans="2:61" ht="14.25" customHeight="1" x14ac:dyDescent="0.2">
      <c r="B75" s="13" t="s">
        <v>84</v>
      </c>
      <c r="C75" s="101"/>
      <c r="D75" s="42"/>
      <c r="E75" s="13"/>
      <c r="F75" s="43"/>
      <c r="G75" s="44"/>
      <c r="H75" s="45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80"/>
      <c r="T75" s="81"/>
      <c r="U75" s="49"/>
      <c r="V75" s="50"/>
      <c r="W75" s="82"/>
      <c r="X75" s="181"/>
    </row>
    <row r="76" spans="2:61" ht="14.25" customHeight="1" x14ac:dyDescent="0.2">
      <c r="B76" s="13" t="s">
        <v>85</v>
      </c>
      <c r="C76" s="101"/>
      <c r="D76" s="42"/>
      <c r="E76" s="13"/>
      <c r="F76" s="43"/>
      <c r="G76" s="44"/>
      <c r="H76" s="45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80"/>
      <c r="T76" s="81"/>
      <c r="U76" s="49"/>
      <c r="V76" s="50"/>
      <c r="W76" s="82"/>
      <c r="X76" s="181"/>
    </row>
    <row r="77" spans="2:61" ht="14.25" customHeight="1" x14ac:dyDescent="0.2">
      <c r="B77" s="13" t="s">
        <v>86</v>
      </c>
      <c r="C77" s="101"/>
      <c r="D77" s="42"/>
      <c r="E77" s="13"/>
      <c r="F77" s="43"/>
      <c r="G77" s="44"/>
      <c r="H77" s="45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80"/>
      <c r="T77" s="81"/>
      <c r="U77" s="49"/>
      <c r="V77" s="50"/>
      <c r="W77" s="82"/>
      <c r="X77" s="181"/>
    </row>
    <row r="78" spans="2:61" ht="14.25" customHeight="1" thickBot="1" x14ac:dyDescent="0.25">
      <c r="B78" s="14" t="s">
        <v>87</v>
      </c>
      <c r="C78" s="102"/>
      <c r="D78" s="53"/>
      <c r="E78" s="14"/>
      <c r="F78" s="54"/>
      <c r="G78" s="55"/>
      <c r="H78" s="56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84"/>
      <c r="T78" s="85"/>
      <c r="U78" s="58"/>
      <c r="V78" s="59"/>
      <c r="W78" s="86"/>
      <c r="X78" s="182"/>
    </row>
    <row r="79" spans="2:61" ht="14.25" customHeight="1" thickBot="1" x14ac:dyDescent="0.25">
      <c r="B79" s="96"/>
      <c r="C79" s="148"/>
      <c r="D79" s="173"/>
      <c r="E79" s="171"/>
      <c r="F79" s="172"/>
      <c r="G79" s="64"/>
      <c r="H79" s="65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7"/>
      <c r="T79" s="190">
        <f>SUM(T69:T78)</f>
        <v>0</v>
      </c>
      <c r="U79" s="191" t="e">
        <f>AVERAGE(U69:U78)</f>
        <v>#DIV/0!</v>
      </c>
      <c r="V79" s="192">
        <f>SUM(V69:V78)</f>
        <v>0</v>
      </c>
      <c r="W79" s="191" t="e">
        <f>AVERAGE(W69:W78)</f>
        <v>#DIV/0!</v>
      </c>
      <c r="X79" s="193" t="e">
        <f>AVERAGE(X69:X78)</f>
        <v>#DIV/0!</v>
      </c>
    </row>
    <row r="80" spans="2:61" ht="14.25" customHeight="1" x14ac:dyDescent="0.2">
      <c r="B80" s="3"/>
      <c r="C80" s="3"/>
      <c r="D80" s="3"/>
      <c r="E80" s="15"/>
      <c r="F80" s="3"/>
      <c r="G80" s="3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6"/>
      <c r="U80" s="177"/>
      <c r="V80" s="176"/>
      <c r="W80" s="177"/>
      <c r="X80" s="179"/>
    </row>
    <row r="81" spans="2:61" ht="73.5" customHeight="1" x14ac:dyDescent="0.2">
      <c r="U81" s="90"/>
      <c r="V81" s="90"/>
      <c r="W81" s="90"/>
    </row>
    <row r="82" spans="2:61" ht="13.5" customHeight="1" thickBot="1" x14ac:dyDescent="0.25">
      <c r="B82" s="17" t="s">
        <v>48</v>
      </c>
      <c r="C82" s="17"/>
      <c r="U82" s="90"/>
      <c r="V82" s="90"/>
      <c r="W82" s="90"/>
    </row>
    <row r="83" spans="2:61" s="6" customFormat="1" ht="15" customHeight="1" x14ac:dyDescent="0.2">
      <c r="B83" s="326" t="s">
        <v>1</v>
      </c>
      <c r="C83" s="328" t="s">
        <v>77</v>
      </c>
      <c r="D83" s="330" t="s">
        <v>2</v>
      </c>
      <c r="E83" s="326" t="s">
        <v>24</v>
      </c>
      <c r="F83" s="332" t="s">
        <v>4</v>
      </c>
      <c r="G83" s="330" t="s">
        <v>5</v>
      </c>
      <c r="H83" s="347"/>
      <c r="I83" s="347"/>
      <c r="J83" s="347"/>
      <c r="K83" s="347"/>
      <c r="L83" s="347"/>
      <c r="M83" s="347"/>
      <c r="N83" s="347"/>
      <c r="O83" s="347"/>
      <c r="P83" s="347"/>
      <c r="Q83" s="347"/>
      <c r="R83" s="347"/>
      <c r="S83" s="332"/>
      <c r="T83" s="334" t="s">
        <v>6</v>
      </c>
      <c r="U83" s="335"/>
      <c r="V83" s="335"/>
      <c r="W83" s="335"/>
      <c r="X83" s="336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</row>
    <row r="84" spans="2:61" s="6" customFormat="1" ht="27.75" customHeight="1" thickBot="1" x14ac:dyDescent="0.25">
      <c r="B84" s="342"/>
      <c r="C84" s="329"/>
      <c r="D84" s="331"/>
      <c r="E84" s="327"/>
      <c r="F84" s="333"/>
      <c r="G84" s="7" t="s">
        <v>98</v>
      </c>
      <c r="H84" s="11" t="s">
        <v>26</v>
      </c>
      <c r="I84" s="9" t="s">
        <v>27</v>
      </c>
      <c r="J84" s="9" t="s">
        <v>28</v>
      </c>
      <c r="K84" s="9" t="s">
        <v>29</v>
      </c>
      <c r="L84" s="9" t="s">
        <v>30</v>
      </c>
      <c r="M84" s="9" t="s">
        <v>31</v>
      </c>
      <c r="N84" s="9" t="s">
        <v>32</v>
      </c>
      <c r="O84" s="9" t="s">
        <v>33</v>
      </c>
      <c r="P84" s="18" t="s">
        <v>34</v>
      </c>
      <c r="Q84" s="9" t="s">
        <v>35</v>
      </c>
      <c r="R84" s="9" t="s">
        <v>36</v>
      </c>
      <c r="S84" s="10">
        <v>70</v>
      </c>
      <c r="T84" s="9" t="s">
        <v>18</v>
      </c>
      <c r="U84" s="9" t="s">
        <v>19</v>
      </c>
      <c r="V84" s="11" t="s">
        <v>20</v>
      </c>
      <c r="W84" s="194" t="s">
        <v>21</v>
      </c>
      <c r="X84" s="195" t="s">
        <v>22</v>
      </c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</row>
    <row r="85" spans="2:61" ht="15" customHeight="1" x14ac:dyDescent="0.2">
      <c r="B85" s="12" t="s">
        <v>78</v>
      </c>
      <c r="C85" s="100"/>
      <c r="D85" s="31"/>
      <c r="E85" s="12"/>
      <c r="F85" s="32"/>
      <c r="G85" s="33"/>
      <c r="H85" s="34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76"/>
      <c r="T85" s="77"/>
      <c r="U85" s="38"/>
      <c r="V85" s="39"/>
      <c r="W85" s="78"/>
      <c r="X85" s="180"/>
    </row>
    <row r="86" spans="2:61" ht="15" customHeight="1" x14ac:dyDescent="0.2">
      <c r="B86" s="13" t="s">
        <v>79</v>
      </c>
      <c r="C86" s="101"/>
      <c r="D86" s="42"/>
      <c r="E86" s="13"/>
      <c r="F86" s="43"/>
      <c r="G86" s="44"/>
      <c r="H86" s="45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80"/>
      <c r="T86" s="81"/>
      <c r="U86" s="49"/>
      <c r="V86" s="50"/>
      <c r="W86" s="82"/>
      <c r="X86" s="181"/>
    </row>
    <row r="87" spans="2:61" ht="15" customHeight="1" x14ac:dyDescent="0.2">
      <c r="B87" s="13" t="s">
        <v>80</v>
      </c>
      <c r="C87" s="101"/>
      <c r="D87" s="42"/>
      <c r="E87" s="13"/>
      <c r="F87" s="43"/>
      <c r="G87" s="44"/>
      <c r="H87" s="45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80"/>
      <c r="T87" s="81"/>
      <c r="U87" s="49"/>
      <c r="V87" s="50"/>
      <c r="W87" s="82"/>
      <c r="X87" s="181"/>
    </row>
    <row r="88" spans="2:61" ht="15" customHeight="1" x14ac:dyDescent="0.2">
      <c r="B88" s="13" t="s">
        <v>81</v>
      </c>
      <c r="C88" s="101"/>
      <c r="D88" s="42"/>
      <c r="E88" s="13"/>
      <c r="F88" s="43"/>
      <c r="G88" s="44"/>
      <c r="H88" s="45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80"/>
      <c r="T88" s="81"/>
      <c r="U88" s="49"/>
      <c r="V88" s="50"/>
      <c r="W88" s="82"/>
      <c r="X88" s="181"/>
    </row>
    <row r="89" spans="2:61" ht="15" customHeight="1" x14ac:dyDescent="0.2">
      <c r="B89" s="13" t="s">
        <v>82</v>
      </c>
      <c r="C89" s="101"/>
      <c r="D89" s="42"/>
      <c r="E89" s="13"/>
      <c r="F89" s="43"/>
      <c r="G89" s="44"/>
      <c r="H89" s="45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80"/>
      <c r="T89" s="81"/>
      <c r="U89" s="49"/>
      <c r="V89" s="50"/>
      <c r="W89" s="82"/>
      <c r="X89" s="181"/>
    </row>
    <row r="90" spans="2:61" ht="15" customHeight="1" x14ac:dyDescent="0.2">
      <c r="B90" s="13" t="s">
        <v>83</v>
      </c>
      <c r="C90" s="101"/>
      <c r="D90" s="42"/>
      <c r="E90" s="13"/>
      <c r="F90" s="43"/>
      <c r="G90" s="44"/>
      <c r="H90" s="45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80"/>
      <c r="T90" s="81"/>
      <c r="U90" s="49"/>
      <c r="V90" s="50"/>
      <c r="W90" s="82"/>
      <c r="X90" s="181"/>
    </row>
    <row r="91" spans="2:61" ht="15" customHeight="1" x14ac:dyDescent="0.2">
      <c r="B91" s="13" t="s">
        <v>84</v>
      </c>
      <c r="C91" s="101"/>
      <c r="D91" s="42"/>
      <c r="E91" s="13"/>
      <c r="F91" s="43"/>
      <c r="G91" s="44"/>
      <c r="H91" s="45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80"/>
      <c r="T91" s="81"/>
      <c r="U91" s="49"/>
      <c r="V91" s="50"/>
      <c r="W91" s="82"/>
      <c r="X91" s="181"/>
    </row>
    <row r="92" spans="2:61" ht="15" customHeight="1" x14ac:dyDescent="0.2">
      <c r="B92" s="13" t="s">
        <v>85</v>
      </c>
      <c r="C92" s="101"/>
      <c r="D92" s="42"/>
      <c r="E92" s="13"/>
      <c r="F92" s="43"/>
      <c r="G92" s="44"/>
      <c r="H92" s="45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80"/>
      <c r="T92" s="81"/>
      <c r="U92" s="49"/>
      <c r="V92" s="50"/>
      <c r="W92" s="82"/>
      <c r="X92" s="181"/>
    </row>
    <row r="93" spans="2:61" ht="15" customHeight="1" x14ac:dyDescent="0.2">
      <c r="B93" s="13" t="s">
        <v>86</v>
      </c>
      <c r="C93" s="101"/>
      <c r="D93" s="42"/>
      <c r="E93" s="13"/>
      <c r="F93" s="43"/>
      <c r="G93" s="44"/>
      <c r="H93" s="45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80"/>
      <c r="T93" s="81"/>
      <c r="U93" s="49"/>
      <c r="V93" s="50"/>
      <c r="W93" s="82"/>
      <c r="X93" s="181"/>
    </row>
    <row r="94" spans="2:61" ht="15" customHeight="1" thickBot="1" x14ac:dyDescent="0.25">
      <c r="B94" s="14" t="s">
        <v>87</v>
      </c>
      <c r="C94" s="102"/>
      <c r="D94" s="53"/>
      <c r="E94" s="14"/>
      <c r="F94" s="54"/>
      <c r="G94" s="55"/>
      <c r="H94" s="56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84"/>
      <c r="T94" s="85"/>
      <c r="U94" s="58"/>
      <c r="V94" s="59"/>
      <c r="W94" s="86"/>
      <c r="X94" s="182"/>
    </row>
    <row r="95" spans="2:61" ht="15" customHeight="1" thickBot="1" x14ac:dyDescent="0.25">
      <c r="B95" s="96"/>
      <c r="C95" s="148"/>
      <c r="D95" s="173"/>
      <c r="E95" s="171"/>
      <c r="F95" s="172"/>
      <c r="G95" s="64"/>
      <c r="H95" s="65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7"/>
      <c r="T95" s="190">
        <f>SUM(T85:T94)</f>
        <v>0</v>
      </c>
      <c r="U95" s="191" t="e">
        <f>AVERAGE(U85:U94)</f>
        <v>#DIV/0!</v>
      </c>
      <c r="V95" s="192">
        <f>SUM(V85:V94)</f>
        <v>0</v>
      </c>
      <c r="W95" s="191" t="e">
        <f>AVERAGE(W85:W94)</f>
        <v>#DIV/0!</v>
      </c>
      <c r="X95" s="193" t="e">
        <f>AVERAGE(X85:X94)</f>
        <v>#DIV/0!</v>
      </c>
    </row>
    <row r="96" spans="2:61" ht="15" customHeight="1" x14ac:dyDescent="0.2">
      <c r="B96" s="3"/>
      <c r="C96" s="3"/>
      <c r="D96" s="3"/>
      <c r="E96" s="1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76"/>
      <c r="U96" s="177"/>
      <c r="V96" s="176"/>
      <c r="W96" s="177"/>
      <c r="X96" s="179"/>
    </row>
    <row r="97" spans="2:61" ht="66" customHeight="1" x14ac:dyDescent="0.2">
      <c r="B97" s="3"/>
      <c r="C97" s="3"/>
      <c r="D97" s="3"/>
      <c r="E97" s="1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5"/>
      <c r="U97" s="72"/>
      <c r="V97" s="15"/>
      <c r="W97" s="72"/>
      <c r="X97" s="4"/>
    </row>
    <row r="98" spans="2:61" ht="15" customHeight="1" thickBot="1" x14ac:dyDescent="0.25">
      <c r="B98" s="17" t="s">
        <v>49</v>
      </c>
      <c r="C98" s="17"/>
      <c r="U98" s="90"/>
      <c r="V98" s="90"/>
      <c r="W98" s="90"/>
    </row>
    <row r="99" spans="2:61" ht="13.5" customHeight="1" x14ac:dyDescent="0.2">
      <c r="B99" s="326" t="s">
        <v>1</v>
      </c>
      <c r="C99" s="328" t="s">
        <v>77</v>
      </c>
      <c r="D99" s="330" t="s">
        <v>2</v>
      </c>
      <c r="E99" s="326" t="s">
        <v>24</v>
      </c>
      <c r="F99" s="347" t="s">
        <v>4</v>
      </c>
      <c r="G99" s="330" t="s">
        <v>5</v>
      </c>
      <c r="H99" s="347"/>
      <c r="I99" s="347"/>
      <c r="J99" s="347"/>
      <c r="K99" s="347"/>
      <c r="L99" s="347"/>
      <c r="M99" s="347"/>
      <c r="N99" s="347"/>
      <c r="O99" s="347"/>
      <c r="P99" s="347"/>
      <c r="Q99" s="347"/>
      <c r="R99" s="347"/>
      <c r="S99" s="332"/>
      <c r="T99" s="351" t="s">
        <v>6</v>
      </c>
      <c r="U99" s="335"/>
      <c r="V99" s="335"/>
      <c r="W99" s="335"/>
      <c r="X99" s="336"/>
    </row>
    <row r="100" spans="2:61" s="6" customFormat="1" ht="30.75" customHeight="1" thickBot="1" x14ac:dyDescent="0.25">
      <c r="B100" s="342"/>
      <c r="C100" s="329"/>
      <c r="D100" s="331"/>
      <c r="E100" s="327"/>
      <c r="F100" s="346"/>
      <c r="G100" s="7" t="s">
        <v>98</v>
      </c>
      <c r="H100" s="19" t="s">
        <v>38</v>
      </c>
      <c r="I100" s="19" t="s">
        <v>39</v>
      </c>
      <c r="J100" s="19" t="s">
        <v>40</v>
      </c>
      <c r="K100" s="19" t="s">
        <v>41</v>
      </c>
      <c r="L100" s="19" t="s">
        <v>42</v>
      </c>
      <c r="M100" s="19" t="s">
        <v>43</v>
      </c>
      <c r="N100" s="19" t="s">
        <v>44</v>
      </c>
      <c r="O100" s="19" t="s">
        <v>45</v>
      </c>
      <c r="P100" s="20" t="s">
        <v>29</v>
      </c>
      <c r="Q100" s="19" t="s">
        <v>46</v>
      </c>
      <c r="R100" s="19" t="s">
        <v>47</v>
      </c>
      <c r="S100" s="21">
        <v>50</v>
      </c>
      <c r="T100" s="9" t="s">
        <v>18</v>
      </c>
      <c r="U100" s="9" t="s">
        <v>19</v>
      </c>
      <c r="V100" s="11" t="s">
        <v>20</v>
      </c>
      <c r="W100" s="194" t="s">
        <v>21</v>
      </c>
      <c r="X100" s="195" t="s">
        <v>22</v>
      </c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</row>
    <row r="101" spans="2:61" s="6" customFormat="1" ht="15" customHeight="1" x14ac:dyDescent="0.2">
      <c r="B101" s="12" t="s">
        <v>78</v>
      </c>
      <c r="C101" s="100"/>
      <c r="D101" s="31"/>
      <c r="E101" s="12"/>
      <c r="F101" s="32"/>
      <c r="G101" s="33"/>
      <c r="H101" s="34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76"/>
      <c r="T101" s="77"/>
      <c r="U101" s="38"/>
      <c r="V101" s="39"/>
      <c r="W101" s="78"/>
      <c r="X101" s="180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</row>
    <row r="102" spans="2:61" ht="15" customHeight="1" x14ac:dyDescent="0.2">
      <c r="B102" s="13" t="s">
        <v>79</v>
      </c>
      <c r="C102" s="101"/>
      <c r="D102" s="42"/>
      <c r="E102" s="13"/>
      <c r="F102" s="43"/>
      <c r="G102" s="44"/>
      <c r="H102" s="45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80"/>
      <c r="T102" s="81"/>
      <c r="U102" s="49"/>
      <c r="V102" s="50"/>
      <c r="W102" s="82"/>
      <c r="X102" s="181"/>
    </row>
    <row r="103" spans="2:61" ht="15" customHeight="1" x14ac:dyDescent="0.2">
      <c r="B103" s="13" t="s">
        <v>80</v>
      </c>
      <c r="C103" s="101"/>
      <c r="D103" s="42"/>
      <c r="E103" s="13"/>
      <c r="F103" s="43"/>
      <c r="G103" s="44"/>
      <c r="H103" s="45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80"/>
      <c r="T103" s="81"/>
      <c r="U103" s="49"/>
      <c r="V103" s="50"/>
      <c r="W103" s="82"/>
      <c r="X103" s="181"/>
    </row>
    <row r="104" spans="2:61" ht="15" customHeight="1" x14ac:dyDescent="0.2">
      <c r="B104" s="13" t="s">
        <v>81</v>
      </c>
      <c r="C104" s="101"/>
      <c r="D104" s="42"/>
      <c r="E104" s="13"/>
      <c r="F104" s="43"/>
      <c r="G104" s="44"/>
      <c r="H104" s="45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80"/>
      <c r="T104" s="81"/>
      <c r="U104" s="49"/>
      <c r="V104" s="50"/>
      <c r="W104" s="82"/>
      <c r="X104" s="181"/>
    </row>
    <row r="105" spans="2:61" ht="15" customHeight="1" x14ac:dyDescent="0.2">
      <c r="B105" s="13" t="s">
        <v>82</v>
      </c>
      <c r="C105" s="101"/>
      <c r="D105" s="42"/>
      <c r="E105" s="13"/>
      <c r="F105" s="43"/>
      <c r="G105" s="44"/>
      <c r="H105" s="45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80"/>
      <c r="T105" s="81"/>
      <c r="U105" s="49"/>
      <c r="V105" s="50"/>
      <c r="W105" s="82"/>
      <c r="X105" s="181"/>
    </row>
    <row r="106" spans="2:61" ht="15" customHeight="1" x14ac:dyDescent="0.2">
      <c r="B106" s="13" t="s">
        <v>83</v>
      </c>
      <c r="C106" s="101"/>
      <c r="D106" s="42"/>
      <c r="E106" s="13"/>
      <c r="F106" s="43"/>
      <c r="G106" s="44"/>
      <c r="H106" s="45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80"/>
      <c r="T106" s="81"/>
      <c r="U106" s="49"/>
      <c r="V106" s="50"/>
      <c r="W106" s="82"/>
      <c r="X106" s="181"/>
    </row>
    <row r="107" spans="2:61" ht="15" customHeight="1" x14ac:dyDescent="0.2">
      <c r="B107" s="13" t="s">
        <v>84</v>
      </c>
      <c r="C107" s="101"/>
      <c r="D107" s="42"/>
      <c r="E107" s="13"/>
      <c r="F107" s="43"/>
      <c r="G107" s="44"/>
      <c r="H107" s="45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80"/>
      <c r="T107" s="81"/>
      <c r="U107" s="49"/>
      <c r="V107" s="50"/>
      <c r="W107" s="82"/>
      <c r="X107" s="181"/>
    </row>
    <row r="108" spans="2:61" ht="15" customHeight="1" x14ac:dyDescent="0.2">
      <c r="B108" s="13" t="s">
        <v>85</v>
      </c>
      <c r="C108" s="101"/>
      <c r="D108" s="42"/>
      <c r="E108" s="13"/>
      <c r="F108" s="43"/>
      <c r="G108" s="44"/>
      <c r="H108" s="45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80"/>
      <c r="T108" s="81"/>
      <c r="U108" s="49"/>
      <c r="V108" s="50"/>
      <c r="W108" s="82"/>
      <c r="X108" s="181"/>
    </row>
    <row r="109" spans="2:61" ht="15" customHeight="1" x14ac:dyDescent="0.2">
      <c r="B109" s="13" t="s">
        <v>86</v>
      </c>
      <c r="C109" s="101"/>
      <c r="D109" s="42"/>
      <c r="E109" s="13"/>
      <c r="F109" s="43"/>
      <c r="G109" s="44"/>
      <c r="H109" s="45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80"/>
      <c r="T109" s="81"/>
      <c r="U109" s="49"/>
      <c r="V109" s="50"/>
      <c r="W109" s="82"/>
      <c r="X109" s="181"/>
    </row>
    <row r="110" spans="2:61" ht="15" customHeight="1" thickBot="1" x14ac:dyDescent="0.25">
      <c r="B110" s="14" t="s">
        <v>87</v>
      </c>
      <c r="C110" s="102"/>
      <c r="D110" s="53"/>
      <c r="E110" s="14"/>
      <c r="F110" s="54"/>
      <c r="G110" s="55"/>
      <c r="H110" s="56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84"/>
      <c r="T110" s="85"/>
      <c r="U110" s="58"/>
      <c r="V110" s="59"/>
      <c r="W110" s="86"/>
      <c r="X110" s="182"/>
    </row>
    <row r="111" spans="2:61" ht="15" customHeight="1" thickBot="1" x14ac:dyDescent="0.25">
      <c r="B111" s="96"/>
      <c r="C111" s="148"/>
      <c r="D111" s="173"/>
      <c r="E111" s="171"/>
      <c r="F111" s="172"/>
      <c r="G111" s="64"/>
      <c r="H111" s="65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7"/>
      <c r="T111" s="190">
        <f>SUM(T101:T110)</f>
        <v>0</v>
      </c>
      <c r="U111" s="191" t="e">
        <f>AVERAGE(U101:U110)</f>
        <v>#DIV/0!</v>
      </c>
      <c r="V111" s="192">
        <f>SUM(V101:V110)</f>
        <v>0</v>
      </c>
      <c r="W111" s="191" t="e">
        <f>AVERAGE(W101:W110)</f>
        <v>#DIV/0!</v>
      </c>
      <c r="X111" s="193" t="e">
        <f>AVERAGE(X101:X110)</f>
        <v>#DIV/0!</v>
      </c>
    </row>
    <row r="112" spans="2:61" ht="15" customHeight="1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16"/>
      <c r="V112" s="16"/>
      <c r="W112" s="16"/>
      <c r="X112" s="4"/>
    </row>
    <row r="113" spans="2:24" ht="15" customHeight="1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16"/>
      <c r="V113" s="16"/>
      <c r="W113" s="16"/>
      <c r="X113" s="4"/>
    </row>
    <row r="114" spans="2:24" ht="5.25" hidden="1" customHeight="1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16"/>
      <c r="V114" s="16"/>
      <c r="W114" s="16"/>
      <c r="X114" s="4"/>
    </row>
    <row r="115" spans="2:24" ht="5.25" hidden="1" customHeight="1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16"/>
      <c r="V115" s="16"/>
      <c r="W115" s="16"/>
      <c r="X115" s="4"/>
    </row>
    <row r="116" spans="2:24" ht="5.25" hidden="1" customHeight="1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16"/>
      <c r="V116" s="16"/>
      <c r="W116" s="16"/>
      <c r="X116" s="4"/>
    </row>
    <row r="117" spans="2:24" ht="5.25" hidden="1" customHeight="1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16"/>
      <c r="V117" s="16"/>
      <c r="W117" s="16"/>
      <c r="X117" s="4"/>
    </row>
    <row r="118" spans="2:24" ht="5.25" hidden="1" customHeight="1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16"/>
      <c r="V118" s="16"/>
      <c r="W118" s="16"/>
      <c r="X118" s="4"/>
    </row>
    <row r="119" spans="2:24" ht="5.25" hidden="1" customHeight="1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16"/>
      <c r="V119" s="16"/>
      <c r="W119" s="16"/>
      <c r="X119" s="4"/>
    </row>
    <row r="120" spans="2:24" ht="5.25" hidden="1" customHeight="1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16"/>
      <c r="V120" s="16"/>
      <c r="W120" s="16"/>
      <c r="X120" s="4"/>
    </row>
    <row r="121" spans="2:24" ht="5.25" hidden="1" customHeight="1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16"/>
      <c r="V121" s="16"/>
      <c r="W121" s="16"/>
      <c r="X121" s="4"/>
    </row>
    <row r="122" spans="2:24" ht="5.25" hidden="1" customHeight="1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16"/>
      <c r="V122" s="16"/>
      <c r="W122" s="16"/>
      <c r="X122" s="4"/>
    </row>
    <row r="123" spans="2:24" ht="5.25" hidden="1" customHeight="1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16"/>
      <c r="V123" s="16"/>
      <c r="W123" s="16"/>
      <c r="X123" s="4"/>
    </row>
    <row r="124" spans="2:24" ht="5.25" hidden="1" customHeight="1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16"/>
      <c r="V124" s="16"/>
      <c r="W124" s="16"/>
      <c r="X124" s="4"/>
    </row>
    <row r="125" spans="2:24" ht="5.25" hidden="1" customHeight="1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16"/>
      <c r="V125" s="16"/>
      <c r="W125" s="16"/>
      <c r="X125" s="4"/>
    </row>
    <row r="126" spans="2:24" ht="12" customHeight="1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16"/>
      <c r="V126" s="16"/>
      <c r="W126" s="16"/>
      <c r="X126" s="4"/>
    </row>
    <row r="127" spans="2:24" ht="12" customHeight="1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16"/>
      <c r="V127" s="16"/>
      <c r="W127" s="16"/>
      <c r="X127" s="4"/>
    </row>
    <row r="128" spans="2:24" ht="12" customHeight="1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16"/>
      <c r="V128" s="16"/>
      <c r="W128" s="16"/>
      <c r="X128" s="4"/>
    </row>
    <row r="129" spans="1:25" s="24" customFormat="1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91"/>
      <c r="Y129" s="1"/>
    </row>
    <row r="130" spans="1:25" s="24" customFormat="1" ht="12.95" customHeight="1" thickBot="1" x14ac:dyDescent="0.25">
      <c r="A130" s="1"/>
      <c r="B130" s="17" t="s">
        <v>50</v>
      </c>
      <c r="C130" s="1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90"/>
      <c r="V130" s="90"/>
      <c r="W130" s="90"/>
      <c r="X130" s="91"/>
      <c r="Y130" s="1"/>
    </row>
    <row r="131" spans="1:25" s="24" customFormat="1" ht="12.95" customHeight="1" thickBot="1" x14ac:dyDescent="0.25">
      <c r="A131" s="1"/>
      <c r="B131" s="330" t="s">
        <v>1</v>
      </c>
      <c r="C131" s="328" t="s">
        <v>77</v>
      </c>
      <c r="D131" s="330" t="s">
        <v>51</v>
      </c>
      <c r="E131" s="326" t="s">
        <v>4</v>
      </c>
      <c r="F131" s="347" t="s">
        <v>3</v>
      </c>
      <c r="G131" s="334" t="s">
        <v>52</v>
      </c>
      <c r="H131" s="335"/>
      <c r="I131" s="335"/>
      <c r="J131" s="335"/>
      <c r="K131" s="335"/>
      <c r="L131" s="335"/>
      <c r="M131" s="335"/>
      <c r="N131" s="335"/>
      <c r="O131" s="335"/>
      <c r="P131" s="336"/>
      <c r="Q131" s="337" t="s">
        <v>53</v>
      </c>
      <c r="R131" s="338"/>
      <c r="S131" s="338"/>
      <c r="T131" s="338"/>
      <c r="U131" s="338"/>
      <c r="V131" s="338"/>
      <c r="W131" s="339"/>
    </row>
    <row r="132" spans="1:25" s="24" customFormat="1" ht="27" customHeight="1" thickBot="1" x14ac:dyDescent="0.25">
      <c r="A132" s="1"/>
      <c r="B132" s="341"/>
      <c r="C132" s="329"/>
      <c r="D132" s="331"/>
      <c r="E132" s="342"/>
      <c r="F132" s="346"/>
      <c r="G132" s="140" t="s">
        <v>54</v>
      </c>
      <c r="H132" s="9" t="s">
        <v>55</v>
      </c>
      <c r="I132" s="9" t="s">
        <v>56</v>
      </c>
      <c r="J132" s="9" t="s">
        <v>57</v>
      </c>
      <c r="K132" s="9" t="s">
        <v>58</v>
      </c>
      <c r="L132" s="9" t="s">
        <v>59</v>
      </c>
      <c r="M132" s="9" t="s">
        <v>60</v>
      </c>
      <c r="N132" s="9" t="s">
        <v>61</v>
      </c>
      <c r="O132" s="141" t="s">
        <v>62</v>
      </c>
      <c r="P132" s="151" t="s">
        <v>63</v>
      </c>
      <c r="Q132" s="152" t="s">
        <v>54</v>
      </c>
      <c r="R132" s="153" t="s">
        <v>55</v>
      </c>
      <c r="S132" s="153" t="s">
        <v>56</v>
      </c>
      <c r="T132" s="153" t="s">
        <v>57</v>
      </c>
      <c r="U132" s="153" t="s">
        <v>58</v>
      </c>
      <c r="V132" s="153" t="s">
        <v>59</v>
      </c>
      <c r="W132" s="154" t="s">
        <v>60</v>
      </c>
    </row>
    <row r="133" spans="1:25" s="24" customFormat="1" ht="15" customHeight="1" x14ac:dyDescent="0.2">
      <c r="A133" s="1"/>
      <c r="B133" s="12" t="s">
        <v>78</v>
      </c>
      <c r="C133" s="145"/>
      <c r="D133" s="142"/>
      <c r="E133" s="12"/>
      <c r="F133" s="32"/>
      <c r="G133" s="34"/>
      <c r="H133" s="35"/>
      <c r="I133" s="35"/>
      <c r="J133" s="35"/>
      <c r="K133" s="35"/>
      <c r="L133" s="35"/>
      <c r="M133" s="35"/>
      <c r="N133" s="35"/>
      <c r="O133" s="35"/>
      <c r="P133" s="155"/>
      <c r="Q133" s="156"/>
      <c r="R133" s="157"/>
      <c r="S133" s="157"/>
      <c r="T133" s="157"/>
      <c r="U133" s="158"/>
      <c r="V133" s="158"/>
      <c r="W133" s="159"/>
    </row>
    <row r="134" spans="1:25" s="24" customFormat="1" ht="15" customHeight="1" x14ac:dyDescent="0.2">
      <c r="A134" s="1"/>
      <c r="B134" s="13" t="s">
        <v>79</v>
      </c>
      <c r="C134" s="146"/>
      <c r="D134" s="143"/>
      <c r="E134" s="13"/>
      <c r="F134" s="43"/>
      <c r="G134" s="45"/>
      <c r="H134" s="46"/>
      <c r="I134" s="46"/>
      <c r="J134" s="46"/>
      <c r="K134" s="46"/>
      <c r="L134" s="46"/>
      <c r="M134" s="46"/>
      <c r="N134" s="46"/>
      <c r="O134" s="46"/>
      <c r="P134" s="160"/>
      <c r="Q134" s="161"/>
      <c r="R134" s="162"/>
      <c r="S134" s="162"/>
      <c r="T134" s="162"/>
      <c r="U134" s="163"/>
      <c r="V134" s="163"/>
      <c r="W134" s="164"/>
    </row>
    <row r="135" spans="1:25" s="24" customFormat="1" ht="15" customHeight="1" x14ac:dyDescent="0.2">
      <c r="A135" s="1"/>
      <c r="B135" s="13" t="s">
        <v>80</v>
      </c>
      <c r="C135" s="146"/>
      <c r="D135" s="143"/>
      <c r="E135" s="13"/>
      <c r="F135" s="43"/>
      <c r="G135" s="45"/>
      <c r="H135" s="46"/>
      <c r="I135" s="46"/>
      <c r="J135" s="46"/>
      <c r="K135" s="46"/>
      <c r="L135" s="46"/>
      <c r="M135" s="46"/>
      <c r="N135" s="46"/>
      <c r="O135" s="46"/>
      <c r="P135" s="160"/>
      <c r="Q135" s="161"/>
      <c r="R135" s="162"/>
      <c r="S135" s="162"/>
      <c r="T135" s="162"/>
      <c r="U135" s="163"/>
      <c r="V135" s="163"/>
      <c r="W135" s="164"/>
    </row>
    <row r="136" spans="1:25" s="24" customFormat="1" ht="15" customHeight="1" x14ac:dyDescent="0.2">
      <c r="A136" s="1"/>
      <c r="B136" s="13" t="s">
        <v>81</v>
      </c>
      <c r="C136" s="146"/>
      <c r="D136" s="143"/>
      <c r="E136" s="13"/>
      <c r="F136" s="43"/>
      <c r="G136" s="45"/>
      <c r="H136" s="46"/>
      <c r="I136" s="46"/>
      <c r="J136" s="46"/>
      <c r="K136" s="46"/>
      <c r="L136" s="46"/>
      <c r="M136" s="46"/>
      <c r="N136" s="46"/>
      <c r="O136" s="46"/>
      <c r="P136" s="160"/>
      <c r="Q136" s="161"/>
      <c r="R136" s="162"/>
      <c r="S136" s="162"/>
      <c r="T136" s="162"/>
      <c r="U136" s="163"/>
      <c r="V136" s="163"/>
      <c r="W136" s="164"/>
    </row>
    <row r="137" spans="1:25" s="24" customFormat="1" ht="15" customHeight="1" x14ac:dyDescent="0.2">
      <c r="A137" s="1"/>
      <c r="B137" s="13" t="s">
        <v>82</v>
      </c>
      <c r="C137" s="146"/>
      <c r="D137" s="143"/>
      <c r="E137" s="13"/>
      <c r="F137" s="43"/>
      <c r="G137" s="45"/>
      <c r="H137" s="46"/>
      <c r="I137" s="46"/>
      <c r="J137" s="46"/>
      <c r="K137" s="46"/>
      <c r="L137" s="46"/>
      <c r="M137" s="46"/>
      <c r="N137" s="46"/>
      <c r="O137" s="46"/>
      <c r="P137" s="160"/>
      <c r="Q137" s="161"/>
      <c r="R137" s="162"/>
      <c r="S137" s="162"/>
      <c r="T137" s="162"/>
      <c r="U137" s="163"/>
      <c r="V137" s="163"/>
      <c r="W137" s="164"/>
    </row>
    <row r="138" spans="1:25" s="24" customFormat="1" ht="15" customHeight="1" x14ac:dyDescent="0.2">
      <c r="A138" s="1"/>
      <c r="B138" s="13" t="s">
        <v>83</v>
      </c>
      <c r="C138" s="146"/>
      <c r="D138" s="143"/>
      <c r="E138" s="13"/>
      <c r="F138" s="43"/>
      <c r="G138" s="45"/>
      <c r="H138" s="46"/>
      <c r="I138" s="46"/>
      <c r="J138" s="46"/>
      <c r="K138" s="46"/>
      <c r="L138" s="46"/>
      <c r="M138" s="46"/>
      <c r="N138" s="46"/>
      <c r="O138" s="46"/>
      <c r="P138" s="160"/>
      <c r="Q138" s="161"/>
      <c r="R138" s="162"/>
      <c r="S138" s="162"/>
      <c r="T138" s="162"/>
      <c r="U138" s="163"/>
      <c r="V138" s="163"/>
      <c r="W138" s="164"/>
    </row>
    <row r="139" spans="1:25" s="24" customFormat="1" ht="15" customHeight="1" x14ac:dyDescent="0.2">
      <c r="A139" s="1"/>
      <c r="B139" s="13" t="s">
        <v>84</v>
      </c>
      <c r="C139" s="146"/>
      <c r="D139" s="143"/>
      <c r="E139" s="13"/>
      <c r="F139" s="43"/>
      <c r="G139" s="45"/>
      <c r="H139" s="46"/>
      <c r="I139" s="46"/>
      <c r="J139" s="46"/>
      <c r="K139" s="46"/>
      <c r="L139" s="46"/>
      <c r="M139" s="46"/>
      <c r="N139" s="46"/>
      <c r="O139" s="46"/>
      <c r="P139" s="160"/>
      <c r="Q139" s="161"/>
      <c r="R139" s="162"/>
      <c r="S139" s="162"/>
      <c r="T139" s="162"/>
      <c r="U139" s="163"/>
      <c r="V139" s="163"/>
      <c r="W139" s="164"/>
    </row>
    <row r="140" spans="1:25" s="24" customFormat="1" ht="15" customHeight="1" x14ac:dyDescent="0.2">
      <c r="A140" s="1"/>
      <c r="B140" s="13" t="s">
        <v>85</v>
      </c>
      <c r="C140" s="146"/>
      <c r="D140" s="143"/>
      <c r="E140" s="13"/>
      <c r="F140" s="43"/>
      <c r="G140" s="45"/>
      <c r="H140" s="46"/>
      <c r="I140" s="46"/>
      <c r="J140" s="46"/>
      <c r="K140" s="46"/>
      <c r="L140" s="46"/>
      <c r="M140" s="46"/>
      <c r="N140" s="46"/>
      <c r="O140" s="46"/>
      <c r="P140" s="160"/>
      <c r="Q140" s="161"/>
      <c r="R140" s="162"/>
      <c r="S140" s="162"/>
      <c r="T140" s="162"/>
      <c r="U140" s="163"/>
      <c r="V140" s="163"/>
      <c r="W140" s="164"/>
    </row>
    <row r="141" spans="1:25" s="24" customFormat="1" ht="15" customHeight="1" x14ac:dyDescent="0.2">
      <c r="A141" s="1"/>
      <c r="B141" s="13" t="s">
        <v>86</v>
      </c>
      <c r="C141" s="146"/>
      <c r="D141" s="143"/>
      <c r="E141" s="13"/>
      <c r="F141" s="43"/>
      <c r="G141" s="45"/>
      <c r="H141" s="46"/>
      <c r="I141" s="46"/>
      <c r="J141" s="46"/>
      <c r="K141" s="46"/>
      <c r="L141" s="46"/>
      <c r="M141" s="46"/>
      <c r="N141" s="46"/>
      <c r="O141" s="46"/>
      <c r="P141" s="160"/>
      <c r="Q141" s="161"/>
      <c r="R141" s="162"/>
      <c r="S141" s="162"/>
      <c r="T141" s="162"/>
      <c r="U141" s="163"/>
      <c r="V141" s="163"/>
      <c r="W141" s="164"/>
    </row>
    <row r="142" spans="1:25" s="24" customFormat="1" ht="15" customHeight="1" thickBot="1" x14ac:dyDescent="0.25">
      <c r="A142" s="1"/>
      <c r="B142" s="14" t="s">
        <v>87</v>
      </c>
      <c r="C142" s="147"/>
      <c r="D142" s="144"/>
      <c r="E142" s="14"/>
      <c r="F142" s="54"/>
      <c r="G142" s="56"/>
      <c r="H142" s="57"/>
      <c r="I142" s="57"/>
      <c r="J142" s="57"/>
      <c r="K142" s="57"/>
      <c r="L142" s="57"/>
      <c r="M142" s="57"/>
      <c r="N142" s="57"/>
      <c r="O142" s="57"/>
      <c r="P142" s="165"/>
      <c r="Q142" s="166"/>
      <c r="R142" s="167"/>
      <c r="S142" s="167"/>
      <c r="T142" s="167"/>
      <c r="U142" s="168"/>
      <c r="V142" s="168"/>
      <c r="W142" s="169"/>
    </row>
  </sheetData>
  <sheetProtection autoFilter="0"/>
  <mergeCells count="56">
    <mergeCell ref="B3:B4"/>
    <mergeCell ref="C3:C4"/>
    <mergeCell ref="D3:D4"/>
    <mergeCell ref="E3:E4"/>
    <mergeCell ref="F3:F4"/>
    <mergeCell ref="G3:S3"/>
    <mergeCell ref="T3:X3"/>
    <mergeCell ref="T35:X35"/>
    <mergeCell ref="B19:B20"/>
    <mergeCell ref="C19:C20"/>
    <mergeCell ref="D19:D20"/>
    <mergeCell ref="E19:E20"/>
    <mergeCell ref="F19:F20"/>
    <mergeCell ref="G19:S19"/>
    <mergeCell ref="T19:X19"/>
    <mergeCell ref="B35:B36"/>
    <mergeCell ref="C35:C36"/>
    <mergeCell ref="D35:D36"/>
    <mergeCell ref="E35:E36"/>
    <mergeCell ref="F35:F36"/>
    <mergeCell ref="G35:S35"/>
    <mergeCell ref="B131:B132"/>
    <mergeCell ref="T51:X51"/>
    <mergeCell ref="B67:B68"/>
    <mergeCell ref="C67:C68"/>
    <mergeCell ref="D67:D68"/>
    <mergeCell ref="E67:E68"/>
    <mergeCell ref="F67:F68"/>
    <mergeCell ref="G67:S67"/>
    <mergeCell ref="T67:X67"/>
    <mergeCell ref="B51:B52"/>
    <mergeCell ref="C51:C52"/>
    <mergeCell ref="D51:D52"/>
    <mergeCell ref="E51:E52"/>
    <mergeCell ref="F51:F52"/>
    <mergeCell ref="G51:S51"/>
    <mergeCell ref="Q131:W131"/>
    <mergeCell ref="T83:X83"/>
    <mergeCell ref="B99:B100"/>
    <mergeCell ref="C99:C100"/>
    <mergeCell ref="D99:D100"/>
    <mergeCell ref="E99:E100"/>
    <mergeCell ref="F99:F100"/>
    <mergeCell ref="G99:S99"/>
    <mergeCell ref="T99:X99"/>
    <mergeCell ref="B83:B84"/>
    <mergeCell ref="C83:C84"/>
    <mergeCell ref="D83:D84"/>
    <mergeCell ref="E83:E84"/>
    <mergeCell ref="F83:F84"/>
    <mergeCell ref="G83:S83"/>
    <mergeCell ref="C131:C132"/>
    <mergeCell ref="D131:D132"/>
    <mergeCell ref="E131:E132"/>
    <mergeCell ref="F131:F132"/>
    <mergeCell ref="G131:P131"/>
  </mergeCells>
  <phoneticPr fontId="1" type="noConversion"/>
  <printOptions horizontalCentered="1"/>
  <pageMargins left="0.196850393700787" right="0.15748031496063" top="0.43307086614173201" bottom="0.23622047244094499" header="0.511811023622047" footer="0.511811023622047"/>
  <pageSetup paperSize="9" scale="90" orientation="portrait" r:id="rId1"/>
  <headerFooter scaleWithDoc="0" alignWithMargins="0"/>
  <rowBreaks count="2" manualBreakCount="2">
    <brk id="49" max="23" man="1"/>
    <brk id="96" max="2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6F76-F2E8-46BF-BDF2-0E84A51F9555}">
  <sheetPr codeName="Sheet22">
    <tabColor theme="4" tint="-0.249977111117893"/>
  </sheetPr>
  <dimension ref="B1:DG162"/>
  <sheetViews>
    <sheetView zoomScaleNormal="100" zoomScaleSheetLayoutView="100" workbookViewId="0">
      <selection activeCell="AA128" sqref="AA128"/>
    </sheetView>
  </sheetViews>
  <sheetFormatPr defaultColWidth="9" defaultRowHeight="12.95" customHeight="1" x14ac:dyDescent="0.2"/>
  <cols>
    <col min="1" max="1" width="0.75" style="1" customWidth="1"/>
    <col min="2" max="3" width="3.625" style="1" customWidth="1"/>
    <col min="4" max="4" width="4.5" style="1" customWidth="1"/>
    <col min="5" max="5" width="5.375" style="1" customWidth="1"/>
    <col min="6" max="6" width="3.5" style="1" customWidth="1"/>
    <col min="7" max="7" width="5.25" style="1" customWidth="1"/>
    <col min="8" max="18" width="4" style="1" customWidth="1"/>
    <col min="19" max="19" width="4.25" style="1" customWidth="1"/>
    <col min="20" max="20" width="5.125" style="1" customWidth="1"/>
    <col min="21" max="21" width="5.5" style="1" customWidth="1"/>
    <col min="22" max="22" width="4.75" style="1" customWidth="1"/>
    <col min="23" max="23" width="6.375" style="1" customWidth="1"/>
    <col min="24" max="24" width="5.375" style="91" customWidth="1"/>
    <col min="25" max="25" width="2.75" style="1" customWidth="1"/>
    <col min="26" max="111" width="9" style="24"/>
    <col min="112" max="16384" width="9" style="1"/>
  </cols>
  <sheetData>
    <row r="1" spans="2:111" ht="17.25" customHeight="1" x14ac:dyDescent="0.2">
      <c r="B1" s="356" t="s">
        <v>102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23"/>
    </row>
    <row r="2" spans="2:111" s="5" customFormat="1" ht="15" customHeight="1" thickBot="1" x14ac:dyDescent="0.25">
      <c r="B2" s="2" t="s">
        <v>0</v>
      </c>
      <c r="C2" s="2"/>
      <c r="V2" s="25"/>
      <c r="W2" s="26"/>
      <c r="X2" s="27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</row>
    <row r="3" spans="2:111" s="6" customFormat="1" ht="13.5" customHeight="1" x14ac:dyDescent="0.2">
      <c r="B3" s="326" t="s">
        <v>1</v>
      </c>
      <c r="C3" s="328" t="s">
        <v>77</v>
      </c>
      <c r="D3" s="330" t="s">
        <v>2</v>
      </c>
      <c r="E3" s="326" t="s">
        <v>3</v>
      </c>
      <c r="F3" s="332" t="s">
        <v>4</v>
      </c>
      <c r="G3" s="330" t="s">
        <v>5</v>
      </c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32"/>
      <c r="T3" s="351" t="s">
        <v>6</v>
      </c>
      <c r="U3" s="335"/>
      <c r="V3" s="335"/>
      <c r="W3" s="335"/>
      <c r="X3" s="336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</row>
    <row r="4" spans="2:111" s="6" customFormat="1" ht="40.5" customHeight="1" thickBot="1" x14ac:dyDescent="0.25">
      <c r="B4" s="327"/>
      <c r="C4" s="329"/>
      <c r="D4" s="331"/>
      <c r="E4" s="327"/>
      <c r="F4" s="333"/>
      <c r="G4" s="7" t="s">
        <v>103</v>
      </c>
      <c r="H4" s="8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10">
        <v>120</v>
      </c>
      <c r="T4" s="9" t="s">
        <v>18</v>
      </c>
      <c r="U4" s="9" t="s">
        <v>19</v>
      </c>
      <c r="V4" s="11" t="s">
        <v>20</v>
      </c>
      <c r="W4" s="194" t="s">
        <v>21</v>
      </c>
      <c r="X4" s="195" t="s">
        <v>22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</row>
    <row r="5" spans="2:111" ht="14.25" customHeight="1" x14ac:dyDescent="0.2">
      <c r="B5" s="12" t="s">
        <v>64</v>
      </c>
      <c r="C5" s="145"/>
      <c r="D5" s="31"/>
      <c r="E5" s="12"/>
      <c r="F5" s="32"/>
      <c r="G5" s="33"/>
      <c r="H5" s="34"/>
      <c r="I5" s="35"/>
      <c r="J5" s="35"/>
      <c r="K5" s="35"/>
      <c r="L5" s="35"/>
      <c r="M5" s="35"/>
      <c r="N5" s="35"/>
      <c r="O5" s="35"/>
      <c r="P5" s="35"/>
      <c r="Q5" s="35"/>
      <c r="R5" s="35"/>
      <c r="S5" s="36"/>
      <c r="T5" s="37"/>
      <c r="U5" s="38"/>
      <c r="V5" s="39"/>
      <c r="W5" s="40"/>
      <c r="X5" s="41"/>
    </row>
    <row r="6" spans="2:111" ht="14.25" customHeight="1" x14ac:dyDescent="0.2">
      <c r="B6" s="13" t="s">
        <v>65</v>
      </c>
      <c r="C6" s="146"/>
      <c r="D6" s="42"/>
      <c r="E6" s="13"/>
      <c r="F6" s="43"/>
      <c r="G6" s="44"/>
      <c r="H6" s="45"/>
      <c r="I6" s="46"/>
      <c r="J6" s="46"/>
      <c r="K6" s="46"/>
      <c r="L6" s="46"/>
      <c r="M6" s="46"/>
      <c r="N6" s="46"/>
      <c r="O6" s="46"/>
      <c r="P6" s="46"/>
      <c r="Q6" s="46"/>
      <c r="R6" s="46"/>
      <c r="S6" s="47"/>
      <c r="T6" s="48"/>
      <c r="U6" s="49"/>
      <c r="V6" s="50"/>
      <c r="W6" s="51"/>
      <c r="X6" s="52"/>
    </row>
    <row r="7" spans="2:111" ht="14.25" customHeight="1" x14ac:dyDescent="0.2">
      <c r="B7" s="13" t="s">
        <v>66</v>
      </c>
      <c r="C7" s="146"/>
      <c r="D7" s="42"/>
      <c r="E7" s="13"/>
      <c r="F7" s="43"/>
      <c r="G7" s="44"/>
      <c r="H7" s="45"/>
      <c r="I7" s="46"/>
      <c r="J7" s="46"/>
      <c r="K7" s="46"/>
      <c r="L7" s="46"/>
      <c r="M7" s="46"/>
      <c r="N7" s="46"/>
      <c r="O7" s="46"/>
      <c r="P7" s="46"/>
      <c r="Q7" s="46"/>
      <c r="R7" s="46"/>
      <c r="S7" s="47"/>
      <c r="T7" s="48"/>
      <c r="U7" s="49"/>
      <c r="V7" s="50"/>
      <c r="W7" s="51"/>
      <c r="X7" s="52"/>
    </row>
    <row r="8" spans="2:111" ht="14.25" customHeight="1" x14ac:dyDescent="0.2">
      <c r="B8" s="13" t="s">
        <v>67</v>
      </c>
      <c r="C8" s="146"/>
      <c r="D8" s="42"/>
      <c r="E8" s="13"/>
      <c r="F8" s="43"/>
      <c r="G8" s="44"/>
      <c r="H8" s="45"/>
      <c r="I8" s="46"/>
      <c r="J8" s="46"/>
      <c r="K8" s="46"/>
      <c r="L8" s="46"/>
      <c r="M8" s="46"/>
      <c r="N8" s="46"/>
      <c r="O8" s="46"/>
      <c r="P8" s="46"/>
      <c r="Q8" s="46"/>
      <c r="R8" s="46"/>
      <c r="S8" s="47"/>
      <c r="T8" s="48"/>
      <c r="U8" s="49"/>
      <c r="V8" s="50"/>
      <c r="W8" s="51"/>
      <c r="X8" s="52"/>
    </row>
    <row r="9" spans="2:111" ht="14.25" customHeight="1" x14ac:dyDescent="0.2">
      <c r="B9" s="13" t="s">
        <v>68</v>
      </c>
      <c r="C9" s="146"/>
      <c r="D9" s="42"/>
      <c r="E9" s="13"/>
      <c r="F9" s="43"/>
      <c r="G9" s="44"/>
      <c r="H9" s="45"/>
      <c r="I9" s="46"/>
      <c r="J9" s="46"/>
      <c r="K9" s="46"/>
      <c r="L9" s="46"/>
      <c r="M9" s="46"/>
      <c r="N9" s="46"/>
      <c r="O9" s="46"/>
      <c r="P9" s="46"/>
      <c r="Q9" s="46"/>
      <c r="R9" s="46"/>
      <c r="S9" s="47"/>
      <c r="T9" s="48"/>
      <c r="U9" s="49"/>
      <c r="V9" s="50"/>
      <c r="W9" s="51"/>
      <c r="X9" s="52"/>
    </row>
    <row r="10" spans="2:111" ht="14.25" customHeight="1" x14ac:dyDescent="0.2">
      <c r="B10" s="13" t="s">
        <v>69</v>
      </c>
      <c r="C10" s="146"/>
      <c r="D10" s="42"/>
      <c r="E10" s="13"/>
      <c r="F10" s="43"/>
      <c r="G10" s="44"/>
      <c r="H10" s="45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7"/>
      <c r="T10" s="48"/>
      <c r="U10" s="49"/>
      <c r="V10" s="50"/>
      <c r="W10" s="51"/>
      <c r="X10" s="52"/>
    </row>
    <row r="11" spans="2:111" ht="14.25" customHeight="1" x14ac:dyDescent="0.2">
      <c r="B11" s="13" t="s">
        <v>70</v>
      </c>
      <c r="C11" s="146"/>
      <c r="D11" s="42"/>
      <c r="E11" s="13"/>
      <c r="F11" s="43"/>
      <c r="G11" s="44"/>
      <c r="H11" s="45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7"/>
      <c r="T11" s="48"/>
      <c r="U11" s="49"/>
      <c r="V11" s="50"/>
      <c r="W11" s="51"/>
      <c r="X11" s="52"/>
    </row>
    <row r="12" spans="2:111" ht="14.25" customHeight="1" thickBot="1" x14ac:dyDescent="0.25">
      <c r="B12" s="13" t="s">
        <v>71</v>
      </c>
      <c r="C12" s="146"/>
      <c r="D12" s="42"/>
      <c r="E12" s="13"/>
      <c r="F12" s="43"/>
      <c r="G12" s="44"/>
      <c r="H12" s="45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7"/>
      <c r="T12" s="48"/>
      <c r="U12" s="49"/>
      <c r="V12" s="50"/>
      <c r="W12" s="51"/>
      <c r="X12" s="52"/>
    </row>
    <row r="13" spans="2:111" ht="14.25" customHeight="1" thickBot="1" x14ac:dyDescent="0.25">
      <c r="B13" s="60"/>
      <c r="C13" s="148"/>
      <c r="D13" s="173"/>
      <c r="E13" s="171"/>
      <c r="F13" s="172"/>
      <c r="G13" s="64"/>
      <c r="H13" s="65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7"/>
      <c r="T13" s="68">
        <f>SUM(T5:T12)</f>
        <v>0</v>
      </c>
      <c r="U13" s="69" t="e">
        <f>AVERAGE(U5:U12)</f>
        <v>#DIV/0!</v>
      </c>
      <c r="V13" s="70">
        <f>SUM(V5:V12)</f>
        <v>0</v>
      </c>
      <c r="W13" s="69" t="e">
        <f>AVERAGE(W5:W12)</f>
        <v>#DIV/0!</v>
      </c>
      <c r="X13" s="71" t="e">
        <f>AVERAGE(X5:X12)</f>
        <v>#DIV/0!</v>
      </c>
    </row>
    <row r="14" spans="2:111" ht="14.25" customHeight="1" x14ac:dyDescent="0.2">
      <c r="B14" s="15"/>
      <c r="C14" s="15"/>
      <c r="D14" s="174"/>
      <c r="E14" s="15"/>
      <c r="F14" s="15"/>
      <c r="G14" s="1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6"/>
      <c r="U14" s="177"/>
      <c r="V14" s="176"/>
      <c r="W14" s="177"/>
      <c r="X14" s="178"/>
    </row>
    <row r="15" spans="2:111" ht="14.25" customHeight="1" x14ac:dyDescent="0.2">
      <c r="B15" s="15"/>
      <c r="C15" s="15"/>
      <c r="D15" s="174"/>
      <c r="E15" s="15"/>
      <c r="F15" s="15"/>
      <c r="G15" s="1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6"/>
      <c r="U15" s="177"/>
      <c r="V15" s="176"/>
      <c r="W15" s="177"/>
      <c r="X15" s="178"/>
    </row>
    <row r="16" spans="2:111" ht="14.25" customHeight="1" x14ac:dyDescent="0.2">
      <c r="B16" s="15"/>
      <c r="C16" s="15"/>
      <c r="D16" s="174"/>
      <c r="E16" s="15"/>
      <c r="F16" s="15"/>
      <c r="G16" s="1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6"/>
      <c r="U16" s="177"/>
      <c r="V16" s="176"/>
      <c r="W16" s="177"/>
      <c r="X16" s="178"/>
    </row>
    <row r="17" spans="2:111" ht="50.25" customHeight="1" x14ac:dyDescent="0.2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72"/>
      <c r="V17" s="15"/>
      <c r="W17" s="72"/>
      <c r="X17" s="73"/>
    </row>
    <row r="18" spans="2:111" ht="18" customHeight="1" thickBot="1" x14ac:dyDescent="0.25">
      <c r="B18" s="17" t="s">
        <v>23</v>
      </c>
      <c r="C18" s="17"/>
      <c r="U18" s="74"/>
      <c r="V18" s="74"/>
      <c r="W18" s="74"/>
      <c r="X18" s="75"/>
    </row>
    <row r="19" spans="2:111" s="6" customFormat="1" ht="15.75" customHeight="1" x14ac:dyDescent="0.2">
      <c r="B19" s="326" t="s">
        <v>1</v>
      </c>
      <c r="C19" s="328" t="s">
        <v>77</v>
      </c>
      <c r="D19" s="334" t="s">
        <v>2</v>
      </c>
      <c r="E19" s="335" t="s">
        <v>3</v>
      </c>
      <c r="F19" s="336" t="s">
        <v>4</v>
      </c>
      <c r="G19" s="330" t="s">
        <v>5</v>
      </c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32"/>
      <c r="T19" s="351" t="s">
        <v>6</v>
      </c>
      <c r="U19" s="335"/>
      <c r="V19" s="335"/>
      <c r="W19" s="335"/>
      <c r="X19" s="336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</row>
    <row r="20" spans="2:111" s="6" customFormat="1" ht="36" customHeight="1" thickBot="1" x14ac:dyDescent="0.25">
      <c r="B20" s="327"/>
      <c r="C20" s="329"/>
      <c r="D20" s="353"/>
      <c r="E20" s="354"/>
      <c r="F20" s="355"/>
      <c r="G20" s="7" t="s">
        <v>103</v>
      </c>
      <c r="H20" s="8" t="s">
        <v>7</v>
      </c>
      <c r="I20" s="9" t="s">
        <v>8</v>
      </c>
      <c r="J20" s="9" t="s">
        <v>9</v>
      </c>
      <c r="K20" s="9" t="s">
        <v>10</v>
      </c>
      <c r="L20" s="9" t="s">
        <v>11</v>
      </c>
      <c r="M20" s="9" t="s">
        <v>12</v>
      </c>
      <c r="N20" s="9" t="s">
        <v>13</v>
      </c>
      <c r="O20" s="9" t="s">
        <v>14</v>
      </c>
      <c r="P20" s="9" t="s">
        <v>15</v>
      </c>
      <c r="Q20" s="9" t="s">
        <v>16</v>
      </c>
      <c r="R20" s="9" t="s">
        <v>17</v>
      </c>
      <c r="S20" s="10">
        <v>120</v>
      </c>
      <c r="T20" s="9" t="s">
        <v>18</v>
      </c>
      <c r="U20" s="9" t="s">
        <v>19</v>
      </c>
      <c r="V20" s="11" t="s">
        <v>20</v>
      </c>
      <c r="W20" s="194" t="s">
        <v>21</v>
      </c>
      <c r="X20" s="195" t="s">
        <v>22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</row>
    <row r="21" spans="2:111" ht="15.75" customHeight="1" x14ac:dyDescent="0.2">
      <c r="B21" s="12" t="s">
        <v>64</v>
      </c>
      <c r="C21" s="145"/>
      <c r="D21" s="31"/>
      <c r="E21" s="12"/>
      <c r="F21" s="32"/>
      <c r="G21" s="33"/>
      <c r="H21" s="34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76"/>
      <c r="T21" s="77"/>
      <c r="U21" s="38"/>
      <c r="V21" s="39"/>
      <c r="W21" s="78"/>
      <c r="X21" s="79"/>
    </row>
    <row r="22" spans="2:111" ht="15.75" customHeight="1" x14ac:dyDescent="0.2">
      <c r="B22" s="13" t="s">
        <v>65</v>
      </c>
      <c r="C22" s="146"/>
      <c r="D22" s="42"/>
      <c r="E22" s="13"/>
      <c r="F22" s="43"/>
      <c r="G22" s="44"/>
      <c r="H22" s="45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80"/>
      <c r="T22" s="81"/>
      <c r="U22" s="49"/>
      <c r="V22" s="50"/>
      <c r="W22" s="82"/>
      <c r="X22" s="83"/>
    </row>
    <row r="23" spans="2:111" ht="15.75" customHeight="1" x14ac:dyDescent="0.2">
      <c r="B23" s="13" t="s">
        <v>66</v>
      </c>
      <c r="C23" s="146"/>
      <c r="D23" s="42"/>
      <c r="E23" s="13"/>
      <c r="F23" s="43"/>
      <c r="G23" s="44"/>
      <c r="H23" s="45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80"/>
      <c r="T23" s="81"/>
      <c r="U23" s="49"/>
      <c r="V23" s="50"/>
      <c r="W23" s="82"/>
      <c r="X23" s="83"/>
    </row>
    <row r="24" spans="2:111" ht="15.75" customHeight="1" x14ac:dyDescent="0.2">
      <c r="B24" s="13" t="s">
        <v>67</v>
      </c>
      <c r="C24" s="146"/>
      <c r="D24" s="42"/>
      <c r="E24" s="13"/>
      <c r="F24" s="43"/>
      <c r="G24" s="44"/>
      <c r="H24" s="45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80"/>
      <c r="T24" s="81"/>
      <c r="U24" s="49"/>
      <c r="V24" s="50"/>
      <c r="W24" s="82"/>
      <c r="X24" s="83"/>
    </row>
    <row r="25" spans="2:111" ht="15.75" customHeight="1" x14ac:dyDescent="0.2">
      <c r="B25" s="13" t="s">
        <v>68</v>
      </c>
      <c r="C25" s="146"/>
      <c r="D25" s="42"/>
      <c r="E25" s="13"/>
      <c r="F25" s="43"/>
      <c r="G25" s="44"/>
      <c r="H25" s="45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80"/>
      <c r="T25" s="81"/>
      <c r="U25" s="49"/>
      <c r="V25" s="50"/>
      <c r="W25" s="82"/>
      <c r="X25" s="83"/>
    </row>
    <row r="26" spans="2:111" ht="15.75" customHeight="1" x14ac:dyDescent="0.2">
      <c r="B26" s="13" t="s">
        <v>69</v>
      </c>
      <c r="C26" s="146"/>
      <c r="D26" s="42"/>
      <c r="E26" s="13"/>
      <c r="F26" s="43"/>
      <c r="G26" s="44"/>
      <c r="H26" s="45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80"/>
      <c r="T26" s="81"/>
      <c r="U26" s="49"/>
      <c r="V26" s="50"/>
      <c r="W26" s="82"/>
      <c r="X26" s="83"/>
    </row>
    <row r="27" spans="2:111" ht="15.75" customHeight="1" x14ac:dyDescent="0.2">
      <c r="B27" s="13" t="s">
        <v>70</v>
      </c>
      <c r="C27" s="146"/>
      <c r="D27" s="42"/>
      <c r="E27" s="13"/>
      <c r="F27" s="43"/>
      <c r="G27" s="44"/>
      <c r="H27" s="45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80"/>
      <c r="T27" s="81"/>
      <c r="U27" s="49"/>
      <c r="V27" s="50"/>
      <c r="W27" s="82"/>
      <c r="X27" s="83"/>
    </row>
    <row r="28" spans="2:111" ht="15.75" customHeight="1" thickBot="1" x14ac:dyDescent="0.25">
      <c r="B28" s="13" t="s">
        <v>71</v>
      </c>
      <c r="C28" s="146"/>
      <c r="D28" s="42"/>
      <c r="E28" s="13"/>
      <c r="F28" s="43"/>
      <c r="G28" s="44"/>
      <c r="H28" s="45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80"/>
      <c r="T28" s="81"/>
      <c r="U28" s="49"/>
      <c r="V28" s="50"/>
      <c r="W28" s="82"/>
      <c r="X28" s="83"/>
    </row>
    <row r="29" spans="2:111" ht="15.75" customHeight="1" thickBot="1" x14ac:dyDescent="0.25">
      <c r="B29" s="60"/>
      <c r="C29" s="148"/>
      <c r="D29" s="173"/>
      <c r="E29" s="171"/>
      <c r="F29" s="172"/>
      <c r="G29" s="64"/>
      <c r="H29" s="87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88"/>
      <c r="T29" s="89">
        <f>SUM(T21:T28)</f>
        <v>0</v>
      </c>
      <c r="U29" s="69" t="e">
        <f>AVERAGE(U21:U28)</f>
        <v>#DIV/0!</v>
      </c>
      <c r="V29" s="70">
        <f>SUM(V21:V28)</f>
        <v>0</v>
      </c>
      <c r="W29" s="69" t="e">
        <f>AVERAGE(W21:W28)</f>
        <v>#DIV/0!</v>
      </c>
      <c r="X29" s="70" t="e">
        <f>AVERAGE(X21:X28)</f>
        <v>#DIV/0!</v>
      </c>
    </row>
    <row r="30" spans="2:111" ht="15.75" customHeight="1" x14ac:dyDescent="0.2">
      <c r="B30" s="15"/>
      <c r="C30" s="15"/>
      <c r="D30" s="174"/>
      <c r="E30" s="15"/>
      <c r="F30" s="15"/>
      <c r="G30" s="1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6"/>
      <c r="U30" s="177"/>
      <c r="V30" s="176"/>
      <c r="W30" s="177"/>
      <c r="X30" s="176"/>
    </row>
    <row r="31" spans="2:111" ht="15.75" customHeight="1" x14ac:dyDescent="0.2">
      <c r="B31" s="15"/>
      <c r="C31" s="15"/>
      <c r="D31" s="174"/>
      <c r="E31" s="15"/>
      <c r="F31" s="15"/>
      <c r="G31" s="1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6"/>
      <c r="U31" s="177"/>
      <c r="V31" s="176"/>
      <c r="W31" s="177"/>
      <c r="X31" s="176"/>
    </row>
    <row r="32" spans="2:111" ht="15.75" customHeight="1" x14ac:dyDescent="0.2">
      <c r="B32" s="15"/>
      <c r="C32" s="15"/>
      <c r="D32" s="174"/>
      <c r="E32" s="15"/>
      <c r="F32" s="15"/>
      <c r="G32" s="1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6"/>
      <c r="U32" s="177"/>
      <c r="V32" s="176"/>
      <c r="W32" s="177"/>
      <c r="X32" s="176"/>
    </row>
    <row r="33" spans="2:111" ht="58.5" customHeight="1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72"/>
      <c r="V33" s="15"/>
      <c r="W33" s="72"/>
      <c r="X33" s="73"/>
    </row>
    <row r="34" spans="2:111" ht="15" customHeight="1" thickBot="1" x14ac:dyDescent="0.25">
      <c r="B34" s="17" t="s">
        <v>25</v>
      </c>
      <c r="C34" s="17"/>
      <c r="U34" s="90"/>
      <c r="V34" s="90"/>
      <c r="W34" s="90"/>
    </row>
    <row r="35" spans="2:111" s="6" customFormat="1" ht="12" customHeight="1" x14ac:dyDescent="0.2">
      <c r="B35" s="326" t="s">
        <v>1</v>
      </c>
      <c r="C35" s="328" t="s">
        <v>77</v>
      </c>
      <c r="D35" s="334" t="s">
        <v>2</v>
      </c>
      <c r="E35" s="335" t="s">
        <v>3</v>
      </c>
      <c r="F35" s="336" t="s">
        <v>4</v>
      </c>
      <c r="G35" s="330" t="s">
        <v>5</v>
      </c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32"/>
      <c r="T35" s="334" t="s">
        <v>6</v>
      </c>
      <c r="U35" s="335"/>
      <c r="V35" s="335"/>
      <c r="W35" s="335"/>
      <c r="X35" s="336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</row>
    <row r="36" spans="2:111" s="6" customFormat="1" ht="33" customHeight="1" thickBot="1" x14ac:dyDescent="0.25">
      <c r="B36" s="327"/>
      <c r="C36" s="329"/>
      <c r="D36" s="353"/>
      <c r="E36" s="354"/>
      <c r="F36" s="355"/>
      <c r="G36" s="7" t="s">
        <v>103</v>
      </c>
      <c r="H36" s="8" t="s">
        <v>7</v>
      </c>
      <c r="I36" s="9" t="s">
        <v>8</v>
      </c>
      <c r="J36" s="9" t="s">
        <v>9</v>
      </c>
      <c r="K36" s="9" t="s">
        <v>10</v>
      </c>
      <c r="L36" s="9" t="s">
        <v>11</v>
      </c>
      <c r="M36" s="9" t="s">
        <v>12</v>
      </c>
      <c r="N36" s="9" t="s">
        <v>13</v>
      </c>
      <c r="O36" s="9" t="s">
        <v>14</v>
      </c>
      <c r="P36" s="9" t="s">
        <v>15</v>
      </c>
      <c r="Q36" s="9" t="s">
        <v>16</v>
      </c>
      <c r="R36" s="9" t="s">
        <v>17</v>
      </c>
      <c r="S36" s="10">
        <v>120</v>
      </c>
      <c r="T36" s="9" t="s">
        <v>18</v>
      </c>
      <c r="U36" s="9" t="s">
        <v>19</v>
      </c>
      <c r="V36" s="11" t="s">
        <v>20</v>
      </c>
      <c r="W36" s="194" t="s">
        <v>21</v>
      </c>
      <c r="X36" s="195" t="s">
        <v>22</v>
      </c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</row>
    <row r="37" spans="2:111" ht="15" customHeight="1" x14ac:dyDescent="0.2">
      <c r="B37" s="12" t="s">
        <v>64</v>
      </c>
      <c r="C37" s="145"/>
      <c r="D37" s="31"/>
      <c r="E37" s="12"/>
      <c r="F37" s="32"/>
      <c r="G37" s="33"/>
      <c r="H37" s="34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76"/>
      <c r="T37" s="77"/>
      <c r="U37" s="38"/>
      <c r="V37" s="39"/>
      <c r="W37" s="78"/>
      <c r="X37" s="79"/>
    </row>
    <row r="38" spans="2:111" ht="15" customHeight="1" x14ac:dyDescent="0.2">
      <c r="B38" s="13" t="s">
        <v>65</v>
      </c>
      <c r="C38" s="146"/>
      <c r="D38" s="42"/>
      <c r="E38" s="13"/>
      <c r="F38" s="43"/>
      <c r="G38" s="44"/>
      <c r="H38" s="45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80"/>
      <c r="T38" s="81"/>
      <c r="U38" s="49"/>
      <c r="V38" s="50"/>
      <c r="W38" s="82"/>
      <c r="X38" s="83"/>
    </row>
    <row r="39" spans="2:111" ht="15" customHeight="1" x14ac:dyDescent="0.2">
      <c r="B39" s="13" t="s">
        <v>66</v>
      </c>
      <c r="C39" s="146"/>
      <c r="D39" s="42"/>
      <c r="E39" s="13"/>
      <c r="F39" s="43"/>
      <c r="G39" s="44"/>
      <c r="H39" s="45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80"/>
      <c r="T39" s="81"/>
      <c r="U39" s="49"/>
      <c r="V39" s="50"/>
      <c r="W39" s="82"/>
      <c r="X39" s="83"/>
    </row>
    <row r="40" spans="2:111" ht="15" customHeight="1" x14ac:dyDescent="0.2">
      <c r="B40" s="13" t="s">
        <v>67</v>
      </c>
      <c r="C40" s="146"/>
      <c r="D40" s="42"/>
      <c r="E40" s="13"/>
      <c r="F40" s="43"/>
      <c r="G40" s="44"/>
      <c r="H40" s="45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80"/>
      <c r="T40" s="81"/>
      <c r="U40" s="49"/>
      <c r="V40" s="50"/>
      <c r="W40" s="82"/>
      <c r="X40" s="83"/>
    </row>
    <row r="41" spans="2:111" ht="15" customHeight="1" x14ac:dyDescent="0.2">
      <c r="B41" s="13" t="s">
        <v>68</v>
      </c>
      <c r="C41" s="146"/>
      <c r="D41" s="42"/>
      <c r="E41" s="13"/>
      <c r="F41" s="43"/>
      <c r="G41" s="44"/>
      <c r="H41" s="45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80"/>
      <c r="T41" s="81"/>
      <c r="U41" s="49"/>
      <c r="V41" s="50"/>
      <c r="W41" s="82"/>
      <c r="X41" s="83"/>
    </row>
    <row r="42" spans="2:111" ht="15" customHeight="1" x14ac:dyDescent="0.2">
      <c r="B42" s="13" t="s">
        <v>69</v>
      </c>
      <c r="C42" s="146"/>
      <c r="D42" s="42"/>
      <c r="E42" s="13"/>
      <c r="F42" s="43"/>
      <c r="G42" s="44"/>
      <c r="H42" s="45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80"/>
      <c r="T42" s="81"/>
      <c r="U42" s="49"/>
      <c r="V42" s="50"/>
      <c r="W42" s="82"/>
      <c r="X42" s="83"/>
    </row>
    <row r="43" spans="2:111" ht="15" customHeight="1" x14ac:dyDescent="0.2">
      <c r="B43" s="13" t="s">
        <v>70</v>
      </c>
      <c r="C43" s="146"/>
      <c r="D43" s="42"/>
      <c r="E43" s="13"/>
      <c r="F43" s="43"/>
      <c r="G43" s="44"/>
      <c r="H43" s="45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80"/>
      <c r="T43" s="81"/>
      <c r="U43" s="49"/>
      <c r="V43" s="50"/>
      <c r="W43" s="82"/>
      <c r="X43" s="83"/>
    </row>
    <row r="44" spans="2:111" ht="15" customHeight="1" thickBot="1" x14ac:dyDescent="0.25">
      <c r="B44" s="13" t="s">
        <v>71</v>
      </c>
      <c r="C44" s="146"/>
      <c r="D44" s="42"/>
      <c r="E44" s="13"/>
      <c r="F44" s="43"/>
      <c r="G44" s="44"/>
      <c r="H44" s="45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80"/>
      <c r="T44" s="81"/>
      <c r="U44" s="49"/>
      <c r="V44" s="50"/>
      <c r="W44" s="82"/>
      <c r="X44" s="83"/>
    </row>
    <row r="45" spans="2:111" ht="15" customHeight="1" thickBot="1" x14ac:dyDescent="0.25">
      <c r="B45" s="60"/>
      <c r="C45" s="148"/>
      <c r="D45" s="148"/>
      <c r="E45" s="171"/>
      <c r="F45" s="172"/>
      <c r="G45" s="64"/>
      <c r="H45" s="87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88"/>
      <c r="T45" s="89">
        <f>SUM(T37:T44)</f>
        <v>0</v>
      </c>
      <c r="U45" s="69" t="e">
        <f>AVERAGE(U37:U44)</f>
        <v>#DIV/0!</v>
      </c>
      <c r="V45" s="70">
        <f>SUM(V37:V44)</f>
        <v>0</v>
      </c>
      <c r="W45" s="69" t="e">
        <f>AVERAGE(W37:W44)</f>
        <v>#DIV/0!</v>
      </c>
      <c r="X45" s="93" t="e">
        <f>AVERAGE(X37:X44)</f>
        <v>#DIV/0!</v>
      </c>
    </row>
    <row r="46" spans="2:111" ht="15" customHeight="1" x14ac:dyDescent="0.2">
      <c r="B46" s="15"/>
      <c r="C46" s="15"/>
      <c r="D46" s="15"/>
      <c r="E46" s="15"/>
      <c r="F46" s="15"/>
      <c r="G46" s="1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6"/>
      <c r="U46" s="177"/>
      <c r="V46" s="176"/>
      <c r="W46" s="177"/>
      <c r="X46" s="179"/>
    </row>
    <row r="47" spans="2:111" ht="15" customHeight="1" x14ac:dyDescent="0.2">
      <c r="B47" s="15"/>
      <c r="C47" s="15"/>
      <c r="D47" s="15"/>
      <c r="E47" s="15"/>
      <c r="F47" s="15"/>
      <c r="G47" s="1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6"/>
      <c r="U47" s="177"/>
      <c r="V47" s="176"/>
      <c r="W47" s="177"/>
      <c r="X47" s="179"/>
    </row>
    <row r="48" spans="2:111" ht="15" customHeight="1" x14ac:dyDescent="0.2">
      <c r="B48" s="15"/>
      <c r="C48" s="15"/>
      <c r="D48" s="15"/>
      <c r="E48" s="15"/>
      <c r="F48" s="15"/>
      <c r="G48" s="1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6"/>
      <c r="U48" s="177"/>
      <c r="V48" s="176"/>
      <c r="W48" s="177"/>
      <c r="X48" s="179"/>
    </row>
    <row r="49" spans="2:24" ht="11.25" customHeight="1" x14ac:dyDescent="0.2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72"/>
      <c r="V49" s="15"/>
      <c r="W49" s="72"/>
      <c r="X49" s="73"/>
    </row>
    <row r="50" spans="2:24" ht="15.75" customHeight="1" thickBot="1" x14ac:dyDescent="0.25">
      <c r="B50" s="17" t="s">
        <v>72</v>
      </c>
      <c r="C50" s="17"/>
      <c r="U50" s="90"/>
      <c r="V50" s="90"/>
      <c r="W50" s="90"/>
    </row>
    <row r="51" spans="2:24" ht="15.75" customHeight="1" x14ac:dyDescent="0.2">
      <c r="B51" s="326" t="s">
        <v>1</v>
      </c>
      <c r="C51" s="328" t="s">
        <v>77</v>
      </c>
      <c r="D51" s="330" t="s">
        <v>2</v>
      </c>
      <c r="E51" s="326" t="s">
        <v>24</v>
      </c>
      <c r="F51" s="347" t="s">
        <v>4</v>
      </c>
      <c r="G51" s="330" t="s">
        <v>5</v>
      </c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32"/>
      <c r="T51" s="351" t="s">
        <v>6</v>
      </c>
      <c r="U51" s="335"/>
      <c r="V51" s="335"/>
      <c r="W51" s="335"/>
      <c r="X51" s="336"/>
    </row>
    <row r="52" spans="2:24" ht="33" customHeight="1" thickBot="1" x14ac:dyDescent="0.25">
      <c r="B52" s="342"/>
      <c r="C52" s="329"/>
      <c r="D52" s="331"/>
      <c r="E52" s="327"/>
      <c r="F52" s="346"/>
      <c r="G52" s="7" t="s">
        <v>103</v>
      </c>
      <c r="H52" s="11" t="s">
        <v>26</v>
      </c>
      <c r="I52" s="9" t="s">
        <v>27</v>
      </c>
      <c r="J52" s="9" t="s">
        <v>28</v>
      </c>
      <c r="K52" s="9" t="s">
        <v>29</v>
      </c>
      <c r="L52" s="9" t="s">
        <v>30</v>
      </c>
      <c r="M52" s="9" t="s">
        <v>31</v>
      </c>
      <c r="N52" s="9" t="s">
        <v>32</v>
      </c>
      <c r="O52" s="9" t="s">
        <v>33</v>
      </c>
      <c r="P52" s="9" t="s">
        <v>34</v>
      </c>
      <c r="Q52" s="9" t="s">
        <v>35</v>
      </c>
      <c r="R52" s="9" t="s">
        <v>36</v>
      </c>
      <c r="S52" s="10">
        <v>70</v>
      </c>
      <c r="T52" s="9" t="s">
        <v>18</v>
      </c>
      <c r="U52" s="9" t="s">
        <v>19</v>
      </c>
      <c r="V52" s="11" t="s">
        <v>20</v>
      </c>
      <c r="W52" s="194" t="s">
        <v>21</v>
      </c>
      <c r="X52" s="195" t="s">
        <v>22</v>
      </c>
    </row>
    <row r="53" spans="2:24" ht="15.75" customHeight="1" x14ac:dyDescent="0.2">
      <c r="B53" s="12" t="s">
        <v>64</v>
      </c>
      <c r="C53" s="145"/>
      <c r="D53" s="31"/>
      <c r="E53" s="12"/>
      <c r="F53" s="32"/>
      <c r="G53" s="94"/>
      <c r="H53" s="34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76"/>
      <c r="T53" s="77"/>
      <c r="U53" s="38"/>
      <c r="V53" s="39"/>
      <c r="W53" s="78"/>
      <c r="X53" s="79"/>
    </row>
    <row r="54" spans="2:24" ht="15.75" customHeight="1" x14ac:dyDescent="0.2">
      <c r="B54" s="13" t="s">
        <v>65</v>
      </c>
      <c r="C54" s="146"/>
      <c r="D54" s="42"/>
      <c r="E54" s="13"/>
      <c r="F54" s="43"/>
      <c r="G54" s="95"/>
      <c r="H54" s="45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80"/>
      <c r="T54" s="81"/>
      <c r="U54" s="49"/>
      <c r="V54" s="50"/>
      <c r="W54" s="82"/>
      <c r="X54" s="83"/>
    </row>
    <row r="55" spans="2:24" ht="15.75" customHeight="1" x14ac:dyDescent="0.2">
      <c r="B55" s="13" t="s">
        <v>66</v>
      </c>
      <c r="C55" s="146"/>
      <c r="D55" s="42"/>
      <c r="E55" s="13"/>
      <c r="F55" s="43"/>
      <c r="G55" s="95"/>
      <c r="H55" s="45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80"/>
      <c r="T55" s="81"/>
      <c r="U55" s="49"/>
      <c r="V55" s="50"/>
      <c r="W55" s="82"/>
      <c r="X55" s="83"/>
    </row>
    <row r="56" spans="2:24" ht="15.75" customHeight="1" x14ac:dyDescent="0.2">
      <c r="B56" s="13" t="s">
        <v>67</v>
      </c>
      <c r="C56" s="146"/>
      <c r="D56" s="42"/>
      <c r="E56" s="13"/>
      <c r="F56" s="43"/>
      <c r="G56" s="95"/>
      <c r="H56" s="45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80"/>
      <c r="T56" s="81"/>
      <c r="U56" s="49"/>
      <c r="V56" s="50"/>
      <c r="W56" s="82"/>
      <c r="X56" s="83"/>
    </row>
    <row r="57" spans="2:24" ht="15.75" customHeight="1" x14ac:dyDescent="0.2">
      <c r="B57" s="13" t="s">
        <v>68</v>
      </c>
      <c r="C57" s="146"/>
      <c r="D57" s="42"/>
      <c r="E57" s="13"/>
      <c r="F57" s="43"/>
      <c r="G57" s="95"/>
      <c r="H57" s="45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80"/>
      <c r="T57" s="81"/>
      <c r="U57" s="49"/>
      <c r="V57" s="50"/>
      <c r="W57" s="82"/>
      <c r="X57" s="83"/>
    </row>
    <row r="58" spans="2:24" ht="15.75" customHeight="1" x14ac:dyDescent="0.2">
      <c r="B58" s="13" t="s">
        <v>69</v>
      </c>
      <c r="C58" s="146"/>
      <c r="D58" s="42"/>
      <c r="E58" s="13"/>
      <c r="F58" s="43"/>
      <c r="G58" s="95"/>
      <c r="H58" s="45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80"/>
      <c r="T58" s="81"/>
      <c r="U58" s="49"/>
      <c r="V58" s="50"/>
      <c r="W58" s="82"/>
      <c r="X58" s="83"/>
    </row>
    <row r="59" spans="2:24" ht="15.75" customHeight="1" x14ac:dyDescent="0.2">
      <c r="B59" s="13" t="s">
        <v>70</v>
      </c>
      <c r="C59" s="146"/>
      <c r="D59" s="42"/>
      <c r="E59" s="13"/>
      <c r="F59" s="43"/>
      <c r="G59" s="95"/>
      <c r="H59" s="45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80"/>
      <c r="T59" s="81"/>
      <c r="U59" s="49"/>
      <c r="V59" s="50"/>
      <c r="W59" s="82"/>
      <c r="X59" s="83"/>
    </row>
    <row r="60" spans="2:24" ht="15.75" customHeight="1" thickBot="1" x14ac:dyDescent="0.25">
      <c r="B60" s="13" t="s">
        <v>71</v>
      </c>
      <c r="C60" s="146"/>
      <c r="D60" s="42"/>
      <c r="E60" s="13"/>
      <c r="F60" s="43"/>
      <c r="G60" s="95"/>
      <c r="H60" s="45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80"/>
      <c r="T60" s="81"/>
      <c r="U60" s="49"/>
      <c r="V60" s="50"/>
      <c r="W60" s="82"/>
      <c r="X60" s="83"/>
    </row>
    <row r="61" spans="2:24" ht="15.75" customHeight="1" thickBot="1" x14ac:dyDescent="0.25">
      <c r="B61" s="96"/>
      <c r="C61" s="149"/>
      <c r="D61" s="149"/>
      <c r="E61" s="171"/>
      <c r="F61" s="170"/>
      <c r="G61" s="99"/>
      <c r="H61" s="65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88"/>
      <c r="T61" s="89">
        <f>SUM(T53:T60)</f>
        <v>0</v>
      </c>
      <c r="U61" s="69" t="e">
        <f>AVERAGE(U53:U60)</f>
        <v>#DIV/0!</v>
      </c>
      <c r="V61" s="70">
        <f>SUM(V53:V60)</f>
        <v>0</v>
      </c>
      <c r="W61" s="69" t="e">
        <f>AVERAGE(W53:W60)</f>
        <v>#DIV/0!</v>
      </c>
      <c r="X61" s="93" t="e">
        <f>AVERAGE(X53:X60)</f>
        <v>#DIV/0!</v>
      </c>
    </row>
    <row r="62" spans="2:24" ht="15.75" customHeight="1" x14ac:dyDescent="0.2">
      <c r="B62" s="3"/>
      <c r="C62" s="3"/>
      <c r="D62" s="3"/>
      <c r="E62" s="15"/>
      <c r="F62" s="3"/>
      <c r="G62" s="3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6"/>
      <c r="U62" s="177"/>
      <c r="V62" s="176"/>
      <c r="W62" s="177"/>
      <c r="X62" s="179"/>
    </row>
    <row r="63" spans="2:24" ht="15.75" customHeight="1" x14ac:dyDescent="0.2">
      <c r="B63" s="3"/>
      <c r="C63" s="3"/>
      <c r="D63" s="3"/>
      <c r="E63" s="15"/>
      <c r="F63" s="3"/>
      <c r="G63" s="3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6"/>
      <c r="U63" s="177"/>
      <c r="V63" s="176"/>
      <c r="W63" s="177"/>
      <c r="X63" s="179"/>
    </row>
    <row r="64" spans="2:24" ht="15.75" customHeight="1" x14ac:dyDescent="0.2">
      <c r="B64" s="3"/>
      <c r="C64" s="3"/>
      <c r="D64" s="3"/>
      <c r="E64" s="15"/>
      <c r="F64" s="3"/>
      <c r="G64" s="3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6"/>
      <c r="U64" s="177"/>
      <c r="V64" s="176"/>
      <c r="W64" s="177"/>
      <c r="X64" s="179"/>
    </row>
    <row r="65" spans="2:111" ht="75" customHeight="1" x14ac:dyDescent="0.2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72"/>
      <c r="V65" s="15"/>
      <c r="W65" s="72"/>
      <c r="X65" s="73"/>
    </row>
    <row r="66" spans="2:111" ht="17.25" customHeight="1" thickBot="1" x14ac:dyDescent="0.25">
      <c r="B66" s="17" t="s">
        <v>74</v>
      </c>
      <c r="C66" s="17"/>
      <c r="U66" s="90"/>
      <c r="V66" s="90"/>
      <c r="W66" s="90"/>
    </row>
    <row r="67" spans="2:111" s="6" customFormat="1" ht="11.25" customHeight="1" x14ac:dyDescent="0.2">
      <c r="B67" s="326" t="s">
        <v>1</v>
      </c>
      <c r="C67" s="328" t="s">
        <v>77</v>
      </c>
      <c r="D67" s="330" t="s">
        <v>2</v>
      </c>
      <c r="E67" s="326" t="s">
        <v>24</v>
      </c>
      <c r="F67" s="347" t="s">
        <v>4</v>
      </c>
      <c r="G67" s="330" t="s">
        <v>5</v>
      </c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32"/>
      <c r="T67" s="351" t="s">
        <v>6</v>
      </c>
      <c r="U67" s="335"/>
      <c r="V67" s="335"/>
      <c r="W67" s="335"/>
      <c r="X67" s="336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</row>
    <row r="68" spans="2:111" s="6" customFormat="1" ht="31.5" customHeight="1" thickBot="1" x14ac:dyDescent="0.25">
      <c r="B68" s="342"/>
      <c r="C68" s="329"/>
      <c r="D68" s="331"/>
      <c r="E68" s="327"/>
      <c r="F68" s="346"/>
      <c r="G68" s="7" t="s">
        <v>103</v>
      </c>
      <c r="H68" s="11" t="s">
        <v>38</v>
      </c>
      <c r="I68" s="9" t="s">
        <v>39</v>
      </c>
      <c r="J68" s="9" t="s">
        <v>40</v>
      </c>
      <c r="K68" s="9" t="s">
        <v>41</v>
      </c>
      <c r="L68" s="9" t="s">
        <v>42</v>
      </c>
      <c r="M68" s="9" t="s">
        <v>43</v>
      </c>
      <c r="N68" s="9" t="s">
        <v>44</v>
      </c>
      <c r="O68" s="9" t="s">
        <v>45</v>
      </c>
      <c r="P68" s="9" t="s">
        <v>29</v>
      </c>
      <c r="Q68" s="9" t="s">
        <v>46</v>
      </c>
      <c r="R68" s="9" t="s">
        <v>47</v>
      </c>
      <c r="S68" s="10">
        <v>50</v>
      </c>
      <c r="T68" s="9" t="s">
        <v>18</v>
      </c>
      <c r="U68" s="9" t="s">
        <v>19</v>
      </c>
      <c r="V68" s="11" t="s">
        <v>20</v>
      </c>
      <c r="W68" s="194" t="s">
        <v>21</v>
      </c>
      <c r="X68" s="195" t="s">
        <v>22</v>
      </c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</row>
    <row r="69" spans="2:111" ht="14.25" customHeight="1" x14ac:dyDescent="0.2">
      <c r="B69" s="12" t="s">
        <v>64</v>
      </c>
      <c r="C69" s="145"/>
      <c r="D69" s="31"/>
      <c r="E69" s="12"/>
      <c r="F69" s="100"/>
      <c r="G69" s="33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76"/>
      <c r="T69" s="77"/>
      <c r="U69" s="38"/>
      <c r="V69" s="39"/>
      <c r="W69" s="78"/>
      <c r="X69" s="79"/>
    </row>
    <row r="70" spans="2:111" ht="14.25" customHeight="1" x14ac:dyDescent="0.2">
      <c r="B70" s="13" t="s">
        <v>65</v>
      </c>
      <c r="C70" s="146"/>
      <c r="D70" s="42"/>
      <c r="E70" s="13"/>
      <c r="F70" s="101"/>
      <c r="G70" s="44"/>
      <c r="H70" s="45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80"/>
      <c r="T70" s="81"/>
      <c r="U70" s="49"/>
      <c r="V70" s="50"/>
      <c r="W70" s="82"/>
      <c r="X70" s="83"/>
    </row>
    <row r="71" spans="2:111" ht="14.25" customHeight="1" x14ac:dyDescent="0.2">
      <c r="B71" s="13" t="s">
        <v>66</v>
      </c>
      <c r="C71" s="146"/>
      <c r="D71" s="42"/>
      <c r="E71" s="13"/>
      <c r="F71" s="101"/>
      <c r="G71" s="44"/>
      <c r="H71" s="45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80"/>
      <c r="T71" s="81"/>
      <c r="U71" s="49"/>
      <c r="V71" s="50"/>
      <c r="W71" s="82"/>
      <c r="X71" s="83"/>
    </row>
    <row r="72" spans="2:111" ht="14.25" customHeight="1" x14ac:dyDescent="0.2">
      <c r="B72" s="13" t="s">
        <v>67</v>
      </c>
      <c r="C72" s="146"/>
      <c r="D72" s="42"/>
      <c r="E72" s="13"/>
      <c r="F72" s="101"/>
      <c r="G72" s="44"/>
      <c r="H72" s="45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80"/>
      <c r="T72" s="81"/>
      <c r="U72" s="49"/>
      <c r="V72" s="50"/>
      <c r="W72" s="82"/>
      <c r="X72" s="83"/>
    </row>
    <row r="73" spans="2:111" ht="14.25" customHeight="1" x14ac:dyDescent="0.2">
      <c r="B73" s="13" t="s">
        <v>68</v>
      </c>
      <c r="C73" s="146"/>
      <c r="D73" s="42"/>
      <c r="E73" s="13"/>
      <c r="F73" s="101"/>
      <c r="G73" s="44"/>
      <c r="H73" s="45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80"/>
      <c r="T73" s="81"/>
      <c r="U73" s="49"/>
      <c r="V73" s="50"/>
      <c r="W73" s="82"/>
      <c r="X73" s="83"/>
    </row>
    <row r="74" spans="2:111" ht="14.25" customHeight="1" x14ac:dyDescent="0.2">
      <c r="B74" s="13" t="s">
        <v>69</v>
      </c>
      <c r="C74" s="146"/>
      <c r="D74" s="42"/>
      <c r="E74" s="13"/>
      <c r="F74" s="101"/>
      <c r="G74" s="44"/>
      <c r="H74" s="45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80"/>
      <c r="T74" s="81"/>
      <c r="U74" s="49"/>
      <c r="V74" s="50"/>
      <c r="W74" s="82"/>
      <c r="X74" s="83"/>
    </row>
    <row r="75" spans="2:111" ht="14.25" customHeight="1" x14ac:dyDescent="0.2">
      <c r="B75" s="13" t="s">
        <v>70</v>
      </c>
      <c r="C75" s="146"/>
      <c r="D75" s="42"/>
      <c r="E75" s="13"/>
      <c r="F75" s="101"/>
      <c r="G75" s="44"/>
      <c r="H75" s="45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80"/>
      <c r="T75" s="81"/>
      <c r="U75" s="49"/>
      <c r="V75" s="50"/>
      <c r="W75" s="82"/>
      <c r="X75" s="83"/>
    </row>
    <row r="76" spans="2:111" ht="14.25" customHeight="1" thickBot="1" x14ac:dyDescent="0.25">
      <c r="B76" s="13" t="s">
        <v>71</v>
      </c>
      <c r="C76" s="146"/>
      <c r="D76" s="42"/>
      <c r="E76" s="13"/>
      <c r="F76" s="101"/>
      <c r="G76" s="44"/>
      <c r="H76" s="45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80"/>
      <c r="T76" s="81"/>
      <c r="U76" s="49"/>
      <c r="V76" s="50"/>
      <c r="W76" s="82"/>
      <c r="X76" s="83"/>
    </row>
    <row r="77" spans="2:111" ht="14.25" customHeight="1" thickBot="1" x14ac:dyDescent="0.25">
      <c r="B77" s="96"/>
      <c r="C77" s="149"/>
      <c r="D77" s="149"/>
      <c r="E77" s="171"/>
      <c r="F77" s="170"/>
      <c r="G77" s="99"/>
      <c r="H77" s="65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88"/>
      <c r="T77" s="89">
        <f>SUM(T69:T76)</f>
        <v>0</v>
      </c>
      <c r="U77" s="69" t="e">
        <f>AVERAGE(U69:U76)</f>
        <v>#DIV/0!</v>
      </c>
      <c r="V77" s="70">
        <f>SUM(V69:V76)</f>
        <v>0</v>
      </c>
      <c r="W77" s="69" t="e">
        <f>AVERAGE(W69:W76)</f>
        <v>#DIV/0!</v>
      </c>
      <c r="X77" s="93" t="e">
        <f>AVERAGE(X69:X76)</f>
        <v>#DIV/0!</v>
      </c>
    </row>
    <row r="78" spans="2:111" ht="14.25" customHeight="1" x14ac:dyDescent="0.2">
      <c r="B78" s="3"/>
      <c r="C78" s="3"/>
      <c r="D78" s="3"/>
      <c r="E78" s="15"/>
      <c r="F78" s="3"/>
      <c r="G78" s="3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6"/>
      <c r="U78" s="177"/>
      <c r="V78" s="176"/>
      <c r="W78" s="177"/>
      <c r="X78" s="179"/>
    </row>
    <row r="79" spans="2:111" ht="14.25" customHeight="1" x14ac:dyDescent="0.2">
      <c r="B79" s="3"/>
      <c r="C79" s="3"/>
      <c r="D79" s="3"/>
      <c r="E79" s="15"/>
      <c r="F79" s="3"/>
      <c r="G79" s="3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6"/>
      <c r="U79" s="177"/>
      <c r="V79" s="176"/>
      <c r="W79" s="177"/>
      <c r="X79" s="179"/>
    </row>
    <row r="80" spans="2:111" ht="14.25" customHeight="1" x14ac:dyDescent="0.2">
      <c r="B80" s="3"/>
      <c r="C80" s="3"/>
      <c r="D80" s="3"/>
      <c r="E80" s="15"/>
      <c r="F80" s="3"/>
      <c r="G80" s="3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6"/>
      <c r="U80" s="177"/>
      <c r="V80" s="176"/>
      <c r="W80" s="177"/>
      <c r="X80" s="179"/>
    </row>
    <row r="81" spans="2:111" ht="73.5" customHeight="1" x14ac:dyDescent="0.2">
      <c r="U81" s="90"/>
      <c r="V81" s="90"/>
      <c r="W81" s="90"/>
    </row>
    <row r="82" spans="2:111" ht="13.5" customHeight="1" thickBot="1" x14ac:dyDescent="0.25">
      <c r="B82" s="17" t="s">
        <v>48</v>
      </c>
      <c r="C82" s="17"/>
      <c r="U82" s="90"/>
      <c r="V82" s="90"/>
      <c r="W82" s="90"/>
    </row>
    <row r="83" spans="2:111" s="6" customFormat="1" ht="15" customHeight="1" x14ac:dyDescent="0.2">
      <c r="B83" s="326" t="s">
        <v>1</v>
      </c>
      <c r="C83" s="328" t="s">
        <v>77</v>
      </c>
      <c r="D83" s="330" t="s">
        <v>2</v>
      </c>
      <c r="E83" s="326" t="s">
        <v>24</v>
      </c>
      <c r="F83" s="332" t="s">
        <v>4</v>
      </c>
      <c r="G83" s="330" t="s">
        <v>5</v>
      </c>
      <c r="H83" s="347"/>
      <c r="I83" s="347"/>
      <c r="J83" s="347"/>
      <c r="K83" s="347"/>
      <c r="L83" s="347"/>
      <c r="M83" s="347"/>
      <c r="N83" s="347"/>
      <c r="O83" s="347"/>
      <c r="P83" s="347"/>
      <c r="Q83" s="347"/>
      <c r="R83" s="347"/>
      <c r="S83" s="332"/>
      <c r="T83" s="334" t="s">
        <v>6</v>
      </c>
      <c r="U83" s="335"/>
      <c r="V83" s="335"/>
      <c r="W83" s="335"/>
      <c r="X83" s="336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</row>
    <row r="84" spans="2:111" s="6" customFormat="1" ht="27.75" customHeight="1" thickBot="1" x14ac:dyDescent="0.25">
      <c r="B84" s="342"/>
      <c r="C84" s="329"/>
      <c r="D84" s="331"/>
      <c r="E84" s="327"/>
      <c r="F84" s="333"/>
      <c r="G84" s="7" t="s">
        <v>103</v>
      </c>
      <c r="H84" s="11" t="s">
        <v>38</v>
      </c>
      <c r="I84" s="9" t="s">
        <v>39</v>
      </c>
      <c r="J84" s="9" t="s">
        <v>40</v>
      </c>
      <c r="K84" s="9" t="s">
        <v>41</v>
      </c>
      <c r="L84" s="9" t="s">
        <v>42</v>
      </c>
      <c r="M84" s="9" t="s">
        <v>43</v>
      </c>
      <c r="N84" s="9" t="s">
        <v>44</v>
      </c>
      <c r="O84" s="9" t="s">
        <v>45</v>
      </c>
      <c r="P84" s="18" t="s">
        <v>29</v>
      </c>
      <c r="Q84" s="9" t="s">
        <v>46</v>
      </c>
      <c r="R84" s="9" t="s">
        <v>47</v>
      </c>
      <c r="S84" s="10">
        <v>50</v>
      </c>
      <c r="T84" s="9" t="s">
        <v>18</v>
      </c>
      <c r="U84" s="9" t="s">
        <v>19</v>
      </c>
      <c r="V84" s="11" t="s">
        <v>20</v>
      </c>
      <c r="W84" s="194" t="s">
        <v>21</v>
      </c>
      <c r="X84" s="195" t="s">
        <v>22</v>
      </c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</row>
    <row r="85" spans="2:111" ht="15" customHeight="1" x14ac:dyDescent="0.15">
      <c r="B85" s="12" t="s">
        <v>64</v>
      </c>
      <c r="C85" s="145"/>
      <c r="D85" s="31"/>
      <c r="E85" s="12"/>
      <c r="F85" s="32"/>
      <c r="G85" s="33"/>
      <c r="H85" s="103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5"/>
      <c r="T85" s="77"/>
      <c r="U85" s="38"/>
      <c r="V85" s="39"/>
      <c r="W85" s="78"/>
      <c r="X85" s="106"/>
    </row>
    <row r="86" spans="2:111" ht="15" customHeight="1" x14ac:dyDescent="0.15">
      <c r="B86" s="13" t="s">
        <v>65</v>
      </c>
      <c r="C86" s="146"/>
      <c r="D86" s="42"/>
      <c r="E86" s="13"/>
      <c r="F86" s="43"/>
      <c r="G86" s="44"/>
      <c r="H86" s="107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9"/>
      <c r="T86" s="81"/>
      <c r="U86" s="49"/>
      <c r="V86" s="50"/>
      <c r="W86" s="82"/>
      <c r="X86" s="110"/>
    </row>
    <row r="87" spans="2:111" ht="15" customHeight="1" x14ac:dyDescent="0.15">
      <c r="B87" s="13" t="s">
        <v>66</v>
      </c>
      <c r="C87" s="146"/>
      <c r="D87" s="42"/>
      <c r="E87" s="13"/>
      <c r="F87" s="43"/>
      <c r="G87" s="44"/>
      <c r="H87" s="107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9"/>
      <c r="T87" s="81"/>
      <c r="U87" s="49"/>
      <c r="V87" s="50"/>
      <c r="W87" s="82"/>
      <c r="X87" s="110"/>
    </row>
    <row r="88" spans="2:111" ht="15" customHeight="1" x14ac:dyDescent="0.15">
      <c r="B88" s="13" t="s">
        <v>67</v>
      </c>
      <c r="C88" s="146"/>
      <c r="D88" s="42"/>
      <c r="E88" s="13"/>
      <c r="F88" s="43"/>
      <c r="G88" s="44"/>
      <c r="H88" s="107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9"/>
      <c r="T88" s="81"/>
      <c r="U88" s="49"/>
      <c r="V88" s="50"/>
      <c r="W88" s="82"/>
      <c r="X88" s="110"/>
    </row>
    <row r="89" spans="2:111" ht="15" customHeight="1" x14ac:dyDescent="0.15">
      <c r="B89" s="13" t="s">
        <v>68</v>
      </c>
      <c r="C89" s="146"/>
      <c r="D89" s="42"/>
      <c r="E89" s="13"/>
      <c r="F89" s="43"/>
      <c r="G89" s="44"/>
      <c r="H89" s="107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9"/>
      <c r="T89" s="81"/>
      <c r="U89" s="49"/>
      <c r="V89" s="50"/>
      <c r="W89" s="82"/>
      <c r="X89" s="110"/>
    </row>
    <row r="90" spans="2:111" ht="15" customHeight="1" x14ac:dyDescent="0.15">
      <c r="B90" s="13" t="s">
        <v>69</v>
      </c>
      <c r="C90" s="146"/>
      <c r="D90" s="42"/>
      <c r="E90" s="13"/>
      <c r="F90" s="43"/>
      <c r="G90" s="44"/>
      <c r="H90" s="107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9"/>
      <c r="T90" s="81"/>
      <c r="U90" s="49"/>
      <c r="V90" s="50"/>
      <c r="W90" s="82"/>
      <c r="X90" s="110"/>
    </row>
    <row r="91" spans="2:111" ht="15" customHeight="1" x14ac:dyDescent="0.15">
      <c r="B91" s="13" t="s">
        <v>70</v>
      </c>
      <c r="C91" s="146"/>
      <c r="D91" s="42"/>
      <c r="E91" s="13"/>
      <c r="F91" s="43"/>
      <c r="G91" s="44"/>
      <c r="H91" s="107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9"/>
      <c r="T91" s="81"/>
      <c r="U91" s="49"/>
      <c r="V91" s="50"/>
      <c r="W91" s="82"/>
      <c r="X91" s="110"/>
    </row>
    <row r="92" spans="2:111" ht="15" customHeight="1" thickBot="1" x14ac:dyDescent="0.2">
      <c r="B92" s="13" t="s">
        <v>71</v>
      </c>
      <c r="C92" s="146"/>
      <c r="D92" s="42"/>
      <c r="E92" s="13"/>
      <c r="F92" s="43"/>
      <c r="G92" s="44"/>
      <c r="H92" s="107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9"/>
      <c r="T92" s="81"/>
      <c r="U92" s="49"/>
      <c r="V92" s="50"/>
      <c r="W92" s="82"/>
      <c r="X92" s="110"/>
    </row>
    <row r="93" spans="2:111" ht="15" customHeight="1" thickBot="1" x14ac:dyDescent="0.25">
      <c r="B93" s="96"/>
      <c r="C93" s="149"/>
      <c r="D93" s="149"/>
      <c r="E93" s="171"/>
      <c r="F93" s="170"/>
      <c r="G93" s="99"/>
      <c r="H93" s="97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98"/>
      <c r="T93" s="89">
        <f>SUM(T85:T92)</f>
        <v>0</v>
      </c>
      <c r="U93" s="69" t="e">
        <f>AVERAGE(U85:U92)</f>
        <v>#DIV/0!</v>
      </c>
      <c r="V93" s="70">
        <f>SUM(V85:V92)</f>
        <v>0</v>
      </c>
      <c r="W93" s="69" t="e">
        <f>AVERAGE(W85:W92)</f>
        <v>#DIV/0!</v>
      </c>
      <c r="X93" s="93" t="e">
        <f>AVERAGE(X85:X92)</f>
        <v>#DIV/0!</v>
      </c>
    </row>
    <row r="94" spans="2:111" ht="15" customHeight="1" x14ac:dyDescent="0.2">
      <c r="B94" s="3"/>
      <c r="C94" s="3"/>
      <c r="D94" s="3"/>
      <c r="E94" s="1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76"/>
      <c r="U94" s="177"/>
      <c r="V94" s="176"/>
      <c r="W94" s="177"/>
      <c r="X94" s="179"/>
    </row>
    <row r="95" spans="2:111" ht="15" customHeight="1" x14ac:dyDescent="0.2">
      <c r="B95" s="3"/>
      <c r="C95" s="3"/>
      <c r="D95" s="3"/>
      <c r="E95" s="1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176"/>
      <c r="U95" s="177"/>
      <c r="V95" s="176"/>
      <c r="W95" s="177"/>
      <c r="X95" s="179"/>
    </row>
    <row r="96" spans="2:111" ht="15" customHeight="1" x14ac:dyDescent="0.2">
      <c r="B96" s="3"/>
      <c r="C96" s="3"/>
      <c r="D96" s="3"/>
      <c r="E96" s="1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76"/>
      <c r="U96" s="177"/>
      <c r="V96" s="176"/>
      <c r="W96" s="177"/>
      <c r="X96" s="179"/>
    </row>
    <row r="97" spans="2:111" ht="66" customHeight="1" x14ac:dyDescent="0.2">
      <c r="B97" s="3"/>
      <c r="C97" s="3"/>
      <c r="D97" s="3"/>
      <c r="E97" s="1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5"/>
      <c r="U97" s="72"/>
      <c r="V97" s="15"/>
      <c r="W97" s="72"/>
      <c r="X97" s="4"/>
    </row>
    <row r="98" spans="2:111" ht="15" customHeight="1" thickBot="1" x14ac:dyDescent="0.25">
      <c r="B98" s="17" t="s">
        <v>49</v>
      </c>
      <c r="C98" s="17"/>
      <c r="U98" s="90"/>
      <c r="V98" s="90"/>
      <c r="W98" s="90"/>
    </row>
    <row r="99" spans="2:111" ht="13.5" customHeight="1" x14ac:dyDescent="0.2">
      <c r="B99" s="326" t="s">
        <v>1</v>
      </c>
      <c r="C99" s="328" t="s">
        <v>77</v>
      </c>
      <c r="D99" s="330" t="s">
        <v>2</v>
      </c>
      <c r="E99" s="326" t="s">
        <v>24</v>
      </c>
      <c r="F99" s="347" t="s">
        <v>4</v>
      </c>
      <c r="G99" s="330" t="s">
        <v>5</v>
      </c>
      <c r="H99" s="347"/>
      <c r="I99" s="347"/>
      <c r="J99" s="347"/>
      <c r="K99" s="347"/>
      <c r="L99" s="347"/>
      <c r="M99" s="347"/>
      <c r="N99" s="347"/>
      <c r="O99" s="347"/>
      <c r="P99" s="347"/>
      <c r="Q99" s="347"/>
      <c r="R99" s="347"/>
      <c r="S99" s="332"/>
      <c r="T99" s="351" t="s">
        <v>6</v>
      </c>
      <c r="U99" s="335"/>
      <c r="V99" s="335"/>
      <c r="W99" s="335"/>
      <c r="X99" s="336"/>
    </row>
    <row r="100" spans="2:111" s="6" customFormat="1" ht="30.75" customHeight="1" thickBot="1" x14ac:dyDescent="0.25">
      <c r="B100" s="342"/>
      <c r="C100" s="329"/>
      <c r="D100" s="331"/>
      <c r="E100" s="327"/>
      <c r="F100" s="346"/>
      <c r="G100" s="7" t="s">
        <v>103</v>
      </c>
      <c r="H100" s="19" t="s">
        <v>38</v>
      </c>
      <c r="I100" s="19" t="s">
        <v>39</v>
      </c>
      <c r="J100" s="19" t="s">
        <v>40</v>
      </c>
      <c r="K100" s="19" t="s">
        <v>41</v>
      </c>
      <c r="L100" s="19" t="s">
        <v>42</v>
      </c>
      <c r="M100" s="19" t="s">
        <v>43</v>
      </c>
      <c r="N100" s="19" t="s">
        <v>44</v>
      </c>
      <c r="O100" s="19" t="s">
        <v>45</v>
      </c>
      <c r="P100" s="20" t="s">
        <v>29</v>
      </c>
      <c r="Q100" s="19" t="s">
        <v>46</v>
      </c>
      <c r="R100" s="19" t="s">
        <v>47</v>
      </c>
      <c r="S100" s="21">
        <v>50</v>
      </c>
      <c r="T100" s="9" t="s">
        <v>18</v>
      </c>
      <c r="U100" s="9" t="s">
        <v>19</v>
      </c>
      <c r="V100" s="11" t="s">
        <v>20</v>
      </c>
      <c r="W100" s="194" t="s">
        <v>21</v>
      </c>
      <c r="X100" s="195" t="s">
        <v>22</v>
      </c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</row>
    <row r="101" spans="2:111" s="6" customFormat="1" ht="15" customHeight="1" x14ac:dyDescent="0.2">
      <c r="B101" s="12" t="s">
        <v>64</v>
      </c>
      <c r="C101" s="145"/>
      <c r="D101" s="31"/>
      <c r="E101" s="12"/>
      <c r="F101" s="32"/>
      <c r="G101" s="33"/>
      <c r="H101" s="112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4"/>
      <c r="T101" s="77"/>
      <c r="U101" s="38"/>
      <c r="V101" s="39"/>
      <c r="W101" s="78"/>
      <c r="X101" s="7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</row>
    <row r="102" spans="2:111" ht="15" customHeight="1" x14ac:dyDescent="0.2">
      <c r="B102" s="13" t="s">
        <v>65</v>
      </c>
      <c r="C102" s="146"/>
      <c r="D102" s="42"/>
      <c r="E102" s="13"/>
      <c r="F102" s="43"/>
      <c r="G102" s="44"/>
      <c r="H102" s="107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9"/>
      <c r="T102" s="81"/>
      <c r="U102" s="49"/>
      <c r="V102" s="50"/>
      <c r="W102" s="82"/>
      <c r="X102" s="83"/>
    </row>
    <row r="103" spans="2:111" ht="15" customHeight="1" x14ac:dyDescent="0.2">
      <c r="B103" s="13" t="s">
        <v>66</v>
      </c>
      <c r="C103" s="146"/>
      <c r="D103" s="42"/>
      <c r="E103" s="13"/>
      <c r="F103" s="43"/>
      <c r="G103" s="44"/>
      <c r="H103" s="107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9"/>
      <c r="T103" s="81"/>
      <c r="U103" s="49"/>
      <c r="V103" s="50"/>
      <c r="W103" s="82"/>
      <c r="X103" s="83"/>
    </row>
    <row r="104" spans="2:111" ht="15" customHeight="1" x14ac:dyDescent="0.2">
      <c r="B104" s="13" t="s">
        <v>67</v>
      </c>
      <c r="C104" s="146"/>
      <c r="D104" s="42"/>
      <c r="E104" s="13"/>
      <c r="F104" s="43"/>
      <c r="G104" s="44"/>
      <c r="H104" s="107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9"/>
      <c r="T104" s="81"/>
      <c r="U104" s="49"/>
      <c r="V104" s="50"/>
      <c r="W104" s="82"/>
      <c r="X104" s="83"/>
    </row>
    <row r="105" spans="2:111" ht="15" customHeight="1" x14ac:dyDescent="0.2">
      <c r="B105" s="13" t="s">
        <v>68</v>
      </c>
      <c r="C105" s="146"/>
      <c r="D105" s="42"/>
      <c r="E105" s="13"/>
      <c r="F105" s="43"/>
      <c r="G105" s="44"/>
      <c r="H105" s="107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9"/>
      <c r="T105" s="81"/>
      <c r="U105" s="49"/>
      <c r="V105" s="50"/>
      <c r="W105" s="82"/>
      <c r="X105" s="83"/>
    </row>
    <row r="106" spans="2:111" ht="15" customHeight="1" x14ac:dyDescent="0.2">
      <c r="B106" s="13" t="s">
        <v>69</v>
      </c>
      <c r="C106" s="146"/>
      <c r="D106" s="42"/>
      <c r="E106" s="13"/>
      <c r="F106" s="43"/>
      <c r="G106" s="44"/>
      <c r="H106" s="107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9"/>
      <c r="T106" s="81"/>
      <c r="U106" s="49"/>
      <c r="V106" s="50"/>
      <c r="W106" s="82"/>
      <c r="X106" s="83"/>
    </row>
    <row r="107" spans="2:111" ht="15" customHeight="1" x14ac:dyDescent="0.2">
      <c r="B107" s="13" t="s">
        <v>70</v>
      </c>
      <c r="C107" s="146"/>
      <c r="D107" s="42"/>
      <c r="E107" s="13"/>
      <c r="F107" s="43"/>
      <c r="G107" s="44"/>
      <c r="H107" s="107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9"/>
      <c r="T107" s="81"/>
      <c r="U107" s="49"/>
      <c r="V107" s="50"/>
      <c r="W107" s="82"/>
      <c r="X107" s="83"/>
    </row>
    <row r="108" spans="2:111" ht="15" customHeight="1" thickBot="1" x14ac:dyDescent="0.25">
      <c r="B108" s="13" t="s">
        <v>71</v>
      </c>
      <c r="C108" s="146"/>
      <c r="D108" s="42"/>
      <c r="E108" s="13"/>
      <c r="F108" s="43"/>
      <c r="G108" s="44"/>
      <c r="H108" s="107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9"/>
      <c r="T108" s="81"/>
      <c r="U108" s="49"/>
      <c r="V108" s="50"/>
      <c r="W108" s="82"/>
      <c r="X108" s="83"/>
    </row>
    <row r="109" spans="2:111" ht="15" customHeight="1" thickBot="1" x14ac:dyDescent="0.25">
      <c r="B109" s="96"/>
      <c r="C109" s="149"/>
      <c r="D109" s="149"/>
      <c r="E109" s="171"/>
      <c r="F109" s="170"/>
      <c r="G109" s="115"/>
      <c r="H109" s="97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98"/>
      <c r="T109" s="89">
        <f>SUM(T101:T108)</f>
        <v>0</v>
      </c>
      <c r="U109" s="69" t="e">
        <f>AVERAGE(U101:U108)</f>
        <v>#DIV/0!</v>
      </c>
      <c r="V109" s="70">
        <f>SUM(V101:V108)</f>
        <v>0</v>
      </c>
      <c r="W109" s="69" t="e">
        <f>AVERAGE(W101:W108)</f>
        <v>#DIV/0!</v>
      </c>
      <c r="X109" s="93" t="e">
        <f>AVERAGE(X101:X108)</f>
        <v>#DIV/0!</v>
      </c>
    </row>
    <row r="110" spans="2:111" ht="15" customHeight="1" x14ac:dyDescent="0.2">
      <c r="B110" s="3"/>
      <c r="C110" s="3"/>
      <c r="D110" s="3"/>
      <c r="E110" s="15"/>
      <c r="F110" s="3"/>
      <c r="G110" s="18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76"/>
      <c r="U110" s="177"/>
      <c r="V110" s="176"/>
      <c r="W110" s="177"/>
      <c r="X110" s="179"/>
    </row>
    <row r="111" spans="2:111" ht="15" customHeight="1" x14ac:dyDescent="0.2">
      <c r="B111" s="3"/>
      <c r="C111" s="3"/>
      <c r="D111" s="3"/>
      <c r="E111" s="15"/>
      <c r="F111" s="3"/>
      <c r="G111" s="18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176"/>
      <c r="U111" s="177"/>
      <c r="V111" s="176"/>
      <c r="W111" s="177"/>
      <c r="X111" s="179"/>
    </row>
    <row r="112" spans="2:111" ht="15" customHeight="1" x14ac:dyDescent="0.2">
      <c r="B112" s="3"/>
      <c r="C112" s="3"/>
      <c r="D112" s="3"/>
      <c r="E112" s="15"/>
      <c r="F112" s="3"/>
      <c r="G112" s="18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176"/>
      <c r="U112" s="177"/>
      <c r="V112" s="176"/>
      <c r="W112" s="177"/>
      <c r="X112" s="179"/>
    </row>
    <row r="113" spans="2:111" ht="15" customHeight="1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16"/>
      <c r="V113" s="16"/>
      <c r="W113" s="16"/>
      <c r="X113" s="4"/>
    </row>
    <row r="114" spans="2:111" ht="16.5" customHeight="1" thickBot="1" x14ac:dyDescent="0.25">
      <c r="B114" s="17" t="s">
        <v>73</v>
      </c>
      <c r="C114" s="17"/>
      <c r="U114" s="74"/>
      <c r="V114" s="74"/>
      <c r="W114" s="74"/>
      <c r="X114" s="116"/>
    </row>
    <row r="115" spans="2:111" ht="11.25" customHeight="1" x14ac:dyDescent="0.2">
      <c r="B115" s="326" t="s">
        <v>1</v>
      </c>
      <c r="C115" s="328" t="s">
        <v>77</v>
      </c>
      <c r="D115" s="330" t="s">
        <v>2</v>
      </c>
      <c r="E115" s="326" t="s">
        <v>24</v>
      </c>
      <c r="F115" s="347" t="s">
        <v>4</v>
      </c>
      <c r="G115" s="343" t="s">
        <v>5</v>
      </c>
      <c r="H115" s="344"/>
      <c r="I115" s="344"/>
      <c r="J115" s="344"/>
      <c r="K115" s="344"/>
      <c r="L115" s="344"/>
      <c r="M115" s="344"/>
      <c r="N115" s="344"/>
      <c r="O115" s="344"/>
      <c r="P115" s="344"/>
      <c r="Q115" s="344"/>
      <c r="R115" s="344"/>
      <c r="S115" s="352"/>
      <c r="T115" s="334" t="s">
        <v>6</v>
      </c>
      <c r="U115" s="335"/>
      <c r="V115" s="335"/>
      <c r="W115" s="335"/>
      <c r="X115" s="336"/>
    </row>
    <row r="116" spans="2:111" s="6" customFormat="1" ht="30.75" customHeight="1" thickBot="1" x14ac:dyDescent="0.25">
      <c r="B116" s="342"/>
      <c r="C116" s="329"/>
      <c r="D116" s="331"/>
      <c r="E116" s="327"/>
      <c r="F116" s="346"/>
      <c r="G116" s="7" t="s">
        <v>103</v>
      </c>
      <c r="H116" s="22" t="s">
        <v>38</v>
      </c>
      <c r="I116" s="19" t="s">
        <v>39</v>
      </c>
      <c r="J116" s="19" t="s">
        <v>40</v>
      </c>
      <c r="K116" s="19" t="s">
        <v>41</v>
      </c>
      <c r="L116" s="19" t="s">
        <v>42</v>
      </c>
      <c r="M116" s="19" t="s">
        <v>43</v>
      </c>
      <c r="N116" s="19" t="s">
        <v>44</v>
      </c>
      <c r="O116" s="19" t="s">
        <v>45</v>
      </c>
      <c r="P116" s="20" t="s">
        <v>29</v>
      </c>
      <c r="Q116" s="19" t="s">
        <v>46</v>
      </c>
      <c r="R116" s="19" t="s">
        <v>47</v>
      </c>
      <c r="S116" s="21">
        <v>50</v>
      </c>
      <c r="T116" s="9" t="s">
        <v>18</v>
      </c>
      <c r="U116" s="9" t="s">
        <v>19</v>
      </c>
      <c r="V116" s="11" t="s">
        <v>20</v>
      </c>
      <c r="W116" s="194" t="s">
        <v>21</v>
      </c>
      <c r="X116" s="195" t="s">
        <v>22</v>
      </c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</row>
    <row r="117" spans="2:111" s="6" customFormat="1" ht="15" customHeight="1" x14ac:dyDescent="0.2">
      <c r="B117" s="12" t="s">
        <v>64</v>
      </c>
      <c r="C117" s="145"/>
      <c r="D117" s="31"/>
      <c r="E117" s="117"/>
      <c r="F117" s="100"/>
      <c r="G117" s="33"/>
      <c r="H117" s="118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20"/>
      <c r="T117" s="121"/>
      <c r="U117" s="122"/>
      <c r="V117" s="123"/>
      <c r="W117" s="124"/>
      <c r="X117" s="7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</row>
    <row r="118" spans="2:111" ht="15" customHeight="1" x14ac:dyDescent="0.2">
      <c r="B118" s="13" t="s">
        <v>65</v>
      </c>
      <c r="C118" s="146"/>
      <c r="D118" s="42"/>
      <c r="E118" s="125"/>
      <c r="F118" s="101"/>
      <c r="G118" s="44"/>
      <c r="H118" s="126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8"/>
      <c r="T118" s="129"/>
      <c r="U118" s="130"/>
      <c r="V118" s="131"/>
      <c r="W118" s="132"/>
      <c r="X118" s="83"/>
    </row>
    <row r="119" spans="2:111" ht="15" customHeight="1" x14ac:dyDescent="0.2">
      <c r="B119" s="13" t="s">
        <v>66</v>
      </c>
      <c r="C119" s="146"/>
      <c r="D119" s="42"/>
      <c r="E119" s="125"/>
      <c r="F119" s="101"/>
      <c r="G119" s="44"/>
      <c r="H119" s="126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8"/>
      <c r="T119" s="129"/>
      <c r="U119" s="130"/>
      <c r="V119" s="131"/>
      <c r="W119" s="132"/>
      <c r="X119" s="83"/>
    </row>
    <row r="120" spans="2:111" ht="15" customHeight="1" x14ac:dyDescent="0.2">
      <c r="B120" s="13" t="s">
        <v>67</v>
      </c>
      <c r="C120" s="146"/>
      <c r="D120" s="42"/>
      <c r="E120" s="125"/>
      <c r="F120" s="101"/>
      <c r="G120" s="44"/>
      <c r="H120" s="126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8"/>
      <c r="T120" s="129"/>
      <c r="U120" s="130"/>
      <c r="V120" s="131"/>
      <c r="W120" s="132"/>
      <c r="X120" s="83"/>
    </row>
    <row r="121" spans="2:111" ht="15" customHeight="1" x14ac:dyDescent="0.2">
      <c r="B121" s="13" t="s">
        <v>68</v>
      </c>
      <c r="C121" s="146"/>
      <c r="D121" s="42"/>
      <c r="E121" s="125"/>
      <c r="F121" s="101"/>
      <c r="G121" s="44"/>
      <c r="H121" s="126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8"/>
      <c r="T121" s="129"/>
      <c r="U121" s="130"/>
      <c r="V121" s="131"/>
      <c r="W121" s="132"/>
      <c r="X121" s="83"/>
    </row>
    <row r="122" spans="2:111" ht="15" customHeight="1" x14ac:dyDescent="0.2">
      <c r="B122" s="13" t="s">
        <v>69</v>
      </c>
      <c r="C122" s="146"/>
      <c r="D122" s="42"/>
      <c r="E122" s="125"/>
      <c r="F122" s="101"/>
      <c r="G122" s="44"/>
      <c r="H122" s="126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8"/>
      <c r="T122" s="129"/>
      <c r="U122" s="130"/>
      <c r="V122" s="131"/>
      <c r="W122" s="132"/>
      <c r="X122" s="83"/>
    </row>
    <row r="123" spans="2:111" ht="15" customHeight="1" x14ac:dyDescent="0.2">
      <c r="B123" s="13" t="s">
        <v>70</v>
      </c>
      <c r="C123" s="146"/>
      <c r="D123" s="42"/>
      <c r="E123" s="125"/>
      <c r="F123" s="101"/>
      <c r="G123" s="44"/>
      <c r="H123" s="126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8"/>
      <c r="T123" s="129"/>
      <c r="U123" s="130"/>
      <c r="V123" s="131"/>
      <c r="W123" s="132"/>
      <c r="X123" s="83"/>
    </row>
    <row r="124" spans="2:111" ht="15" customHeight="1" thickBot="1" x14ac:dyDescent="0.25">
      <c r="B124" s="13" t="s">
        <v>71</v>
      </c>
      <c r="C124" s="146"/>
      <c r="D124" s="42"/>
      <c r="E124" s="125"/>
      <c r="F124" s="101"/>
      <c r="G124" s="44"/>
      <c r="H124" s="126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8"/>
      <c r="T124" s="129"/>
      <c r="U124" s="130"/>
      <c r="V124" s="131"/>
      <c r="W124" s="132"/>
      <c r="X124" s="83"/>
    </row>
    <row r="125" spans="2:111" ht="15" customHeight="1" thickBot="1" x14ac:dyDescent="0.25">
      <c r="B125" s="133"/>
      <c r="C125" s="150"/>
      <c r="D125" s="150"/>
      <c r="E125" s="189"/>
      <c r="F125" s="188"/>
      <c r="G125" s="115"/>
      <c r="H125" s="134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6"/>
      <c r="T125" s="137">
        <f>SUM(T117:T124)</f>
        <v>0</v>
      </c>
      <c r="U125" s="138" t="e">
        <f>AVERAGE(U117:U124)</f>
        <v>#DIV/0!</v>
      </c>
      <c r="V125" s="139">
        <f>SUM(V117:V124)</f>
        <v>0</v>
      </c>
      <c r="W125" s="138" t="e">
        <f>AVERAGE(W117:W124)</f>
        <v>#DIV/0!</v>
      </c>
      <c r="X125" s="93" t="e">
        <f>AVERAGE(X117:X124)</f>
        <v>#DIV/0!</v>
      </c>
    </row>
    <row r="126" spans="2:111" ht="15" customHeight="1" x14ac:dyDescent="0.2"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98"/>
      <c r="U126" s="199"/>
      <c r="V126" s="198"/>
      <c r="W126" s="199"/>
      <c r="X126" s="179"/>
    </row>
    <row r="127" spans="2:111" ht="15" customHeight="1" x14ac:dyDescent="0.2"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98"/>
      <c r="U127" s="199"/>
      <c r="V127" s="198"/>
      <c r="W127" s="199"/>
      <c r="X127" s="179"/>
    </row>
    <row r="128" spans="2:111" ht="59.25" customHeight="1" x14ac:dyDescent="0.2"/>
    <row r="129" spans="2:25" ht="11.25" customHeight="1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16"/>
      <c r="V129" s="16"/>
      <c r="W129" s="16"/>
      <c r="X129" s="4"/>
    </row>
    <row r="130" spans="2:25" ht="12.95" customHeight="1" thickBot="1" x14ac:dyDescent="0.25">
      <c r="B130" s="340" t="s">
        <v>50</v>
      </c>
      <c r="C130" s="340"/>
      <c r="U130" s="90"/>
      <c r="V130" s="90"/>
      <c r="W130" s="90"/>
    </row>
    <row r="131" spans="2:25" ht="12.95" customHeight="1" thickBot="1" x14ac:dyDescent="0.25">
      <c r="B131" s="330" t="s">
        <v>1</v>
      </c>
      <c r="C131" s="328" t="s">
        <v>77</v>
      </c>
      <c r="D131" s="330" t="s">
        <v>51</v>
      </c>
      <c r="E131" s="326" t="s">
        <v>4</v>
      </c>
      <c r="F131" s="347" t="s">
        <v>3</v>
      </c>
      <c r="G131" s="334" t="s">
        <v>52</v>
      </c>
      <c r="H131" s="335"/>
      <c r="I131" s="335"/>
      <c r="J131" s="335"/>
      <c r="K131" s="335"/>
      <c r="L131" s="335"/>
      <c r="M131" s="335"/>
      <c r="N131" s="335"/>
      <c r="O131" s="335"/>
      <c r="P131" s="336"/>
      <c r="Q131" s="337" t="s">
        <v>53</v>
      </c>
      <c r="R131" s="338"/>
      <c r="S131" s="338"/>
      <c r="T131" s="338"/>
      <c r="U131" s="338"/>
      <c r="V131" s="338"/>
      <c r="W131" s="339"/>
      <c r="X131" s="24"/>
      <c r="Y131" s="24"/>
    </row>
    <row r="132" spans="2:25" ht="27" customHeight="1" thickBot="1" x14ac:dyDescent="0.25">
      <c r="B132" s="341"/>
      <c r="C132" s="329"/>
      <c r="D132" s="331"/>
      <c r="E132" s="342"/>
      <c r="F132" s="346"/>
      <c r="G132" s="140" t="s">
        <v>54</v>
      </c>
      <c r="H132" s="9" t="s">
        <v>55</v>
      </c>
      <c r="I132" s="9" t="s">
        <v>56</v>
      </c>
      <c r="J132" s="9" t="s">
        <v>57</v>
      </c>
      <c r="K132" s="9" t="s">
        <v>58</v>
      </c>
      <c r="L132" s="9" t="s">
        <v>59</v>
      </c>
      <c r="M132" s="9" t="s">
        <v>60</v>
      </c>
      <c r="N132" s="9" t="s">
        <v>61</v>
      </c>
      <c r="O132" s="141" t="s">
        <v>62</v>
      </c>
      <c r="P132" s="151" t="s">
        <v>63</v>
      </c>
      <c r="Q132" s="152" t="s">
        <v>54</v>
      </c>
      <c r="R132" s="153" t="s">
        <v>55</v>
      </c>
      <c r="S132" s="153" t="s">
        <v>56</v>
      </c>
      <c r="T132" s="153" t="s">
        <v>57</v>
      </c>
      <c r="U132" s="153" t="s">
        <v>58</v>
      </c>
      <c r="V132" s="153" t="s">
        <v>59</v>
      </c>
      <c r="W132" s="154" t="s">
        <v>60</v>
      </c>
      <c r="X132" s="24"/>
      <c r="Y132" s="24"/>
    </row>
    <row r="133" spans="2:25" ht="15" customHeight="1" x14ac:dyDescent="0.2">
      <c r="B133" s="12" t="s">
        <v>75</v>
      </c>
      <c r="C133" s="145"/>
      <c r="D133" s="142"/>
      <c r="E133" s="12"/>
      <c r="F133" s="32"/>
      <c r="G133" s="34"/>
      <c r="H133" s="35"/>
      <c r="I133" s="35"/>
      <c r="J133" s="35"/>
      <c r="K133" s="35"/>
      <c r="L133" s="35"/>
      <c r="M133" s="35"/>
      <c r="N133" s="35"/>
      <c r="O133" s="35"/>
      <c r="P133" s="155"/>
      <c r="Q133" s="183"/>
      <c r="R133" s="184"/>
      <c r="S133" s="184"/>
      <c r="T133" s="184"/>
      <c r="U133" s="185"/>
      <c r="V133" s="185"/>
      <c r="W133" s="186"/>
      <c r="X133" s="24"/>
      <c r="Y133" s="24"/>
    </row>
    <row r="134" spans="2:25" ht="15" customHeight="1" x14ac:dyDescent="0.2">
      <c r="B134" s="13" t="s">
        <v>76</v>
      </c>
      <c r="C134" s="146"/>
      <c r="D134" s="143"/>
      <c r="E134" s="13"/>
      <c r="F134" s="43"/>
      <c r="G134" s="45"/>
      <c r="H134" s="46"/>
      <c r="I134" s="46"/>
      <c r="J134" s="46"/>
      <c r="K134" s="46"/>
      <c r="L134" s="46"/>
      <c r="M134" s="46"/>
      <c r="N134" s="46"/>
      <c r="O134" s="46"/>
      <c r="P134" s="160"/>
      <c r="Q134" s="161"/>
      <c r="R134" s="162"/>
      <c r="S134" s="162"/>
      <c r="T134" s="162"/>
      <c r="U134" s="163"/>
      <c r="V134" s="163"/>
      <c r="W134" s="164"/>
      <c r="X134" s="24"/>
      <c r="Y134" s="24"/>
    </row>
    <row r="135" spans="2:25" ht="15" customHeight="1" x14ac:dyDescent="0.2">
      <c r="B135" s="13" t="s">
        <v>66</v>
      </c>
      <c r="C135" s="146"/>
      <c r="D135" s="143"/>
      <c r="E135" s="13"/>
      <c r="F135" s="43"/>
      <c r="G135" s="45"/>
      <c r="H135" s="46"/>
      <c r="I135" s="46"/>
      <c r="J135" s="46"/>
      <c r="K135" s="46"/>
      <c r="L135" s="46"/>
      <c r="M135" s="46"/>
      <c r="N135" s="46"/>
      <c r="O135" s="46"/>
      <c r="P135" s="160"/>
      <c r="Q135" s="161"/>
      <c r="R135" s="162"/>
      <c r="S135" s="162"/>
      <c r="T135" s="162"/>
      <c r="U135" s="163"/>
      <c r="V135" s="163"/>
      <c r="W135" s="164"/>
      <c r="X135" s="24"/>
      <c r="Y135" s="24"/>
    </row>
    <row r="136" spans="2:25" ht="15" customHeight="1" x14ac:dyDescent="0.2">
      <c r="B136" s="13" t="s">
        <v>67</v>
      </c>
      <c r="C136" s="146"/>
      <c r="D136" s="143"/>
      <c r="E136" s="13"/>
      <c r="F136" s="43"/>
      <c r="G136" s="45"/>
      <c r="H136" s="46"/>
      <c r="I136" s="46"/>
      <c r="J136" s="46"/>
      <c r="K136" s="46"/>
      <c r="L136" s="46"/>
      <c r="M136" s="46"/>
      <c r="N136" s="46"/>
      <c r="O136" s="46"/>
      <c r="P136" s="160"/>
      <c r="Q136" s="161"/>
      <c r="R136" s="162"/>
      <c r="S136" s="162"/>
      <c r="T136" s="162"/>
      <c r="U136" s="163"/>
      <c r="V136" s="163"/>
      <c r="W136" s="164"/>
      <c r="X136" s="24"/>
      <c r="Y136" s="24"/>
    </row>
    <row r="137" spans="2:25" ht="15" customHeight="1" x14ac:dyDescent="0.2">
      <c r="B137" s="13" t="s">
        <v>68</v>
      </c>
      <c r="C137" s="146"/>
      <c r="D137" s="143"/>
      <c r="E137" s="13"/>
      <c r="F137" s="43"/>
      <c r="G137" s="45"/>
      <c r="H137" s="46"/>
      <c r="I137" s="46"/>
      <c r="J137" s="46"/>
      <c r="K137" s="46"/>
      <c r="L137" s="46"/>
      <c r="M137" s="46"/>
      <c r="N137" s="46"/>
      <c r="O137" s="46"/>
      <c r="P137" s="160"/>
      <c r="Q137" s="161"/>
      <c r="R137" s="162"/>
      <c r="S137" s="162"/>
      <c r="T137" s="162"/>
      <c r="U137" s="163"/>
      <c r="V137" s="163"/>
      <c r="W137" s="164"/>
      <c r="X137" s="24"/>
      <c r="Y137" s="24"/>
    </row>
    <row r="138" spans="2:25" ht="15" customHeight="1" x14ac:dyDescent="0.2">
      <c r="B138" s="13" t="s">
        <v>69</v>
      </c>
      <c r="C138" s="146"/>
      <c r="D138" s="143"/>
      <c r="E138" s="13"/>
      <c r="F138" s="43"/>
      <c r="G138" s="45"/>
      <c r="H138" s="46"/>
      <c r="I138" s="46"/>
      <c r="J138" s="46"/>
      <c r="K138" s="46"/>
      <c r="L138" s="46"/>
      <c r="M138" s="46"/>
      <c r="N138" s="46"/>
      <c r="O138" s="46"/>
      <c r="P138" s="160"/>
      <c r="Q138" s="161"/>
      <c r="R138" s="162"/>
      <c r="S138" s="162"/>
      <c r="T138" s="162"/>
      <c r="U138" s="163"/>
      <c r="V138" s="163"/>
      <c r="W138" s="164"/>
      <c r="X138" s="24"/>
      <c r="Y138" s="24"/>
    </row>
    <row r="139" spans="2:25" ht="15" customHeight="1" x14ac:dyDescent="0.2">
      <c r="B139" s="13" t="s">
        <v>70</v>
      </c>
      <c r="C139" s="146"/>
      <c r="D139" s="143"/>
      <c r="E139" s="13"/>
      <c r="F139" s="43"/>
      <c r="G139" s="45"/>
      <c r="H139" s="46"/>
      <c r="I139" s="46"/>
      <c r="J139" s="46"/>
      <c r="K139" s="46"/>
      <c r="L139" s="46"/>
      <c r="M139" s="46"/>
      <c r="N139" s="46"/>
      <c r="O139" s="46"/>
      <c r="P139" s="160"/>
      <c r="Q139" s="161"/>
      <c r="R139" s="162"/>
      <c r="S139" s="162"/>
      <c r="T139" s="162"/>
      <c r="U139" s="163"/>
      <c r="V139" s="163"/>
      <c r="W139" s="164"/>
      <c r="X139" s="24"/>
      <c r="Y139" s="24"/>
    </row>
    <row r="140" spans="2:25" ht="15" customHeight="1" thickBot="1" x14ac:dyDescent="0.25">
      <c r="B140" s="14" t="s">
        <v>71</v>
      </c>
      <c r="C140" s="147"/>
      <c r="D140" s="144"/>
      <c r="E140" s="14"/>
      <c r="F140" s="54"/>
      <c r="G140" s="56"/>
      <c r="H140" s="57"/>
      <c r="I140" s="57"/>
      <c r="J140" s="57"/>
      <c r="K140" s="57"/>
      <c r="L140" s="57"/>
      <c r="M140" s="57"/>
      <c r="N140" s="57"/>
      <c r="O140" s="57"/>
      <c r="P140" s="165"/>
      <c r="Q140" s="166"/>
      <c r="R140" s="167"/>
      <c r="S140" s="167"/>
      <c r="T140" s="167"/>
      <c r="U140" s="168"/>
      <c r="V140" s="168"/>
      <c r="W140" s="169"/>
      <c r="X140" s="24"/>
      <c r="Y140" s="24"/>
    </row>
    <row r="147" spans="111:111" ht="12.95" customHeight="1" x14ac:dyDescent="0.2">
      <c r="DG147" s="1"/>
    </row>
    <row r="148" spans="111:111" ht="12.95" customHeight="1" x14ac:dyDescent="0.2">
      <c r="DG148" s="1"/>
    </row>
    <row r="149" spans="111:111" ht="12.95" customHeight="1" x14ac:dyDescent="0.2">
      <c r="DG149" s="1"/>
    </row>
    <row r="150" spans="111:111" ht="12.95" customHeight="1" x14ac:dyDescent="0.2">
      <c r="DG150" s="1"/>
    </row>
    <row r="151" spans="111:111" ht="12.95" customHeight="1" x14ac:dyDescent="0.2">
      <c r="DG151" s="1"/>
    </row>
    <row r="152" spans="111:111" ht="12.95" customHeight="1" x14ac:dyDescent="0.2">
      <c r="DG152" s="1"/>
    </row>
    <row r="153" spans="111:111" ht="12.95" customHeight="1" x14ac:dyDescent="0.2">
      <c r="DG153" s="1"/>
    </row>
    <row r="154" spans="111:111" ht="12.95" customHeight="1" x14ac:dyDescent="0.2">
      <c r="DG154" s="1"/>
    </row>
    <row r="155" spans="111:111" ht="12.95" customHeight="1" x14ac:dyDescent="0.2">
      <c r="DG155" s="1"/>
    </row>
    <row r="156" spans="111:111" ht="12.95" customHeight="1" x14ac:dyDescent="0.2">
      <c r="DG156" s="1"/>
    </row>
    <row r="157" spans="111:111" ht="12.95" customHeight="1" x14ac:dyDescent="0.2">
      <c r="DG157" s="1"/>
    </row>
    <row r="158" spans="111:111" ht="12.95" customHeight="1" x14ac:dyDescent="0.2">
      <c r="DG158" s="1"/>
    </row>
    <row r="159" spans="111:111" ht="12.95" customHeight="1" x14ac:dyDescent="0.2">
      <c r="DG159" s="1"/>
    </row>
    <row r="160" spans="111:111" ht="12.95" customHeight="1" x14ac:dyDescent="0.2">
      <c r="DG160" s="1"/>
    </row>
    <row r="161" spans="111:111" ht="12.95" customHeight="1" x14ac:dyDescent="0.2">
      <c r="DG161" s="1"/>
    </row>
    <row r="162" spans="111:111" ht="12.95" customHeight="1" x14ac:dyDescent="0.2">
      <c r="DG162" s="1"/>
    </row>
  </sheetData>
  <sheetProtection autoFilter="0"/>
  <mergeCells count="65">
    <mergeCell ref="B1:X1"/>
    <mergeCell ref="B3:B4"/>
    <mergeCell ref="D3:D4"/>
    <mergeCell ref="E3:E4"/>
    <mergeCell ref="F3:F4"/>
    <mergeCell ref="G3:S3"/>
    <mergeCell ref="T3:X3"/>
    <mergeCell ref="C3:C4"/>
    <mergeCell ref="T35:X35"/>
    <mergeCell ref="B19:B20"/>
    <mergeCell ref="D19:D20"/>
    <mergeCell ref="E19:E20"/>
    <mergeCell ref="F19:F20"/>
    <mergeCell ref="G19:S19"/>
    <mergeCell ref="T19:X19"/>
    <mergeCell ref="B35:B36"/>
    <mergeCell ref="D35:D36"/>
    <mergeCell ref="E35:E36"/>
    <mergeCell ref="F35:F36"/>
    <mergeCell ref="G35:S35"/>
    <mergeCell ref="C19:C20"/>
    <mergeCell ref="C35:C36"/>
    <mergeCell ref="T67:X67"/>
    <mergeCell ref="B51:B52"/>
    <mergeCell ref="D51:D52"/>
    <mergeCell ref="E51:E52"/>
    <mergeCell ref="F51:F52"/>
    <mergeCell ref="G51:S51"/>
    <mergeCell ref="T51:X51"/>
    <mergeCell ref="B67:B68"/>
    <mergeCell ref="D67:D68"/>
    <mergeCell ref="E67:E68"/>
    <mergeCell ref="F67:F68"/>
    <mergeCell ref="G67:S67"/>
    <mergeCell ref="C51:C52"/>
    <mergeCell ref="C67:C68"/>
    <mergeCell ref="T99:X99"/>
    <mergeCell ref="B83:B84"/>
    <mergeCell ref="D83:D84"/>
    <mergeCell ref="E83:E84"/>
    <mergeCell ref="F83:F84"/>
    <mergeCell ref="G83:S83"/>
    <mergeCell ref="T83:X83"/>
    <mergeCell ref="B99:B100"/>
    <mergeCell ref="D99:D100"/>
    <mergeCell ref="E99:E100"/>
    <mergeCell ref="F99:F100"/>
    <mergeCell ref="G99:S99"/>
    <mergeCell ref="C83:C84"/>
    <mergeCell ref="C99:C100"/>
    <mergeCell ref="T115:X115"/>
    <mergeCell ref="B131:B132"/>
    <mergeCell ref="D131:D132"/>
    <mergeCell ref="E131:E132"/>
    <mergeCell ref="F131:F132"/>
    <mergeCell ref="G131:P131"/>
    <mergeCell ref="C115:C116"/>
    <mergeCell ref="C131:C132"/>
    <mergeCell ref="B130:C130"/>
    <mergeCell ref="Q131:W131"/>
    <mergeCell ref="B115:B116"/>
    <mergeCell ref="D115:D116"/>
    <mergeCell ref="E115:E116"/>
    <mergeCell ref="F115:F116"/>
    <mergeCell ref="G115:S115"/>
  </mergeCells>
  <phoneticPr fontId="1" type="noConversion"/>
  <printOptions horizontalCentered="1"/>
  <pageMargins left="0.196850393700787" right="0.15748031496063" top="0.43307086614173201" bottom="0.23622047244094499" header="0.511811023622047" footer="0.511811023622047"/>
  <pageSetup paperSize="9" scale="90" orientation="portrait" r:id="rId1"/>
  <headerFooter scaleWithDoc="0" alignWithMargins="0"/>
  <rowBreaks count="2" manualBreakCount="2">
    <brk id="49" max="23" man="1"/>
    <brk id="96" max="2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6DFC-5107-4A0E-8679-B451E72FD4B7}">
  <sheetPr>
    <tabColor theme="4" tint="-0.249977111117893"/>
  </sheetPr>
  <dimension ref="B1:DG162"/>
  <sheetViews>
    <sheetView topLeftCell="A46" zoomScaleNormal="100" zoomScaleSheetLayoutView="100" workbookViewId="0">
      <selection activeCell="G31" sqref="G31"/>
    </sheetView>
  </sheetViews>
  <sheetFormatPr defaultColWidth="9" defaultRowHeight="12.95" customHeight="1" x14ac:dyDescent="0.2"/>
  <cols>
    <col min="1" max="1" width="0.75" style="1" customWidth="1"/>
    <col min="2" max="3" width="3.625" style="1" customWidth="1"/>
    <col min="4" max="4" width="4.5" style="1" customWidth="1"/>
    <col min="5" max="5" width="5.375" style="1" customWidth="1"/>
    <col min="6" max="6" width="3.5" style="1" customWidth="1"/>
    <col min="7" max="7" width="5.25" style="1" customWidth="1"/>
    <col min="8" max="18" width="4" style="1" customWidth="1"/>
    <col min="19" max="19" width="4.25" style="1" customWidth="1"/>
    <col min="20" max="20" width="5.125" style="1" customWidth="1"/>
    <col min="21" max="21" width="5.5" style="1" customWidth="1"/>
    <col min="22" max="22" width="4.75" style="1" customWidth="1"/>
    <col min="23" max="23" width="6.375" style="1" customWidth="1"/>
    <col min="24" max="24" width="5.375" style="91" customWidth="1"/>
    <col min="25" max="25" width="2.75" style="1" customWidth="1"/>
    <col min="26" max="111" width="9" style="24"/>
    <col min="112" max="16384" width="9" style="1"/>
  </cols>
  <sheetData>
    <row r="1" spans="2:111" ht="17.25" customHeight="1" x14ac:dyDescent="0.2">
      <c r="B1" s="356" t="s">
        <v>102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23"/>
    </row>
    <row r="2" spans="2:111" s="5" customFormat="1" ht="15" customHeight="1" thickBot="1" x14ac:dyDescent="0.25">
      <c r="B2" s="2" t="s">
        <v>0</v>
      </c>
      <c r="C2" s="2"/>
      <c r="V2" s="25"/>
      <c r="W2" s="26"/>
      <c r="X2" s="27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</row>
    <row r="3" spans="2:111" s="6" customFormat="1" ht="13.5" customHeight="1" thickBot="1" x14ac:dyDescent="0.25">
      <c r="B3" s="326" t="s">
        <v>1</v>
      </c>
      <c r="C3" s="328" t="s">
        <v>77</v>
      </c>
      <c r="D3" s="330" t="s">
        <v>2</v>
      </c>
      <c r="E3" s="326" t="s">
        <v>3</v>
      </c>
      <c r="F3" s="332" t="s">
        <v>112</v>
      </c>
      <c r="G3" s="213"/>
      <c r="H3" s="254" t="s">
        <v>5</v>
      </c>
      <c r="I3" s="254"/>
      <c r="J3" s="254"/>
      <c r="K3" s="254"/>
      <c r="L3" s="254"/>
      <c r="M3" s="254"/>
      <c r="N3" s="247" t="s">
        <v>6</v>
      </c>
      <c r="O3" s="248"/>
      <c r="P3" s="248"/>
      <c r="Q3" s="248"/>
      <c r="R3" s="248"/>
      <c r="S3" s="248"/>
      <c r="T3" s="248"/>
      <c r="U3" s="248"/>
      <c r="V3" s="248"/>
      <c r="W3" s="249"/>
      <c r="X3" s="24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</row>
    <row r="4" spans="2:111" s="6" customFormat="1" ht="40.5" customHeight="1" thickBot="1" x14ac:dyDescent="0.25">
      <c r="B4" s="327"/>
      <c r="C4" s="329"/>
      <c r="D4" s="331"/>
      <c r="E4" s="327"/>
      <c r="F4" s="333"/>
      <c r="G4" s="256" t="s">
        <v>124</v>
      </c>
      <c r="H4" s="153" t="s">
        <v>126</v>
      </c>
      <c r="I4" s="153" t="s">
        <v>128</v>
      </c>
      <c r="J4" s="153" t="s">
        <v>130</v>
      </c>
      <c r="K4" s="153" t="s">
        <v>132</v>
      </c>
      <c r="L4" s="153" t="s">
        <v>134</v>
      </c>
      <c r="M4" s="258" t="s">
        <v>136</v>
      </c>
      <c r="N4" s="304" t="s">
        <v>107</v>
      </c>
      <c r="O4" s="207" t="s">
        <v>18</v>
      </c>
      <c r="P4" s="207" t="s">
        <v>19</v>
      </c>
      <c r="Q4" s="207" t="s">
        <v>111</v>
      </c>
      <c r="R4" s="207" t="s">
        <v>20</v>
      </c>
      <c r="S4" s="305" t="s">
        <v>21</v>
      </c>
      <c r="T4" s="305" t="s">
        <v>110</v>
      </c>
      <c r="U4" s="306" t="s">
        <v>22</v>
      </c>
      <c r="V4" s="315" t="s">
        <v>111</v>
      </c>
      <c r="W4" s="304" t="s">
        <v>138</v>
      </c>
      <c r="X4" s="307" t="s">
        <v>112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</row>
    <row r="5" spans="2:111" ht="14.25" customHeight="1" x14ac:dyDescent="0.35">
      <c r="B5" s="259" t="s">
        <v>88</v>
      </c>
      <c r="C5" s="260"/>
      <c r="D5" s="261"/>
      <c r="E5" s="262"/>
      <c r="F5" s="263"/>
      <c r="G5" s="264"/>
      <c r="H5" s="265"/>
      <c r="I5" s="265"/>
      <c r="J5" s="265"/>
      <c r="K5" s="265"/>
      <c r="L5" s="265"/>
      <c r="M5" s="266"/>
      <c r="N5" s="308"/>
      <c r="O5" s="309"/>
      <c r="P5" s="310"/>
      <c r="Q5" s="309"/>
      <c r="R5" s="309"/>
      <c r="S5" s="311"/>
      <c r="T5" s="312"/>
      <c r="U5" s="313"/>
      <c r="V5" s="316"/>
      <c r="W5" s="319">
        <f>Q5*3+T5*1+V5*1</f>
        <v>0</v>
      </c>
      <c r="X5" s="314"/>
    </row>
    <row r="6" spans="2:111" ht="14.25" customHeight="1" x14ac:dyDescent="0.35">
      <c r="B6" s="267" t="s">
        <v>89</v>
      </c>
      <c r="C6" s="268"/>
      <c r="D6" s="269"/>
      <c r="E6" s="270"/>
      <c r="F6" s="271"/>
      <c r="G6" s="272"/>
      <c r="H6" s="273"/>
      <c r="I6" s="273"/>
      <c r="J6" s="273"/>
      <c r="K6" s="273"/>
      <c r="L6" s="273"/>
      <c r="M6" s="274"/>
      <c r="N6" s="275"/>
      <c r="O6" s="276"/>
      <c r="P6" s="277"/>
      <c r="Q6" s="276"/>
      <c r="R6" s="276"/>
      <c r="S6" s="278"/>
      <c r="T6" s="279"/>
      <c r="U6" s="280"/>
      <c r="V6" s="317"/>
      <c r="W6" s="320">
        <f>Q6*3+T6*1+V6*1</f>
        <v>0</v>
      </c>
      <c r="X6" s="281"/>
    </row>
    <row r="7" spans="2:111" ht="14.25" customHeight="1" x14ac:dyDescent="0.35">
      <c r="B7" s="267" t="s">
        <v>90</v>
      </c>
      <c r="C7" s="268"/>
      <c r="D7" s="269"/>
      <c r="E7" s="270"/>
      <c r="F7" s="271"/>
      <c r="G7" s="272"/>
      <c r="H7" s="273"/>
      <c r="I7" s="273"/>
      <c r="J7" s="273"/>
      <c r="K7" s="273"/>
      <c r="L7" s="273"/>
      <c r="M7" s="274"/>
      <c r="N7" s="275"/>
      <c r="O7" s="276"/>
      <c r="P7" s="277"/>
      <c r="Q7" s="276"/>
      <c r="R7" s="276"/>
      <c r="S7" s="278"/>
      <c r="T7" s="279"/>
      <c r="U7" s="280"/>
      <c r="V7" s="317"/>
      <c r="W7" s="320">
        <f t="shared" ref="W7:W12" si="0">Q7*3+T7*1+V7*1</f>
        <v>0</v>
      </c>
      <c r="X7" s="281"/>
    </row>
    <row r="8" spans="2:111" ht="14.25" customHeight="1" x14ac:dyDescent="0.35">
      <c r="B8" s="267" t="s">
        <v>91</v>
      </c>
      <c r="C8" s="268"/>
      <c r="D8" s="269"/>
      <c r="E8" s="270"/>
      <c r="F8" s="271"/>
      <c r="G8" s="272"/>
      <c r="H8" s="273"/>
      <c r="I8" s="273"/>
      <c r="J8" s="273"/>
      <c r="K8" s="273"/>
      <c r="L8" s="273"/>
      <c r="M8" s="274"/>
      <c r="N8" s="275"/>
      <c r="O8" s="276"/>
      <c r="P8" s="277"/>
      <c r="Q8" s="276"/>
      <c r="R8" s="276"/>
      <c r="S8" s="278"/>
      <c r="T8" s="279"/>
      <c r="U8" s="280"/>
      <c r="V8" s="317"/>
      <c r="W8" s="320">
        <f t="shared" si="0"/>
        <v>0</v>
      </c>
      <c r="X8" s="281"/>
    </row>
    <row r="9" spans="2:111" ht="14.25" customHeight="1" x14ac:dyDescent="0.35">
      <c r="B9" s="267" t="s">
        <v>92</v>
      </c>
      <c r="C9" s="268"/>
      <c r="D9" s="269"/>
      <c r="E9" s="270"/>
      <c r="F9" s="271"/>
      <c r="G9" s="272"/>
      <c r="H9" s="273"/>
      <c r="I9" s="273"/>
      <c r="J9" s="273"/>
      <c r="K9" s="273"/>
      <c r="L9" s="273"/>
      <c r="M9" s="274"/>
      <c r="N9" s="275"/>
      <c r="O9" s="276"/>
      <c r="P9" s="277"/>
      <c r="Q9" s="276"/>
      <c r="R9" s="276"/>
      <c r="S9" s="278"/>
      <c r="T9" s="279"/>
      <c r="U9" s="280"/>
      <c r="V9" s="317"/>
      <c r="W9" s="320">
        <f t="shared" si="0"/>
        <v>0</v>
      </c>
      <c r="X9" s="281"/>
    </row>
    <row r="10" spans="2:111" ht="14.25" customHeight="1" x14ac:dyDescent="0.35">
      <c r="B10" s="267" t="s">
        <v>93</v>
      </c>
      <c r="C10" s="268"/>
      <c r="D10" s="269"/>
      <c r="E10" s="270"/>
      <c r="F10" s="271"/>
      <c r="G10" s="272"/>
      <c r="H10" s="273"/>
      <c r="I10" s="273"/>
      <c r="J10" s="273"/>
      <c r="K10" s="273"/>
      <c r="L10" s="273"/>
      <c r="M10" s="274"/>
      <c r="N10" s="275"/>
      <c r="O10" s="276"/>
      <c r="P10" s="277"/>
      <c r="Q10" s="276"/>
      <c r="R10" s="276"/>
      <c r="S10" s="278"/>
      <c r="T10" s="279"/>
      <c r="U10" s="280"/>
      <c r="V10" s="317"/>
      <c r="W10" s="320">
        <f t="shared" si="0"/>
        <v>0</v>
      </c>
      <c r="X10" s="281"/>
    </row>
    <row r="11" spans="2:111" ht="14.25" customHeight="1" x14ac:dyDescent="0.35">
      <c r="B11" s="267" t="s">
        <v>94</v>
      </c>
      <c r="C11" s="268"/>
      <c r="D11" s="269"/>
      <c r="E11" s="270"/>
      <c r="F11" s="271"/>
      <c r="G11" s="272"/>
      <c r="H11" s="273"/>
      <c r="I11" s="273"/>
      <c r="J11" s="273"/>
      <c r="K11" s="273"/>
      <c r="L11" s="273"/>
      <c r="M11" s="274"/>
      <c r="N11" s="275"/>
      <c r="O11" s="276"/>
      <c r="P11" s="277"/>
      <c r="Q11" s="276"/>
      <c r="R11" s="276"/>
      <c r="S11" s="278"/>
      <c r="T11" s="279"/>
      <c r="U11" s="280"/>
      <c r="V11" s="317"/>
      <c r="W11" s="320">
        <f t="shared" si="0"/>
        <v>0</v>
      </c>
      <c r="X11" s="281"/>
    </row>
    <row r="12" spans="2:111" ht="14.25" customHeight="1" thickBot="1" x14ac:dyDescent="0.4">
      <c r="B12" s="282" t="s">
        <v>95</v>
      </c>
      <c r="C12" s="283"/>
      <c r="D12" s="284"/>
      <c r="E12" s="285"/>
      <c r="F12" s="286"/>
      <c r="G12" s="287"/>
      <c r="H12" s="288"/>
      <c r="I12" s="288"/>
      <c r="J12" s="288"/>
      <c r="K12" s="288"/>
      <c r="L12" s="288"/>
      <c r="M12" s="289"/>
      <c r="N12" s="290"/>
      <c r="O12" s="291"/>
      <c r="P12" s="292"/>
      <c r="Q12" s="291"/>
      <c r="R12" s="291"/>
      <c r="S12" s="293"/>
      <c r="T12" s="294"/>
      <c r="U12" s="295"/>
      <c r="V12" s="318"/>
      <c r="W12" s="321">
        <f t="shared" si="0"/>
        <v>0</v>
      </c>
      <c r="X12" s="296"/>
    </row>
    <row r="13" spans="2:111" ht="14.25" customHeight="1" thickBot="1" x14ac:dyDescent="0.25">
      <c r="B13" s="171"/>
      <c r="C13" s="241"/>
      <c r="D13" s="250"/>
      <c r="E13" s="251"/>
      <c r="F13" s="252"/>
      <c r="G13" s="255"/>
      <c r="H13" s="245"/>
      <c r="I13" s="245"/>
      <c r="J13" s="245"/>
      <c r="K13" s="245"/>
      <c r="L13" s="245"/>
      <c r="M13" s="246"/>
      <c r="N13" s="257"/>
      <c r="O13" s="192">
        <f>SUM(O5:O12)</f>
        <v>0</v>
      </c>
      <c r="P13" s="191" t="e">
        <f>AVERAGE(P5:P12)</f>
        <v>#DIV/0!</v>
      </c>
      <c r="Q13" s="191"/>
      <c r="R13" s="192">
        <f>SUM(R5:R12)</f>
        <v>0</v>
      </c>
      <c r="S13" s="191" t="e">
        <f>AVERAGE(S5:S12)</f>
        <v>#DIV/0!</v>
      </c>
      <c r="T13" s="191"/>
      <c r="U13" s="253" t="e">
        <f>AVERAGE(U5:U12)</f>
        <v>#DIV/0!</v>
      </c>
      <c r="V13" s="303"/>
      <c r="W13" s="257"/>
      <c r="X13" s="193"/>
    </row>
    <row r="14" spans="2:111" ht="14.25" customHeight="1" x14ac:dyDescent="0.2">
      <c r="B14" s="15"/>
      <c r="C14" s="15"/>
      <c r="D14" s="174"/>
      <c r="E14" s="15"/>
      <c r="F14" s="15"/>
      <c r="G14" s="1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6"/>
      <c r="U14" s="177"/>
      <c r="V14" s="176"/>
      <c r="W14" s="177"/>
      <c r="X14" s="178"/>
    </row>
    <row r="15" spans="2:111" ht="14.25" customHeight="1" x14ac:dyDescent="0.2">
      <c r="B15" s="15"/>
      <c r="C15" s="15"/>
      <c r="D15" s="174"/>
      <c r="E15" s="15"/>
      <c r="F15" s="15"/>
      <c r="G15" s="1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6"/>
      <c r="U15" s="177"/>
      <c r="V15" s="176"/>
      <c r="W15" s="177"/>
      <c r="X15" s="178"/>
    </row>
    <row r="16" spans="2:111" ht="14.25" customHeight="1" x14ac:dyDescent="0.2">
      <c r="B16" s="15"/>
      <c r="C16" s="15"/>
      <c r="D16" s="174"/>
      <c r="E16" s="15"/>
      <c r="F16" s="15"/>
      <c r="G16" s="1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6"/>
      <c r="U16" s="177"/>
      <c r="V16" s="176"/>
      <c r="W16" s="177"/>
      <c r="X16" s="178"/>
    </row>
    <row r="17" spans="2:111" ht="50.25" customHeight="1" x14ac:dyDescent="0.2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72"/>
      <c r="V17" s="15"/>
      <c r="W17" s="72"/>
      <c r="X17" s="73"/>
    </row>
    <row r="18" spans="2:111" ht="18" customHeight="1" thickBot="1" x14ac:dyDescent="0.25">
      <c r="B18" s="17" t="s">
        <v>23</v>
      </c>
      <c r="C18" s="17"/>
      <c r="U18" s="74"/>
      <c r="V18" s="74"/>
      <c r="W18" s="74"/>
      <c r="X18" s="75"/>
    </row>
    <row r="19" spans="2:111" s="6" customFormat="1" ht="15.75" customHeight="1" x14ac:dyDescent="0.2">
      <c r="B19" s="326" t="s">
        <v>1</v>
      </c>
      <c r="C19" s="328" t="s">
        <v>77</v>
      </c>
      <c r="D19" s="334" t="s">
        <v>2</v>
      </c>
      <c r="E19" s="335" t="s">
        <v>3</v>
      </c>
      <c r="F19" s="336" t="s">
        <v>4</v>
      </c>
      <c r="G19" s="330" t="s">
        <v>5</v>
      </c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32"/>
      <c r="T19" s="351" t="s">
        <v>6</v>
      </c>
      <c r="U19" s="335"/>
      <c r="V19" s="335"/>
      <c r="W19" s="335"/>
      <c r="X19" s="336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</row>
    <row r="20" spans="2:111" s="6" customFormat="1" ht="36" customHeight="1" thickBot="1" x14ac:dyDescent="0.25">
      <c r="B20" s="327"/>
      <c r="C20" s="329"/>
      <c r="D20" s="353"/>
      <c r="E20" s="354"/>
      <c r="F20" s="355"/>
      <c r="G20" s="7" t="s">
        <v>103</v>
      </c>
      <c r="H20" s="8" t="s">
        <v>7</v>
      </c>
      <c r="I20" s="9" t="s">
        <v>8</v>
      </c>
      <c r="J20" s="9" t="s">
        <v>9</v>
      </c>
      <c r="K20" s="9" t="s">
        <v>10</v>
      </c>
      <c r="L20" s="9" t="s">
        <v>11</v>
      </c>
      <c r="M20" s="9" t="s">
        <v>12</v>
      </c>
      <c r="N20" s="9" t="s">
        <v>13</v>
      </c>
      <c r="O20" s="9" t="s">
        <v>14</v>
      </c>
      <c r="P20" s="9" t="s">
        <v>15</v>
      </c>
      <c r="Q20" s="9" t="s">
        <v>16</v>
      </c>
      <c r="R20" s="9" t="s">
        <v>17</v>
      </c>
      <c r="S20" s="10">
        <v>120</v>
      </c>
      <c r="T20" s="9" t="s">
        <v>18</v>
      </c>
      <c r="U20" s="9" t="s">
        <v>19</v>
      </c>
      <c r="V20" s="11" t="s">
        <v>20</v>
      </c>
      <c r="W20" s="194" t="s">
        <v>21</v>
      </c>
      <c r="X20" s="195" t="s">
        <v>22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</row>
    <row r="21" spans="2:111" ht="15.75" customHeight="1" x14ac:dyDescent="0.2">
      <c r="B21" s="12" t="s">
        <v>64</v>
      </c>
      <c r="C21" s="145"/>
      <c r="D21" s="31"/>
      <c r="E21" s="12"/>
      <c r="F21" s="32"/>
      <c r="G21" s="33"/>
      <c r="H21" s="34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76"/>
      <c r="T21" s="77"/>
      <c r="U21" s="38"/>
      <c r="V21" s="39"/>
      <c r="W21" s="78"/>
      <c r="X21" s="79"/>
    </row>
    <row r="22" spans="2:111" ht="15.75" customHeight="1" x14ac:dyDescent="0.2">
      <c r="B22" s="13" t="s">
        <v>65</v>
      </c>
      <c r="C22" s="146"/>
      <c r="D22" s="42"/>
      <c r="E22" s="13"/>
      <c r="F22" s="43"/>
      <c r="G22" s="44"/>
      <c r="H22" s="45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80"/>
      <c r="T22" s="81"/>
      <c r="U22" s="49"/>
      <c r="V22" s="50"/>
      <c r="W22" s="82"/>
      <c r="X22" s="83"/>
    </row>
    <row r="23" spans="2:111" ht="15.75" customHeight="1" x14ac:dyDescent="0.2">
      <c r="B23" s="13" t="s">
        <v>66</v>
      </c>
      <c r="C23" s="146"/>
      <c r="D23" s="42"/>
      <c r="E23" s="13"/>
      <c r="F23" s="43"/>
      <c r="G23" s="44"/>
      <c r="H23" s="45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80"/>
      <c r="T23" s="81"/>
      <c r="U23" s="49"/>
      <c r="V23" s="50"/>
      <c r="W23" s="82"/>
      <c r="X23" s="83"/>
    </row>
    <row r="24" spans="2:111" ht="15.75" customHeight="1" x14ac:dyDescent="0.2">
      <c r="B24" s="13" t="s">
        <v>67</v>
      </c>
      <c r="C24" s="146"/>
      <c r="D24" s="42"/>
      <c r="E24" s="13"/>
      <c r="F24" s="43"/>
      <c r="G24" s="44"/>
      <c r="H24" s="45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80"/>
      <c r="T24" s="81"/>
      <c r="U24" s="49"/>
      <c r="V24" s="50"/>
      <c r="W24" s="82"/>
      <c r="X24" s="83"/>
    </row>
    <row r="25" spans="2:111" ht="15.75" customHeight="1" x14ac:dyDescent="0.2">
      <c r="B25" s="13" t="s">
        <v>68</v>
      </c>
      <c r="C25" s="146"/>
      <c r="D25" s="42"/>
      <c r="E25" s="13"/>
      <c r="F25" s="43"/>
      <c r="G25" s="44"/>
      <c r="H25" s="45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80"/>
      <c r="T25" s="81"/>
      <c r="U25" s="49"/>
      <c r="V25" s="50"/>
      <c r="W25" s="82"/>
      <c r="X25" s="83"/>
    </row>
    <row r="26" spans="2:111" ht="15.75" customHeight="1" x14ac:dyDescent="0.2">
      <c r="B26" s="13" t="s">
        <v>69</v>
      </c>
      <c r="C26" s="146"/>
      <c r="D26" s="42"/>
      <c r="E26" s="13"/>
      <c r="F26" s="43"/>
      <c r="G26" s="44"/>
      <c r="H26" s="45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80"/>
      <c r="T26" s="81"/>
      <c r="U26" s="49"/>
      <c r="V26" s="50"/>
      <c r="W26" s="82"/>
      <c r="X26" s="83"/>
    </row>
    <row r="27" spans="2:111" ht="15.75" customHeight="1" x14ac:dyDescent="0.2">
      <c r="B27" s="13" t="s">
        <v>70</v>
      </c>
      <c r="C27" s="146"/>
      <c r="D27" s="42"/>
      <c r="E27" s="13"/>
      <c r="F27" s="43"/>
      <c r="G27" s="44"/>
      <c r="H27" s="45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80"/>
      <c r="T27" s="81"/>
      <c r="U27" s="49"/>
      <c r="V27" s="50"/>
      <c r="W27" s="82"/>
      <c r="X27" s="83"/>
    </row>
    <row r="28" spans="2:111" ht="15.75" customHeight="1" thickBot="1" x14ac:dyDescent="0.25">
      <c r="B28" s="13" t="s">
        <v>71</v>
      </c>
      <c r="C28" s="146"/>
      <c r="D28" s="42"/>
      <c r="E28" s="13"/>
      <c r="F28" s="43"/>
      <c r="G28" s="44"/>
      <c r="H28" s="45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80"/>
      <c r="T28" s="81"/>
      <c r="U28" s="49"/>
      <c r="V28" s="50"/>
      <c r="W28" s="82"/>
      <c r="X28" s="83"/>
    </row>
    <row r="29" spans="2:111" ht="15.75" customHeight="1" thickBot="1" x14ac:dyDescent="0.25">
      <c r="B29" s="60"/>
      <c r="C29" s="148"/>
      <c r="D29" s="173"/>
      <c r="E29" s="171"/>
      <c r="F29" s="172"/>
      <c r="G29" s="64"/>
      <c r="H29" s="87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88"/>
      <c r="T29" s="89">
        <f>SUM(T21:T28)</f>
        <v>0</v>
      </c>
      <c r="U29" s="69" t="e">
        <f>AVERAGE(U21:U28)</f>
        <v>#DIV/0!</v>
      </c>
      <c r="V29" s="70">
        <f>SUM(V21:V28)</f>
        <v>0</v>
      </c>
      <c r="W29" s="69" t="e">
        <f>AVERAGE(W21:W28)</f>
        <v>#DIV/0!</v>
      </c>
      <c r="X29" s="70" t="e">
        <f>AVERAGE(X21:X28)</f>
        <v>#DIV/0!</v>
      </c>
    </row>
    <row r="30" spans="2:111" ht="15.75" customHeight="1" x14ac:dyDescent="0.2">
      <c r="B30" s="15"/>
      <c r="C30" s="15"/>
      <c r="D30" s="174"/>
      <c r="E30" s="15"/>
      <c r="F30" s="15"/>
      <c r="G30" s="1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6"/>
      <c r="U30" s="177"/>
      <c r="V30" s="176"/>
      <c r="W30" s="177"/>
      <c r="X30" s="176"/>
    </row>
    <row r="31" spans="2:111" ht="15.75" customHeight="1" x14ac:dyDescent="0.2">
      <c r="B31" s="15"/>
      <c r="C31" s="15"/>
      <c r="D31" s="174"/>
      <c r="E31" s="15"/>
      <c r="F31" s="15"/>
      <c r="G31" s="1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6"/>
      <c r="U31" s="177"/>
      <c r="V31" s="176"/>
      <c r="W31" s="177"/>
      <c r="X31" s="176"/>
    </row>
    <row r="32" spans="2:111" ht="15.75" customHeight="1" x14ac:dyDescent="0.2">
      <c r="B32" s="15"/>
      <c r="C32" s="15"/>
      <c r="D32" s="174"/>
      <c r="E32" s="15"/>
      <c r="F32" s="15"/>
      <c r="G32" s="1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6"/>
      <c r="U32" s="177"/>
      <c r="V32" s="176"/>
      <c r="W32" s="177"/>
      <c r="X32" s="176"/>
    </row>
    <row r="33" spans="2:111" ht="58.5" customHeight="1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72"/>
      <c r="V33" s="15"/>
      <c r="W33" s="72"/>
      <c r="X33" s="73"/>
    </row>
    <row r="34" spans="2:111" ht="15" customHeight="1" thickBot="1" x14ac:dyDescent="0.25">
      <c r="B34" s="17" t="s">
        <v>25</v>
      </c>
      <c r="C34" s="17"/>
      <c r="U34" s="90"/>
      <c r="V34" s="90"/>
      <c r="W34" s="90"/>
    </row>
    <row r="35" spans="2:111" s="6" customFormat="1" ht="12" customHeight="1" x14ac:dyDescent="0.2">
      <c r="B35" s="326" t="s">
        <v>1</v>
      </c>
      <c r="C35" s="328" t="s">
        <v>77</v>
      </c>
      <c r="D35" s="334" t="s">
        <v>2</v>
      </c>
      <c r="E35" s="335" t="s">
        <v>3</v>
      </c>
      <c r="F35" s="336" t="s">
        <v>4</v>
      </c>
      <c r="G35" s="330" t="s">
        <v>5</v>
      </c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32"/>
      <c r="T35" s="334" t="s">
        <v>6</v>
      </c>
      <c r="U35" s="335"/>
      <c r="V35" s="335"/>
      <c r="W35" s="335"/>
      <c r="X35" s="336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</row>
    <row r="36" spans="2:111" s="6" customFormat="1" ht="33" customHeight="1" thickBot="1" x14ac:dyDescent="0.25">
      <c r="B36" s="327"/>
      <c r="C36" s="329"/>
      <c r="D36" s="353"/>
      <c r="E36" s="354"/>
      <c r="F36" s="355"/>
      <c r="G36" s="7" t="s">
        <v>103</v>
      </c>
      <c r="H36" s="8" t="s">
        <v>7</v>
      </c>
      <c r="I36" s="9" t="s">
        <v>8</v>
      </c>
      <c r="J36" s="9" t="s">
        <v>9</v>
      </c>
      <c r="K36" s="9" t="s">
        <v>10</v>
      </c>
      <c r="L36" s="9" t="s">
        <v>11</v>
      </c>
      <c r="M36" s="9" t="s">
        <v>12</v>
      </c>
      <c r="N36" s="9" t="s">
        <v>13</v>
      </c>
      <c r="O36" s="9" t="s">
        <v>14</v>
      </c>
      <c r="P36" s="9" t="s">
        <v>15</v>
      </c>
      <c r="Q36" s="9" t="s">
        <v>16</v>
      </c>
      <c r="R36" s="9" t="s">
        <v>17</v>
      </c>
      <c r="S36" s="10">
        <v>120</v>
      </c>
      <c r="T36" s="9" t="s">
        <v>18</v>
      </c>
      <c r="U36" s="9" t="s">
        <v>19</v>
      </c>
      <c r="V36" s="11" t="s">
        <v>20</v>
      </c>
      <c r="W36" s="194" t="s">
        <v>21</v>
      </c>
      <c r="X36" s="195" t="s">
        <v>22</v>
      </c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</row>
    <row r="37" spans="2:111" ht="15" customHeight="1" x14ac:dyDescent="0.2">
      <c r="B37" s="12" t="s">
        <v>64</v>
      </c>
      <c r="C37" s="145"/>
      <c r="D37" s="31"/>
      <c r="E37" s="12"/>
      <c r="F37" s="32"/>
      <c r="G37" s="33"/>
      <c r="H37" s="34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76"/>
      <c r="T37" s="77"/>
      <c r="U37" s="38"/>
      <c r="V37" s="39"/>
      <c r="W37" s="78"/>
      <c r="X37" s="79"/>
    </row>
    <row r="38" spans="2:111" ht="15" customHeight="1" x14ac:dyDescent="0.2">
      <c r="B38" s="13" t="s">
        <v>65</v>
      </c>
      <c r="C38" s="146"/>
      <c r="D38" s="42"/>
      <c r="E38" s="13"/>
      <c r="F38" s="43"/>
      <c r="G38" s="44"/>
      <c r="H38" s="45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80"/>
      <c r="T38" s="81"/>
      <c r="U38" s="49"/>
      <c r="V38" s="50"/>
      <c r="W38" s="82"/>
      <c r="X38" s="83"/>
    </row>
    <row r="39" spans="2:111" ht="15" customHeight="1" x14ac:dyDescent="0.2">
      <c r="B39" s="13" t="s">
        <v>66</v>
      </c>
      <c r="C39" s="146"/>
      <c r="D39" s="42"/>
      <c r="E39" s="13"/>
      <c r="F39" s="43"/>
      <c r="G39" s="44"/>
      <c r="H39" s="45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80"/>
      <c r="T39" s="81"/>
      <c r="U39" s="49"/>
      <c r="V39" s="50"/>
      <c r="W39" s="82"/>
      <c r="X39" s="83"/>
    </row>
    <row r="40" spans="2:111" ht="15" customHeight="1" x14ac:dyDescent="0.2">
      <c r="B40" s="13" t="s">
        <v>67</v>
      </c>
      <c r="C40" s="146"/>
      <c r="D40" s="42"/>
      <c r="E40" s="13"/>
      <c r="F40" s="43"/>
      <c r="G40" s="44"/>
      <c r="H40" s="45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80"/>
      <c r="T40" s="81"/>
      <c r="U40" s="49"/>
      <c r="V40" s="50"/>
      <c r="W40" s="82"/>
      <c r="X40" s="83"/>
    </row>
    <row r="41" spans="2:111" ht="15" customHeight="1" x14ac:dyDescent="0.2">
      <c r="B41" s="13" t="s">
        <v>68</v>
      </c>
      <c r="C41" s="146"/>
      <c r="D41" s="42"/>
      <c r="E41" s="13"/>
      <c r="F41" s="43"/>
      <c r="G41" s="44"/>
      <c r="H41" s="45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80"/>
      <c r="T41" s="81"/>
      <c r="U41" s="49"/>
      <c r="V41" s="50"/>
      <c r="W41" s="82"/>
      <c r="X41" s="83"/>
    </row>
    <row r="42" spans="2:111" ht="15" customHeight="1" x14ac:dyDescent="0.2">
      <c r="B42" s="13" t="s">
        <v>69</v>
      </c>
      <c r="C42" s="146"/>
      <c r="D42" s="42"/>
      <c r="E42" s="13"/>
      <c r="F42" s="43"/>
      <c r="G42" s="44"/>
      <c r="H42" s="45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80"/>
      <c r="T42" s="81"/>
      <c r="U42" s="49"/>
      <c r="V42" s="50"/>
      <c r="W42" s="82"/>
      <c r="X42" s="83"/>
    </row>
    <row r="43" spans="2:111" ht="15" customHeight="1" x14ac:dyDescent="0.2">
      <c r="B43" s="13" t="s">
        <v>70</v>
      </c>
      <c r="C43" s="146"/>
      <c r="D43" s="42"/>
      <c r="E43" s="13"/>
      <c r="F43" s="43"/>
      <c r="G43" s="44"/>
      <c r="H43" s="45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80"/>
      <c r="T43" s="81"/>
      <c r="U43" s="49"/>
      <c r="V43" s="50"/>
      <c r="W43" s="82"/>
      <c r="X43" s="83"/>
    </row>
    <row r="44" spans="2:111" ht="15" customHeight="1" thickBot="1" x14ac:dyDescent="0.25">
      <c r="B44" s="13" t="s">
        <v>71</v>
      </c>
      <c r="C44" s="146"/>
      <c r="D44" s="42"/>
      <c r="E44" s="13"/>
      <c r="F44" s="43"/>
      <c r="G44" s="44"/>
      <c r="H44" s="45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80"/>
      <c r="T44" s="81"/>
      <c r="U44" s="49"/>
      <c r="V44" s="50"/>
      <c r="W44" s="82"/>
      <c r="X44" s="83"/>
    </row>
    <row r="45" spans="2:111" ht="15" customHeight="1" thickBot="1" x14ac:dyDescent="0.25">
      <c r="B45" s="60"/>
      <c r="C45" s="148"/>
      <c r="D45" s="148"/>
      <c r="E45" s="171"/>
      <c r="F45" s="172"/>
      <c r="G45" s="64"/>
      <c r="H45" s="87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88"/>
      <c r="T45" s="89">
        <f>SUM(T37:T44)</f>
        <v>0</v>
      </c>
      <c r="U45" s="69" t="e">
        <f>AVERAGE(U37:U44)</f>
        <v>#DIV/0!</v>
      </c>
      <c r="V45" s="70">
        <f>SUM(V37:V44)</f>
        <v>0</v>
      </c>
      <c r="W45" s="69" t="e">
        <f>AVERAGE(W37:W44)</f>
        <v>#DIV/0!</v>
      </c>
      <c r="X45" s="93" t="e">
        <f>AVERAGE(X37:X44)</f>
        <v>#DIV/0!</v>
      </c>
    </row>
    <row r="46" spans="2:111" ht="15" customHeight="1" x14ac:dyDescent="0.2">
      <c r="B46" s="15"/>
      <c r="C46" s="15"/>
      <c r="D46" s="15"/>
      <c r="E46" s="15"/>
      <c r="F46" s="15"/>
      <c r="G46" s="1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6"/>
      <c r="U46" s="177"/>
      <c r="V46" s="176"/>
      <c r="W46" s="177"/>
      <c r="X46" s="179"/>
    </row>
    <row r="47" spans="2:111" ht="15" customHeight="1" x14ac:dyDescent="0.2">
      <c r="B47" s="15"/>
      <c r="C47" s="15"/>
      <c r="D47" s="15"/>
      <c r="E47" s="15"/>
      <c r="F47" s="15"/>
      <c r="G47" s="1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6"/>
      <c r="U47" s="177"/>
      <c r="V47" s="176"/>
      <c r="W47" s="177"/>
      <c r="X47" s="179"/>
    </row>
    <row r="48" spans="2:111" ht="15" customHeight="1" x14ac:dyDescent="0.2">
      <c r="B48" s="15"/>
      <c r="C48" s="15"/>
      <c r="D48" s="15"/>
      <c r="E48" s="15"/>
      <c r="F48" s="15"/>
      <c r="G48" s="1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6"/>
      <c r="U48" s="177"/>
      <c r="V48" s="176"/>
      <c r="W48" s="177"/>
      <c r="X48" s="179"/>
    </row>
    <row r="49" spans="2:24" ht="11.25" customHeight="1" x14ac:dyDescent="0.2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72"/>
      <c r="V49" s="15"/>
      <c r="W49" s="72"/>
      <c r="X49" s="73"/>
    </row>
    <row r="50" spans="2:24" ht="15.75" customHeight="1" thickBot="1" x14ac:dyDescent="0.25">
      <c r="B50" s="17" t="s">
        <v>72</v>
      </c>
      <c r="C50" s="17"/>
      <c r="U50" s="90"/>
      <c r="V50" s="90"/>
      <c r="W50" s="90"/>
    </row>
    <row r="51" spans="2:24" ht="15.75" customHeight="1" x14ac:dyDescent="0.2">
      <c r="B51" s="326" t="s">
        <v>1</v>
      </c>
      <c r="C51" s="328" t="s">
        <v>77</v>
      </c>
      <c r="D51" s="330" t="s">
        <v>2</v>
      </c>
      <c r="E51" s="326" t="s">
        <v>24</v>
      </c>
      <c r="F51" s="347" t="s">
        <v>4</v>
      </c>
      <c r="G51" s="330" t="s">
        <v>5</v>
      </c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32"/>
      <c r="T51" s="351" t="s">
        <v>6</v>
      </c>
      <c r="U51" s="335"/>
      <c r="V51" s="335"/>
      <c r="W51" s="335"/>
      <c r="X51" s="336"/>
    </row>
    <row r="52" spans="2:24" ht="33" customHeight="1" thickBot="1" x14ac:dyDescent="0.25">
      <c r="B52" s="342"/>
      <c r="C52" s="329"/>
      <c r="D52" s="331"/>
      <c r="E52" s="327"/>
      <c r="F52" s="346"/>
      <c r="G52" s="7" t="s">
        <v>103</v>
      </c>
      <c r="H52" s="11" t="s">
        <v>26</v>
      </c>
      <c r="I52" s="9" t="s">
        <v>27</v>
      </c>
      <c r="J52" s="9" t="s">
        <v>28</v>
      </c>
      <c r="K52" s="9" t="s">
        <v>29</v>
      </c>
      <c r="L52" s="9" t="s">
        <v>30</v>
      </c>
      <c r="M52" s="9" t="s">
        <v>31</v>
      </c>
      <c r="N52" s="9" t="s">
        <v>32</v>
      </c>
      <c r="O52" s="9" t="s">
        <v>33</v>
      </c>
      <c r="P52" s="9" t="s">
        <v>34</v>
      </c>
      <c r="Q52" s="9" t="s">
        <v>35</v>
      </c>
      <c r="R52" s="9" t="s">
        <v>36</v>
      </c>
      <c r="S52" s="10">
        <v>70</v>
      </c>
      <c r="T52" s="9" t="s">
        <v>18</v>
      </c>
      <c r="U52" s="9" t="s">
        <v>19</v>
      </c>
      <c r="V52" s="11" t="s">
        <v>20</v>
      </c>
      <c r="W52" s="194" t="s">
        <v>21</v>
      </c>
      <c r="X52" s="195" t="s">
        <v>22</v>
      </c>
    </row>
    <row r="53" spans="2:24" ht="15.75" customHeight="1" x14ac:dyDescent="0.2">
      <c r="B53" s="12" t="s">
        <v>64</v>
      </c>
      <c r="C53" s="145"/>
      <c r="D53" s="31"/>
      <c r="E53" s="12"/>
      <c r="F53" s="32"/>
      <c r="G53" s="94"/>
      <c r="H53" s="34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76"/>
      <c r="T53" s="77"/>
      <c r="U53" s="38"/>
      <c r="V53" s="39"/>
      <c r="W53" s="78"/>
      <c r="X53" s="79"/>
    </row>
    <row r="54" spans="2:24" ht="15.75" customHeight="1" x14ac:dyDescent="0.2">
      <c r="B54" s="13" t="s">
        <v>65</v>
      </c>
      <c r="C54" s="146"/>
      <c r="D54" s="42"/>
      <c r="E54" s="13"/>
      <c r="F54" s="43"/>
      <c r="G54" s="95"/>
      <c r="H54" s="45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80"/>
      <c r="T54" s="81"/>
      <c r="U54" s="49"/>
      <c r="V54" s="50"/>
      <c r="W54" s="82"/>
      <c r="X54" s="83"/>
    </row>
    <row r="55" spans="2:24" ht="15.75" customHeight="1" x14ac:dyDescent="0.2">
      <c r="B55" s="13" t="s">
        <v>66</v>
      </c>
      <c r="C55" s="146"/>
      <c r="D55" s="42"/>
      <c r="E55" s="13"/>
      <c r="F55" s="43"/>
      <c r="G55" s="95"/>
      <c r="H55" s="45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80"/>
      <c r="T55" s="81"/>
      <c r="U55" s="49"/>
      <c r="V55" s="50"/>
      <c r="W55" s="82"/>
      <c r="X55" s="83"/>
    </row>
    <row r="56" spans="2:24" ht="15.75" customHeight="1" x14ac:dyDescent="0.2">
      <c r="B56" s="13" t="s">
        <v>67</v>
      </c>
      <c r="C56" s="146"/>
      <c r="D56" s="42"/>
      <c r="E56" s="13"/>
      <c r="F56" s="43"/>
      <c r="G56" s="95"/>
      <c r="H56" s="45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80"/>
      <c r="T56" s="81"/>
      <c r="U56" s="49"/>
      <c r="V56" s="50"/>
      <c r="W56" s="82"/>
      <c r="X56" s="83"/>
    </row>
    <row r="57" spans="2:24" ht="15.75" customHeight="1" x14ac:dyDescent="0.2">
      <c r="B57" s="13" t="s">
        <v>68</v>
      </c>
      <c r="C57" s="146"/>
      <c r="D57" s="42"/>
      <c r="E57" s="13"/>
      <c r="F57" s="43"/>
      <c r="G57" s="95"/>
      <c r="H57" s="45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80"/>
      <c r="T57" s="81"/>
      <c r="U57" s="49"/>
      <c r="V57" s="50"/>
      <c r="W57" s="82"/>
      <c r="X57" s="83"/>
    </row>
    <row r="58" spans="2:24" ht="15.75" customHeight="1" x14ac:dyDescent="0.2">
      <c r="B58" s="13" t="s">
        <v>69</v>
      </c>
      <c r="C58" s="146"/>
      <c r="D58" s="42"/>
      <c r="E58" s="13"/>
      <c r="F58" s="43"/>
      <c r="G58" s="95"/>
      <c r="H58" s="45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80"/>
      <c r="T58" s="81"/>
      <c r="U58" s="49"/>
      <c r="V58" s="50"/>
      <c r="W58" s="82"/>
      <c r="X58" s="83"/>
    </row>
    <row r="59" spans="2:24" ht="15.75" customHeight="1" x14ac:dyDescent="0.2">
      <c r="B59" s="13" t="s">
        <v>70</v>
      </c>
      <c r="C59" s="146"/>
      <c r="D59" s="42"/>
      <c r="E59" s="13"/>
      <c r="F59" s="43"/>
      <c r="G59" s="95"/>
      <c r="H59" s="45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80"/>
      <c r="T59" s="81"/>
      <c r="U59" s="49"/>
      <c r="V59" s="50"/>
      <c r="W59" s="82"/>
      <c r="X59" s="83"/>
    </row>
    <row r="60" spans="2:24" ht="15.75" customHeight="1" thickBot="1" x14ac:dyDescent="0.25">
      <c r="B60" s="13" t="s">
        <v>71</v>
      </c>
      <c r="C60" s="146"/>
      <c r="D60" s="42"/>
      <c r="E60" s="13"/>
      <c r="F60" s="43"/>
      <c r="G60" s="95"/>
      <c r="H60" s="45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80"/>
      <c r="T60" s="81"/>
      <c r="U60" s="49"/>
      <c r="V60" s="50"/>
      <c r="W60" s="82"/>
      <c r="X60" s="83"/>
    </row>
    <row r="61" spans="2:24" ht="15.75" customHeight="1" thickBot="1" x14ac:dyDescent="0.25">
      <c r="B61" s="96"/>
      <c r="C61" s="149"/>
      <c r="D61" s="149"/>
      <c r="E61" s="171"/>
      <c r="F61" s="170"/>
      <c r="G61" s="99"/>
      <c r="H61" s="65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88"/>
      <c r="T61" s="89">
        <f>SUM(T53:T60)</f>
        <v>0</v>
      </c>
      <c r="U61" s="69" t="e">
        <f>AVERAGE(U53:U60)</f>
        <v>#DIV/0!</v>
      </c>
      <c r="V61" s="70">
        <f>SUM(V53:V60)</f>
        <v>0</v>
      </c>
      <c r="W61" s="69" t="e">
        <f>AVERAGE(W53:W60)</f>
        <v>#DIV/0!</v>
      </c>
      <c r="X61" s="93" t="e">
        <f>AVERAGE(X53:X60)</f>
        <v>#DIV/0!</v>
      </c>
    </row>
    <row r="62" spans="2:24" ht="15.75" customHeight="1" x14ac:dyDescent="0.2">
      <c r="B62" s="3"/>
      <c r="C62" s="3"/>
      <c r="D62" s="3"/>
      <c r="E62" s="15"/>
      <c r="F62" s="3"/>
      <c r="G62" s="3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6"/>
      <c r="U62" s="177"/>
      <c r="V62" s="176"/>
      <c r="W62" s="177"/>
      <c r="X62" s="179"/>
    </row>
    <row r="63" spans="2:24" ht="15.75" customHeight="1" x14ac:dyDescent="0.2">
      <c r="B63" s="3"/>
      <c r="C63" s="3"/>
      <c r="D63" s="3"/>
      <c r="E63" s="15"/>
      <c r="F63" s="3"/>
      <c r="G63" s="3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6"/>
      <c r="U63" s="177"/>
      <c r="V63" s="176"/>
      <c r="W63" s="177"/>
      <c r="X63" s="179"/>
    </row>
    <row r="64" spans="2:24" ht="15.75" customHeight="1" x14ac:dyDescent="0.2">
      <c r="B64" s="3"/>
      <c r="C64" s="3"/>
      <c r="D64" s="3"/>
      <c r="E64" s="15"/>
      <c r="F64" s="3"/>
      <c r="G64" s="3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6"/>
      <c r="U64" s="177"/>
      <c r="V64" s="176"/>
      <c r="W64" s="177"/>
      <c r="X64" s="179"/>
    </row>
    <row r="65" spans="2:111" ht="75" customHeight="1" x14ac:dyDescent="0.2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72"/>
      <c r="V65" s="15"/>
      <c r="W65" s="72"/>
      <c r="X65" s="73"/>
    </row>
    <row r="66" spans="2:111" ht="17.25" customHeight="1" thickBot="1" x14ac:dyDescent="0.25">
      <c r="B66" s="17" t="s">
        <v>74</v>
      </c>
      <c r="C66" s="17"/>
      <c r="U66" s="90"/>
      <c r="V66" s="90"/>
      <c r="W66" s="90"/>
    </row>
    <row r="67" spans="2:111" s="6" customFormat="1" ht="11.25" customHeight="1" x14ac:dyDescent="0.2">
      <c r="B67" s="326" t="s">
        <v>1</v>
      </c>
      <c r="C67" s="328" t="s">
        <v>77</v>
      </c>
      <c r="D67" s="330" t="s">
        <v>2</v>
      </c>
      <c r="E67" s="326" t="s">
        <v>24</v>
      </c>
      <c r="F67" s="347" t="s">
        <v>4</v>
      </c>
      <c r="G67" s="330" t="s">
        <v>5</v>
      </c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32"/>
      <c r="T67" s="351" t="s">
        <v>6</v>
      </c>
      <c r="U67" s="335"/>
      <c r="V67" s="335"/>
      <c r="W67" s="335"/>
      <c r="X67" s="336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</row>
    <row r="68" spans="2:111" s="6" customFormat="1" ht="31.5" customHeight="1" thickBot="1" x14ac:dyDescent="0.25">
      <c r="B68" s="342"/>
      <c r="C68" s="329"/>
      <c r="D68" s="331"/>
      <c r="E68" s="327"/>
      <c r="F68" s="346"/>
      <c r="G68" s="7" t="s">
        <v>103</v>
      </c>
      <c r="H68" s="11" t="s">
        <v>38</v>
      </c>
      <c r="I68" s="9" t="s">
        <v>39</v>
      </c>
      <c r="J68" s="9" t="s">
        <v>40</v>
      </c>
      <c r="K68" s="9" t="s">
        <v>41</v>
      </c>
      <c r="L68" s="9" t="s">
        <v>42</v>
      </c>
      <c r="M68" s="9" t="s">
        <v>43</v>
      </c>
      <c r="N68" s="9" t="s">
        <v>44</v>
      </c>
      <c r="O68" s="9" t="s">
        <v>45</v>
      </c>
      <c r="P68" s="9" t="s">
        <v>29</v>
      </c>
      <c r="Q68" s="9" t="s">
        <v>46</v>
      </c>
      <c r="R68" s="9" t="s">
        <v>47</v>
      </c>
      <c r="S68" s="10">
        <v>50</v>
      </c>
      <c r="T68" s="9" t="s">
        <v>18</v>
      </c>
      <c r="U68" s="9" t="s">
        <v>19</v>
      </c>
      <c r="V68" s="11" t="s">
        <v>20</v>
      </c>
      <c r="W68" s="194" t="s">
        <v>21</v>
      </c>
      <c r="X68" s="195" t="s">
        <v>22</v>
      </c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</row>
    <row r="69" spans="2:111" ht="14.25" customHeight="1" x14ac:dyDescent="0.2">
      <c r="B69" s="12" t="s">
        <v>64</v>
      </c>
      <c r="C69" s="145"/>
      <c r="D69" s="31"/>
      <c r="E69" s="12"/>
      <c r="F69" s="100"/>
      <c r="G69" s="33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76"/>
      <c r="T69" s="77"/>
      <c r="U69" s="38"/>
      <c r="V69" s="39"/>
      <c r="W69" s="78"/>
      <c r="X69" s="79"/>
    </row>
    <row r="70" spans="2:111" ht="14.25" customHeight="1" x14ac:dyDescent="0.2">
      <c r="B70" s="13" t="s">
        <v>65</v>
      </c>
      <c r="C70" s="146"/>
      <c r="D70" s="42"/>
      <c r="E70" s="13"/>
      <c r="F70" s="101"/>
      <c r="G70" s="44"/>
      <c r="H70" s="45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80"/>
      <c r="T70" s="81"/>
      <c r="U70" s="49"/>
      <c r="V70" s="50"/>
      <c r="W70" s="82"/>
      <c r="X70" s="83"/>
    </row>
    <row r="71" spans="2:111" ht="14.25" customHeight="1" x14ac:dyDescent="0.2">
      <c r="B71" s="13" t="s">
        <v>66</v>
      </c>
      <c r="C71" s="146"/>
      <c r="D71" s="42"/>
      <c r="E71" s="13"/>
      <c r="F71" s="101"/>
      <c r="G71" s="44"/>
      <c r="H71" s="45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80"/>
      <c r="T71" s="81"/>
      <c r="U71" s="49"/>
      <c r="V71" s="50"/>
      <c r="W71" s="82"/>
      <c r="X71" s="83"/>
    </row>
    <row r="72" spans="2:111" ht="14.25" customHeight="1" x14ac:dyDescent="0.2">
      <c r="B72" s="13" t="s">
        <v>67</v>
      </c>
      <c r="C72" s="146"/>
      <c r="D72" s="42"/>
      <c r="E72" s="13"/>
      <c r="F72" s="101"/>
      <c r="G72" s="44"/>
      <c r="H72" s="45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80"/>
      <c r="T72" s="81"/>
      <c r="U72" s="49"/>
      <c r="V72" s="50"/>
      <c r="W72" s="82"/>
      <c r="X72" s="83"/>
    </row>
    <row r="73" spans="2:111" ht="14.25" customHeight="1" x14ac:dyDescent="0.2">
      <c r="B73" s="13" t="s">
        <v>68</v>
      </c>
      <c r="C73" s="146"/>
      <c r="D73" s="42"/>
      <c r="E73" s="13"/>
      <c r="F73" s="101"/>
      <c r="G73" s="44"/>
      <c r="H73" s="45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80"/>
      <c r="T73" s="81"/>
      <c r="U73" s="49"/>
      <c r="V73" s="50"/>
      <c r="W73" s="82"/>
      <c r="X73" s="83"/>
    </row>
    <row r="74" spans="2:111" ht="14.25" customHeight="1" x14ac:dyDescent="0.2">
      <c r="B74" s="13" t="s">
        <v>69</v>
      </c>
      <c r="C74" s="146"/>
      <c r="D74" s="42"/>
      <c r="E74" s="13"/>
      <c r="F74" s="101"/>
      <c r="G74" s="44"/>
      <c r="H74" s="45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80"/>
      <c r="T74" s="81"/>
      <c r="U74" s="49"/>
      <c r="V74" s="50"/>
      <c r="W74" s="82"/>
      <c r="X74" s="83"/>
    </row>
    <row r="75" spans="2:111" ht="14.25" customHeight="1" x14ac:dyDescent="0.2">
      <c r="B75" s="13" t="s">
        <v>70</v>
      </c>
      <c r="C75" s="146"/>
      <c r="D75" s="42"/>
      <c r="E75" s="13"/>
      <c r="F75" s="101"/>
      <c r="G75" s="44"/>
      <c r="H75" s="45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80"/>
      <c r="T75" s="81"/>
      <c r="U75" s="49"/>
      <c r="V75" s="50"/>
      <c r="W75" s="82"/>
      <c r="X75" s="83"/>
    </row>
    <row r="76" spans="2:111" ht="14.25" customHeight="1" thickBot="1" x14ac:dyDescent="0.25">
      <c r="B76" s="13" t="s">
        <v>71</v>
      </c>
      <c r="C76" s="146"/>
      <c r="D76" s="42"/>
      <c r="E76" s="13"/>
      <c r="F76" s="101"/>
      <c r="G76" s="44"/>
      <c r="H76" s="45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80"/>
      <c r="T76" s="81"/>
      <c r="U76" s="49"/>
      <c r="V76" s="50"/>
      <c r="W76" s="82"/>
      <c r="X76" s="83"/>
    </row>
    <row r="77" spans="2:111" ht="14.25" customHeight="1" thickBot="1" x14ac:dyDescent="0.25">
      <c r="B77" s="96"/>
      <c r="C77" s="149"/>
      <c r="D77" s="149"/>
      <c r="E77" s="171"/>
      <c r="F77" s="170"/>
      <c r="G77" s="99"/>
      <c r="H77" s="65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88"/>
      <c r="T77" s="89">
        <f>SUM(T69:T76)</f>
        <v>0</v>
      </c>
      <c r="U77" s="69" t="e">
        <f>AVERAGE(U69:U76)</f>
        <v>#DIV/0!</v>
      </c>
      <c r="V77" s="70">
        <f>SUM(V69:V76)</f>
        <v>0</v>
      </c>
      <c r="W77" s="69" t="e">
        <f>AVERAGE(W69:W76)</f>
        <v>#DIV/0!</v>
      </c>
      <c r="X77" s="93" t="e">
        <f>AVERAGE(X69:X76)</f>
        <v>#DIV/0!</v>
      </c>
    </row>
    <row r="78" spans="2:111" ht="14.25" customHeight="1" x14ac:dyDescent="0.2">
      <c r="B78" s="3"/>
      <c r="C78" s="3"/>
      <c r="D78" s="3"/>
      <c r="E78" s="15"/>
      <c r="F78" s="3"/>
      <c r="G78" s="3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6"/>
      <c r="U78" s="177"/>
      <c r="V78" s="176"/>
      <c r="W78" s="177"/>
      <c r="X78" s="179"/>
    </row>
    <row r="79" spans="2:111" ht="14.25" customHeight="1" x14ac:dyDescent="0.2">
      <c r="B79" s="3"/>
      <c r="C79" s="3"/>
      <c r="D79" s="3"/>
      <c r="E79" s="15"/>
      <c r="F79" s="3"/>
      <c r="G79" s="3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6"/>
      <c r="U79" s="177"/>
      <c r="V79" s="176"/>
      <c r="W79" s="177"/>
      <c r="X79" s="179"/>
    </row>
    <row r="80" spans="2:111" ht="14.25" customHeight="1" x14ac:dyDescent="0.2">
      <c r="B80" s="3"/>
      <c r="C80" s="3"/>
      <c r="D80" s="3"/>
      <c r="E80" s="15"/>
      <c r="F80" s="3"/>
      <c r="G80" s="3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6"/>
      <c r="U80" s="177"/>
      <c r="V80" s="176"/>
      <c r="W80" s="177"/>
      <c r="X80" s="179"/>
    </row>
    <row r="81" spans="2:111" ht="73.5" customHeight="1" x14ac:dyDescent="0.2">
      <c r="U81" s="90"/>
      <c r="V81" s="90"/>
      <c r="W81" s="90"/>
    </row>
    <row r="82" spans="2:111" ht="13.5" customHeight="1" thickBot="1" x14ac:dyDescent="0.25">
      <c r="B82" s="17" t="s">
        <v>48</v>
      </c>
      <c r="C82" s="17"/>
      <c r="U82" s="90"/>
      <c r="V82" s="90"/>
      <c r="W82" s="90"/>
    </row>
    <row r="83" spans="2:111" s="6" customFormat="1" ht="15" customHeight="1" x14ac:dyDescent="0.2">
      <c r="B83" s="326" t="s">
        <v>1</v>
      </c>
      <c r="C83" s="328" t="s">
        <v>77</v>
      </c>
      <c r="D83" s="330" t="s">
        <v>2</v>
      </c>
      <c r="E83" s="326" t="s">
        <v>24</v>
      </c>
      <c r="F83" s="332" t="s">
        <v>4</v>
      </c>
      <c r="G83" s="330" t="s">
        <v>5</v>
      </c>
      <c r="H83" s="347"/>
      <c r="I83" s="347"/>
      <c r="J83" s="347"/>
      <c r="K83" s="347"/>
      <c r="L83" s="347"/>
      <c r="M83" s="347"/>
      <c r="N83" s="347"/>
      <c r="O83" s="347"/>
      <c r="P83" s="347"/>
      <c r="Q83" s="347"/>
      <c r="R83" s="347"/>
      <c r="S83" s="332"/>
      <c r="T83" s="334" t="s">
        <v>6</v>
      </c>
      <c r="U83" s="335"/>
      <c r="V83" s="335"/>
      <c r="W83" s="335"/>
      <c r="X83" s="336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</row>
    <row r="84" spans="2:111" s="6" customFormat="1" ht="27.75" customHeight="1" thickBot="1" x14ac:dyDescent="0.25">
      <c r="B84" s="342"/>
      <c r="C84" s="329"/>
      <c r="D84" s="331"/>
      <c r="E84" s="327"/>
      <c r="F84" s="333"/>
      <c r="G84" s="7" t="s">
        <v>103</v>
      </c>
      <c r="H84" s="11" t="s">
        <v>38</v>
      </c>
      <c r="I84" s="9" t="s">
        <v>39</v>
      </c>
      <c r="J84" s="9" t="s">
        <v>40</v>
      </c>
      <c r="K84" s="9" t="s">
        <v>41</v>
      </c>
      <c r="L84" s="9" t="s">
        <v>42</v>
      </c>
      <c r="M84" s="9" t="s">
        <v>43</v>
      </c>
      <c r="N84" s="9" t="s">
        <v>44</v>
      </c>
      <c r="O84" s="9" t="s">
        <v>45</v>
      </c>
      <c r="P84" s="18" t="s">
        <v>29</v>
      </c>
      <c r="Q84" s="9" t="s">
        <v>46</v>
      </c>
      <c r="R84" s="9" t="s">
        <v>47</v>
      </c>
      <c r="S84" s="10">
        <v>50</v>
      </c>
      <c r="T84" s="9" t="s">
        <v>18</v>
      </c>
      <c r="U84" s="9" t="s">
        <v>19</v>
      </c>
      <c r="V84" s="11" t="s">
        <v>20</v>
      </c>
      <c r="W84" s="194" t="s">
        <v>21</v>
      </c>
      <c r="X84" s="195" t="s">
        <v>22</v>
      </c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</row>
    <row r="85" spans="2:111" ht="15" customHeight="1" x14ac:dyDescent="0.15">
      <c r="B85" s="12" t="s">
        <v>64</v>
      </c>
      <c r="C85" s="145"/>
      <c r="D85" s="31"/>
      <c r="E85" s="12"/>
      <c r="F85" s="32"/>
      <c r="G85" s="33"/>
      <c r="H85" s="103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5"/>
      <c r="T85" s="77"/>
      <c r="U85" s="38"/>
      <c r="V85" s="39"/>
      <c r="W85" s="78"/>
      <c r="X85" s="106"/>
    </row>
    <row r="86" spans="2:111" ht="15" customHeight="1" x14ac:dyDescent="0.15">
      <c r="B86" s="13" t="s">
        <v>65</v>
      </c>
      <c r="C86" s="146"/>
      <c r="D86" s="42"/>
      <c r="E86" s="13"/>
      <c r="F86" s="43"/>
      <c r="G86" s="44"/>
      <c r="H86" s="107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9"/>
      <c r="T86" s="81"/>
      <c r="U86" s="49"/>
      <c r="V86" s="50"/>
      <c r="W86" s="82"/>
      <c r="X86" s="110"/>
    </row>
    <row r="87" spans="2:111" ht="15" customHeight="1" x14ac:dyDescent="0.15">
      <c r="B87" s="13" t="s">
        <v>66</v>
      </c>
      <c r="C87" s="146"/>
      <c r="D87" s="42"/>
      <c r="E87" s="13"/>
      <c r="F87" s="43"/>
      <c r="G87" s="44"/>
      <c r="H87" s="107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9"/>
      <c r="T87" s="81"/>
      <c r="U87" s="49"/>
      <c r="V87" s="50"/>
      <c r="W87" s="82"/>
      <c r="X87" s="110"/>
    </row>
    <row r="88" spans="2:111" ht="15" customHeight="1" x14ac:dyDescent="0.15">
      <c r="B88" s="13" t="s">
        <v>67</v>
      </c>
      <c r="C88" s="146"/>
      <c r="D88" s="42"/>
      <c r="E88" s="13"/>
      <c r="F88" s="43"/>
      <c r="G88" s="44"/>
      <c r="H88" s="107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9"/>
      <c r="T88" s="81"/>
      <c r="U88" s="49"/>
      <c r="V88" s="50"/>
      <c r="W88" s="82"/>
      <c r="X88" s="110"/>
    </row>
    <row r="89" spans="2:111" ht="15" customHeight="1" x14ac:dyDescent="0.15">
      <c r="B89" s="13" t="s">
        <v>68</v>
      </c>
      <c r="C89" s="146"/>
      <c r="D89" s="42"/>
      <c r="E89" s="13"/>
      <c r="F89" s="43"/>
      <c r="G89" s="44"/>
      <c r="H89" s="107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9"/>
      <c r="T89" s="81"/>
      <c r="U89" s="49"/>
      <c r="V89" s="50"/>
      <c r="W89" s="82"/>
      <c r="X89" s="110"/>
    </row>
    <row r="90" spans="2:111" ht="15" customHeight="1" x14ac:dyDescent="0.15">
      <c r="B90" s="13" t="s">
        <v>69</v>
      </c>
      <c r="C90" s="146"/>
      <c r="D90" s="42"/>
      <c r="E90" s="13"/>
      <c r="F90" s="43"/>
      <c r="G90" s="44"/>
      <c r="H90" s="107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9"/>
      <c r="T90" s="81"/>
      <c r="U90" s="49"/>
      <c r="V90" s="50"/>
      <c r="W90" s="82"/>
      <c r="X90" s="110"/>
    </row>
    <row r="91" spans="2:111" ht="15" customHeight="1" x14ac:dyDescent="0.15">
      <c r="B91" s="13" t="s">
        <v>70</v>
      </c>
      <c r="C91" s="146"/>
      <c r="D91" s="42"/>
      <c r="E91" s="13"/>
      <c r="F91" s="43"/>
      <c r="G91" s="44"/>
      <c r="H91" s="107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9"/>
      <c r="T91" s="81"/>
      <c r="U91" s="49"/>
      <c r="V91" s="50"/>
      <c r="W91" s="82"/>
      <c r="X91" s="110"/>
    </row>
    <row r="92" spans="2:111" ht="15" customHeight="1" thickBot="1" x14ac:dyDescent="0.2">
      <c r="B92" s="13" t="s">
        <v>71</v>
      </c>
      <c r="C92" s="146"/>
      <c r="D92" s="42"/>
      <c r="E92" s="13"/>
      <c r="F92" s="43"/>
      <c r="G92" s="44"/>
      <c r="H92" s="107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9"/>
      <c r="T92" s="81"/>
      <c r="U92" s="49"/>
      <c r="V92" s="50"/>
      <c r="W92" s="82"/>
      <c r="X92" s="110"/>
    </row>
    <row r="93" spans="2:111" ht="15" customHeight="1" thickBot="1" x14ac:dyDescent="0.25">
      <c r="B93" s="96"/>
      <c r="C93" s="149"/>
      <c r="D93" s="149"/>
      <c r="E93" s="171"/>
      <c r="F93" s="170"/>
      <c r="G93" s="99"/>
      <c r="H93" s="97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98"/>
      <c r="T93" s="89">
        <f>SUM(T85:T92)</f>
        <v>0</v>
      </c>
      <c r="U93" s="69" t="e">
        <f>AVERAGE(U85:U92)</f>
        <v>#DIV/0!</v>
      </c>
      <c r="V93" s="70">
        <f>SUM(V85:V92)</f>
        <v>0</v>
      </c>
      <c r="W93" s="69" t="e">
        <f>AVERAGE(W85:W92)</f>
        <v>#DIV/0!</v>
      </c>
      <c r="X93" s="93" t="e">
        <f>AVERAGE(X85:X92)</f>
        <v>#DIV/0!</v>
      </c>
    </row>
    <row r="94" spans="2:111" ht="15" customHeight="1" x14ac:dyDescent="0.2">
      <c r="B94" s="3"/>
      <c r="C94" s="3"/>
      <c r="D94" s="3"/>
      <c r="E94" s="1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76"/>
      <c r="U94" s="177"/>
      <c r="V94" s="176"/>
      <c r="W94" s="177"/>
      <c r="X94" s="179"/>
    </row>
    <row r="95" spans="2:111" ht="15" customHeight="1" x14ac:dyDescent="0.2">
      <c r="B95" s="3"/>
      <c r="C95" s="3"/>
      <c r="D95" s="3"/>
      <c r="E95" s="1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176"/>
      <c r="U95" s="177"/>
      <c r="V95" s="176"/>
      <c r="W95" s="177"/>
      <c r="X95" s="179"/>
    </row>
    <row r="96" spans="2:111" ht="15" customHeight="1" x14ac:dyDescent="0.2">
      <c r="B96" s="3"/>
      <c r="C96" s="3"/>
      <c r="D96" s="3"/>
      <c r="E96" s="1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76"/>
      <c r="U96" s="177"/>
      <c r="V96" s="176"/>
      <c r="W96" s="177"/>
      <c r="X96" s="179"/>
    </row>
    <row r="97" spans="2:111" ht="66" customHeight="1" x14ac:dyDescent="0.2">
      <c r="B97" s="3"/>
      <c r="C97" s="3"/>
      <c r="D97" s="3"/>
      <c r="E97" s="1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5"/>
      <c r="U97" s="72"/>
      <c r="V97" s="15"/>
      <c r="W97" s="72"/>
      <c r="X97" s="4"/>
    </row>
    <row r="98" spans="2:111" ht="15" customHeight="1" thickBot="1" x14ac:dyDescent="0.25">
      <c r="B98" s="17" t="s">
        <v>49</v>
      </c>
      <c r="C98" s="17"/>
      <c r="U98" s="90"/>
      <c r="V98" s="90"/>
      <c r="W98" s="90"/>
    </row>
    <row r="99" spans="2:111" ht="13.5" customHeight="1" x14ac:dyDescent="0.2">
      <c r="B99" s="326" t="s">
        <v>1</v>
      </c>
      <c r="C99" s="328" t="s">
        <v>77</v>
      </c>
      <c r="D99" s="330" t="s">
        <v>2</v>
      </c>
      <c r="E99" s="326" t="s">
        <v>24</v>
      </c>
      <c r="F99" s="347" t="s">
        <v>4</v>
      </c>
      <c r="G99" s="330" t="s">
        <v>5</v>
      </c>
      <c r="H99" s="347"/>
      <c r="I99" s="347"/>
      <c r="J99" s="347"/>
      <c r="K99" s="347"/>
      <c r="L99" s="347"/>
      <c r="M99" s="347"/>
      <c r="N99" s="347"/>
      <c r="O99" s="347"/>
      <c r="P99" s="347"/>
      <c r="Q99" s="347"/>
      <c r="R99" s="347"/>
      <c r="S99" s="332"/>
      <c r="T99" s="351" t="s">
        <v>6</v>
      </c>
      <c r="U99" s="335"/>
      <c r="V99" s="335"/>
      <c r="W99" s="335"/>
      <c r="X99" s="336"/>
    </row>
    <row r="100" spans="2:111" s="6" customFormat="1" ht="30.75" customHeight="1" thickBot="1" x14ac:dyDescent="0.25">
      <c r="B100" s="342"/>
      <c r="C100" s="329"/>
      <c r="D100" s="331"/>
      <c r="E100" s="327"/>
      <c r="F100" s="346"/>
      <c r="G100" s="7" t="s">
        <v>103</v>
      </c>
      <c r="H100" s="19" t="s">
        <v>38</v>
      </c>
      <c r="I100" s="19" t="s">
        <v>39</v>
      </c>
      <c r="J100" s="19" t="s">
        <v>40</v>
      </c>
      <c r="K100" s="19" t="s">
        <v>41</v>
      </c>
      <c r="L100" s="19" t="s">
        <v>42</v>
      </c>
      <c r="M100" s="19" t="s">
        <v>43</v>
      </c>
      <c r="N100" s="19" t="s">
        <v>44</v>
      </c>
      <c r="O100" s="19" t="s">
        <v>45</v>
      </c>
      <c r="P100" s="20" t="s">
        <v>29</v>
      </c>
      <c r="Q100" s="19" t="s">
        <v>46</v>
      </c>
      <c r="R100" s="19" t="s">
        <v>47</v>
      </c>
      <c r="S100" s="21">
        <v>50</v>
      </c>
      <c r="T100" s="9" t="s">
        <v>18</v>
      </c>
      <c r="U100" s="9" t="s">
        <v>19</v>
      </c>
      <c r="V100" s="11" t="s">
        <v>20</v>
      </c>
      <c r="W100" s="194" t="s">
        <v>21</v>
      </c>
      <c r="X100" s="195" t="s">
        <v>22</v>
      </c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</row>
    <row r="101" spans="2:111" s="6" customFormat="1" ht="15" customHeight="1" x14ac:dyDescent="0.2">
      <c r="B101" s="12" t="s">
        <v>64</v>
      </c>
      <c r="C101" s="145"/>
      <c r="D101" s="31"/>
      <c r="E101" s="12"/>
      <c r="F101" s="32"/>
      <c r="G101" s="33"/>
      <c r="H101" s="112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4"/>
      <c r="T101" s="77"/>
      <c r="U101" s="38"/>
      <c r="V101" s="39"/>
      <c r="W101" s="78"/>
      <c r="X101" s="7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</row>
    <row r="102" spans="2:111" ht="15" customHeight="1" x14ac:dyDescent="0.2">
      <c r="B102" s="13" t="s">
        <v>65</v>
      </c>
      <c r="C102" s="146"/>
      <c r="D102" s="42"/>
      <c r="E102" s="13"/>
      <c r="F102" s="43"/>
      <c r="G102" s="44"/>
      <c r="H102" s="107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9"/>
      <c r="T102" s="81"/>
      <c r="U102" s="49"/>
      <c r="V102" s="50"/>
      <c r="W102" s="82"/>
      <c r="X102" s="83"/>
    </row>
    <row r="103" spans="2:111" ht="15" customHeight="1" x14ac:dyDescent="0.2">
      <c r="B103" s="13" t="s">
        <v>66</v>
      </c>
      <c r="C103" s="146"/>
      <c r="D103" s="42"/>
      <c r="E103" s="13"/>
      <c r="F103" s="43"/>
      <c r="G103" s="44"/>
      <c r="H103" s="107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9"/>
      <c r="T103" s="81"/>
      <c r="U103" s="49"/>
      <c r="V103" s="50"/>
      <c r="W103" s="82"/>
      <c r="X103" s="83"/>
    </row>
    <row r="104" spans="2:111" ht="15" customHeight="1" x14ac:dyDescent="0.2">
      <c r="B104" s="13" t="s">
        <v>67</v>
      </c>
      <c r="C104" s="146"/>
      <c r="D104" s="42"/>
      <c r="E104" s="13"/>
      <c r="F104" s="43"/>
      <c r="G104" s="44"/>
      <c r="H104" s="107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9"/>
      <c r="T104" s="81"/>
      <c r="U104" s="49"/>
      <c r="V104" s="50"/>
      <c r="W104" s="82"/>
      <c r="X104" s="83"/>
    </row>
    <row r="105" spans="2:111" ht="15" customHeight="1" x14ac:dyDescent="0.2">
      <c r="B105" s="13" t="s">
        <v>68</v>
      </c>
      <c r="C105" s="146"/>
      <c r="D105" s="42"/>
      <c r="E105" s="13"/>
      <c r="F105" s="43"/>
      <c r="G105" s="44"/>
      <c r="H105" s="107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9"/>
      <c r="T105" s="81"/>
      <c r="U105" s="49"/>
      <c r="V105" s="50"/>
      <c r="W105" s="82"/>
      <c r="X105" s="83"/>
    </row>
    <row r="106" spans="2:111" ht="15" customHeight="1" x14ac:dyDescent="0.2">
      <c r="B106" s="13" t="s">
        <v>69</v>
      </c>
      <c r="C106" s="146"/>
      <c r="D106" s="42"/>
      <c r="E106" s="13"/>
      <c r="F106" s="43"/>
      <c r="G106" s="44"/>
      <c r="H106" s="107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9"/>
      <c r="T106" s="81"/>
      <c r="U106" s="49"/>
      <c r="V106" s="50"/>
      <c r="W106" s="82"/>
      <c r="X106" s="83"/>
    </row>
    <row r="107" spans="2:111" ht="15" customHeight="1" x14ac:dyDescent="0.2">
      <c r="B107" s="13" t="s">
        <v>70</v>
      </c>
      <c r="C107" s="146"/>
      <c r="D107" s="42"/>
      <c r="E107" s="13"/>
      <c r="F107" s="43"/>
      <c r="G107" s="44"/>
      <c r="H107" s="107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9"/>
      <c r="T107" s="81"/>
      <c r="U107" s="49"/>
      <c r="V107" s="50"/>
      <c r="W107" s="82"/>
      <c r="X107" s="83"/>
    </row>
    <row r="108" spans="2:111" ht="15" customHeight="1" thickBot="1" x14ac:dyDescent="0.25">
      <c r="B108" s="13" t="s">
        <v>71</v>
      </c>
      <c r="C108" s="146"/>
      <c r="D108" s="42"/>
      <c r="E108" s="13"/>
      <c r="F108" s="43"/>
      <c r="G108" s="44"/>
      <c r="H108" s="107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9"/>
      <c r="T108" s="81"/>
      <c r="U108" s="49"/>
      <c r="V108" s="50"/>
      <c r="W108" s="82"/>
      <c r="X108" s="83"/>
    </row>
    <row r="109" spans="2:111" ht="15" customHeight="1" thickBot="1" x14ac:dyDescent="0.25">
      <c r="B109" s="96"/>
      <c r="C109" s="149"/>
      <c r="D109" s="149"/>
      <c r="E109" s="171"/>
      <c r="F109" s="170"/>
      <c r="G109" s="115"/>
      <c r="H109" s="97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98"/>
      <c r="T109" s="89">
        <f>SUM(T101:T108)</f>
        <v>0</v>
      </c>
      <c r="U109" s="69" t="e">
        <f>AVERAGE(U101:U108)</f>
        <v>#DIV/0!</v>
      </c>
      <c r="V109" s="70">
        <f>SUM(V101:V108)</f>
        <v>0</v>
      </c>
      <c r="W109" s="69" t="e">
        <f>AVERAGE(W101:W108)</f>
        <v>#DIV/0!</v>
      </c>
      <c r="X109" s="93" t="e">
        <f>AVERAGE(X101:X108)</f>
        <v>#DIV/0!</v>
      </c>
    </row>
    <row r="110" spans="2:111" ht="15" customHeight="1" x14ac:dyDescent="0.2">
      <c r="B110" s="3"/>
      <c r="C110" s="3"/>
      <c r="D110" s="3"/>
      <c r="E110" s="15"/>
      <c r="F110" s="3"/>
      <c r="G110" s="18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76"/>
      <c r="U110" s="177"/>
      <c r="V110" s="176"/>
      <c r="W110" s="177"/>
      <c r="X110" s="179"/>
    </row>
    <row r="111" spans="2:111" ht="15" customHeight="1" x14ac:dyDescent="0.2">
      <c r="B111" s="3"/>
      <c r="C111" s="3"/>
      <c r="D111" s="3"/>
      <c r="E111" s="15"/>
      <c r="F111" s="3"/>
      <c r="G111" s="18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176"/>
      <c r="U111" s="177"/>
      <c r="V111" s="176"/>
      <c r="W111" s="177"/>
      <c r="X111" s="179"/>
    </row>
    <row r="112" spans="2:111" ht="15" customHeight="1" x14ac:dyDescent="0.2">
      <c r="B112" s="3"/>
      <c r="C112" s="3"/>
      <c r="D112" s="3"/>
      <c r="E112" s="15"/>
      <c r="F112" s="3"/>
      <c r="G112" s="18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176"/>
      <c r="U112" s="177"/>
      <c r="V112" s="176"/>
      <c r="W112" s="177"/>
      <c r="X112" s="179"/>
    </row>
    <row r="113" spans="2:111" ht="15" customHeight="1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16"/>
      <c r="V113" s="16"/>
      <c r="W113" s="16"/>
      <c r="X113" s="4"/>
    </row>
    <row r="114" spans="2:111" ht="16.5" customHeight="1" thickBot="1" x14ac:dyDescent="0.25">
      <c r="B114" s="17" t="s">
        <v>73</v>
      </c>
      <c r="C114" s="17"/>
      <c r="U114" s="74"/>
      <c r="V114" s="74"/>
      <c r="W114" s="74"/>
      <c r="X114" s="116"/>
    </row>
    <row r="115" spans="2:111" ht="11.25" customHeight="1" x14ac:dyDescent="0.2">
      <c r="B115" s="326" t="s">
        <v>1</v>
      </c>
      <c r="C115" s="328" t="s">
        <v>77</v>
      </c>
      <c r="D115" s="330" t="s">
        <v>2</v>
      </c>
      <c r="E115" s="326" t="s">
        <v>24</v>
      </c>
      <c r="F115" s="347" t="s">
        <v>4</v>
      </c>
      <c r="G115" s="343" t="s">
        <v>5</v>
      </c>
      <c r="H115" s="344"/>
      <c r="I115" s="344"/>
      <c r="J115" s="344"/>
      <c r="K115" s="344"/>
      <c r="L115" s="344"/>
      <c r="M115" s="344"/>
      <c r="N115" s="344"/>
      <c r="O115" s="344"/>
      <c r="P115" s="344"/>
      <c r="Q115" s="344"/>
      <c r="R115" s="344"/>
      <c r="S115" s="352"/>
      <c r="T115" s="334" t="s">
        <v>6</v>
      </c>
      <c r="U115" s="335"/>
      <c r="V115" s="335"/>
      <c r="W115" s="335"/>
      <c r="X115" s="336"/>
    </row>
    <row r="116" spans="2:111" s="6" customFormat="1" ht="30.75" customHeight="1" thickBot="1" x14ac:dyDescent="0.25">
      <c r="B116" s="342"/>
      <c r="C116" s="329"/>
      <c r="D116" s="331"/>
      <c r="E116" s="327"/>
      <c r="F116" s="346"/>
      <c r="G116" s="7" t="s">
        <v>103</v>
      </c>
      <c r="H116" s="22" t="s">
        <v>38</v>
      </c>
      <c r="I116" s="19" t="s">
        <v>39</v>
      </c>
      <c r="J116" s="19" t="s">
        <v>40</v>
      </c>
      <c r="K116" s="19" t="s">
        <v>41</v>
      </c>
      <c r="L116" s="19" t="s">
        <v>42</v>
      </c>
      <c r="M116" s="19" t="s">
        <v>43</v>
      </c>
      <c r="N116" s="19" t="s">
        <v>44</v>
      </c>
      <c r="O116" s="19" t="s">
        <v>45</v>
      </c>
      <c r="P116" s="20" t="s">
        <v>29</v>
      </c>
      <c r="Q116" s="19" t="s">
        <v>46</v>
      </c>
      <c r="R116" s="19" t="s">
        <v>47</v>
      </c>
      <c r="S116" s="21">
        <v>50</v>
      </c>
      <c r="T116" s="9" t="s">
        <v>18</v>
      </c>
      <c r="U116" s="9" t="s">
        <v>19</v>
      </c>
      <c r="V116" s="11" t="s">
        <v>20</v>
      </c>
      <c r="W116" s="194" t="s">
        <v>21</v>
      </c>
      <c r="X116" s="195" t="s">
        <v>22</v>
      </c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</row>
    <row r="117" spans="2:111" s="6" customFormat="1" ht="15" customHeight="1" x14ac:dyDescent="0.2">
      <c r="B117" s="12" t="s">
        <v>64</v>
      </c>
      <c r="C117" s="145"/>
      <c r="D117" s="31"/>
      <c r="E117" s="117"/>
      <c r="F117" s="100"/>
      <c r="G117" s="33"/>
      <c r="H117" s="118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20"/>
      <c r="T117" s="121"/>
      <c r="U117" s="122"/>
      <c r="V117" s="123"/>
      <c r="W117" s="124"/>
      <c r="X117" s="7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</row>
    <row r="118" spans="2:111" ht="15" customHeight="1" x14ac:dyDescent="0.2">
      <c r="B118" s="13" t="s">
        <v>65</v>
      </c>
      <c r="C118" s="146"/>
      <c r="D118" s="42"/>
      <c r="E118" s="125"/>
      <c r="F118" s="101"/>
      <c r="G118" s="44"/>
      <c r="H118" s="126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8"/>
      <c r="T118" s="129"/>
      <c r="U118" s="130"/>
      <c r="V118" s="131"/>
      <c r="W118" s="132"/>
      <c r="X118" s="83"/>
    </row>
    <row r="119" spans="2:111" ht="15" customHeight="1" x14ac:dyDescent="0.2">
      <c r="B119" s="13" t="s">
        <v>66</v>
      </c>
      <c r="C119" s="146"/>
      <c r="D119" s="42"/>
      <c r="E119" s="125"/>
      <c r="F119" s="101"/>
      <c r="G119" s="44"/>
      <c r="H119" s="126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8"/>
      <c r="T119" s="129"/>
      <c r="U119" s="130"/>
      <c r="V119" s="131"/>
      <c r="W119" s="132"/>
      <c r="X119" s="83"/>
    </row>
    <row r="120" spans="2:111" ht="15" customHeight="1" x14ac:dyDescent="0.2">
      <c r="B120" s="13" t="s">
        <v>67</v>
      </c>
      <c r="C120" s="146"/>
      <c r="D120" s="42"/>
      <c r="E120" s="125"/>
      <c r="F120" s="101"/>
      <c r="G120" s="44"/>
      <c r="H120" s="126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8"/>
      <c r="T120" s="129"/>
      <c r="U120" s="130"/>
      <c r="V120" s="131"/>
      <c r="W120" s="132"/>
      <c r="X120" s="83"/>
    </row>
    <row r="121" spans="2:111" ht="15" customHeight="1" x14ac:dyDescent="0.2">
      <c r="B121" s="13" t="s">
        <v>68</v>
      </c>
      <c r="C121" s="146"/>
      <c r="D121" s="42"/>
      <c r="E121" s="125"/>
      <c r="F121" s="101"/>
      <c r="G121" s="44"/>
      <c r="H121" s="126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8"/>
      <c r="T121" s="129"/>
      <c r="U121" s="130"/>
      <c r="V121" s="131"/>
      <c r="W121" s="132"/>
      <c r="X121" s="83"/>
    </row>
    <row r="122" spans="2:111" ht="15" customHeight="1" x14ac:dyDescent="0.2">
      <c r="B122" s="13" t="s">
        <v>69</v>
      </c>
      <c r="C122" s="146"/>
      <c r="D122" s="42"/>
      <c r="E122" s="125"/>
      <c r="F122" s="101"/>
      <c r="G122" s="44"/>
      <c r="H122" s="126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8"/>
      <c r="T122" s="129"/>
      <c r="U122" s="130"/>
      <c r="V122" s="131"/>
      <c r="W122" s="132"/>
      <c r="X122" s="83"/>
    </row>
    <row r="123" spans="2:111" ht="15" customHeight="1" x14ac:dyDescent="0.2">
      <c r="B123" s="13" t="s">
        <v>70</v>
      </c>
      <c r="C123" s="146"/>
      <c r="D123" s="42"/>
      <c r="E123" s="125"/>
      <c r="F123" s="101"/>
      <c r="G123" s="44"/>
      <c r="H123" s="126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8"/>
      <c r="T123" s="129"/>
      <c r="U123" s="130"/>
      <c r="V123" s="131"/>
      <c r="W123" s="132"/>
      <c r="X123" s="83"/>
    </row>
    <row r="124" spans="2:111" ht="15" customHeight="1" thickBot="1" x14ac:dyDescent="0.25">
      <c r="B124" s="13" t="s">
        <v>71</v>
      </c>
      <c r="C124" s="146"/>
      <c r="D124" s="42"/>
      <c r="E124" s="125"/>
      <c r="F124" s="101"/>
      <c r="G124" s="44"/>
      <c r="H124" s="126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8"/>
      <c r="T124" s="129"/>
      <c r="U124" s="130"/>
      <c r="V124" s="131"/>
      <c r="W124" s="132"/>
      <c r="X124" s="83"/>
    </row>
    <row r="125" spans="2:111" ht="15" customHeight="1" thickBot="1" x14ac:dyDescent="0.25">
      <c r="B125" s="133"/>
      <c r="C125" s="150"/>
      <c r="D125" s="150"/>
      <c r="E125" s="189"/>
      <c r="F125" s="188"/>
      <c r="G125" s="115"/>
      <c r="H125" s="134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6"/>
      <c r="T125" s="137">
        <f>SUM(T117:T124)</f>
        <v>0</v>
      </c>
      <c r="U125" s="138" t="e">
        <f>AVERAGE(U117:U124)</f>
        <v>#DIV/0!</v>
      </c>
      <c r="V125" s="139">
        <f>SUM(V117:V124)</f>
        <v>0</v>
      </c>
      <c r="W125" s="138" t="e">
        <f>AVERAGE(W117:W124)</f>
        <v>#DIV/0!</v>
      </c>
      <c r="X125" s="93" t="e">
        <f>AVERAGE(X117:X124)</f>
        <v>#DIV/0!</v>
      </c>
    </row>
    <row r="126" spans="2:111" ht="15" customHeight="1" x14ac:dyDescent="0.2"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98"/>
      <c r="U126" s="199"/>
      <c r="V126" s="198"/>
      <c r="W126" s="199"/>
      <c r="X126" s="179"/>
    </row>
    <row r="127" spans="2:111" ht="15" customHeight="1" x14ac:dyDescent="0.2"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98"/>
      <c r="U127" s="199"/>
      <c r="V127" s="198"/>
      <c r="W127" s="199"/>
      <c r="X127" s="179"/>
    </row>
    <row r="128" spans="2:111" ht="59.25" customHeight="1" x14ac:dyDescent="0.2"/>
    <row r="129" spans="2:25" ht="11.25" customHeight="1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16"/>
      <c r="V129" s="16"/>
      <c r="W129" s="16"/>
      <c r="X129" s="4"/>
    </row>
    <row r="130" spans="2:25" ht="12.95" customHeight="1" thickBot="1" x14ac:dyDescent="0.25">
      <c r="B130" s="340" t="s">
        <v>50</v>
      </c>
      <c r="C130" s="340"/>
      <c r="U130" s="90"/>
      <c r="V130" s="90"/>
      <c r="W130" s="90"/>
    </row>
    <row r="131" spans="2:25" ht="12.95" customHeight="1" thickBot="1" x14ac:dyDescent="0.25">
      <c r="B131" s="330" t="s">
        <v>1</v>
      </c>
      <c r="C131" s="328" t="s">
        <v>77</v>
      </c>
      <c r="D131" s="330" t="s">
        <v>51</v>
      </c>
      <c r="E131" s="326" t="s">
        <v>4</v>
      </c>
      <c r="F131" s="347" t="s">
        <v>3</v>
      </c>
      <c r="G131" s="334" t="s">
        <v>52</v>
      </c>
      <c r="H131" s="335"/>
      <c r="I131" s="335"/>
      <c r="J131" s="335"/>
      <c r="K131" s="335"/>
      <c r="L131" s="335"/>
      <c r="M131" s="335"/>
      <c r="N131" s="335"/>
      <c r="O131" s="335"/>
      <c r="P131" s="336"/>
      <c r="Q131" s="337" t="s">
        <v>53</v>
      </c>
      <c r="R131" s="338"/>
      <c r="S131" s="338"/>
      <c r="T131" s="338"/>
      <c r="U131" s="338"/>
      <c r="V131" s="338"/>
      <c r="W131" s="339"/>
      <c r="X131" s="24"/>
      <c r="Y131" s="24"/>
    </row>
    <row r="132" spans="2:25" ht="27" customHeight="1" thickBot="1" x14ac:dyDescent="0.25">
      <c r="B132" s="341"/>
      <c r="C132" s="329"/>
      <c r="D132" s="331"/>
      <c r="E132" s="342"/>
      <c r="F132" s="346"/>
      <c r="G132" s="140" t="s">
        <v>54</v>
      </c>
      <c r="H132" s="9" t="s">
        <v>55</v>
      </c>
      <c r="I132" s="9" t="s">
        <v>56</v>
      </c>
      <c r="J132" s="9" t="s">
        <v>57</v>
      </c>
      <c r="K132" s="9" t="s">
        <v>58</v>
      </c>
      <c r="L132" s="9" t="s">
        <v>59</v>
      </c>
      <c r="M132" s="9" t="s">
        <v>60</v>
      </c>
      <c r="N132" s="9" t="s">
        <v>61</v>
      </c>
      <c r="O132" s="141" t="s">
        <v>62</v>
      </c>
      <c r="P132" s="151" t="s">
        <v>63</v>
      </c>
      <c r="Q132" s="152" t="s">
        <v>54</v>
      </c>
      <c r="R132" s="153" t="s">
        <v>55</v>
      </c>
      <c r="S132" s="153" t="s">
        <v>56</v>
      </c>
      <c r="T132" s="153" t="s">
        <v>57</v>
      </c>
      <c r="U132" s="153" t="s">
        <v>58</v>
      </c>
      <c r="V132" s="153" t="s">
        <v>59</v>
      </c>
      <c r="W132" s="154" t="s">
        <v>60</v>
      </c>
      <c r="X132" s="24"/>
      <c r="Y132" s="24"/>
    </row>
    <row r="133" spans="2:25" ht="15" customHeight="1" x14ac:dyDescent="0.2">
      <c r="B133" s="12" t="s">
        <v>75</v>
      </c>
      <c r="C133" s="145"/>
      <c r="D133" s="142"/>
      <c r="E133" s="12"/>
      <c r="F133" s="32"/>
      <c r="G133" s="34"/>
      <c r="H133" s="35"/>
      <c r="I133" s="35"/>
      <c r="J133" s="35"/>
      <c r="K133" s="35"/>
      <c r="L133" s="35"/>
      <c r="M133" s="35"/>
      <c r="N133" s="35"/>
      <c r="O133" s="35"/>
      <c r="P133" s="155"/>
      <c r="Q133" s="183"/>
      <c r="R133" s="184"/>
      <c r="S133" s="184"/>
      <c r="T133" s="184"/>
      <c r="U133" s="185"/>
      <c r="V133" s="185"/>
      <c r="W133" s="186"/>
      <c r="X133" s="24"/>
      <c r="Y133" s="24"/>
    </row>
    <row r="134" spans="2:25" ht="15" customHeight="1" x14ac:dyDescent="0.2">
      <c r="B134" s="13" t="s">
        <v>76</v>
      </c>
      <c r="C134" s="146"/>
      <c r="D134" s="143"/>
      <c r="E134" s="13"/>
      <c r="F134" s="43"/>
      <c r="G134" s="45"/>
      <c r="H134" s="46"/>
      <c r="I134" s="46"/>
      <c r="J134" s="46"/>
      <c r="K134" s="46"/>
      <c r="L134" s="46"/>
      <c r="M134" s="46"/>
      <c r="N134" s="46"/>
      <c r="O134" s="46"/>
      <c r="P134" s="160"/>
      <c r="Q134" s="161"/>
      <c r="R134" s="162"/>
      <c r="S134" s="162"/>
      <c r="T134" s="162"/>
      <c r="U134" s="163"/>
      <c r="V134" s="163"/>
      <c r="W134" s="164"/>
      <c r="X134" s="24"/>
      <c r="Y134" s="24"/>
    </row>
    <row r="135" spans="2:25" ht="15" customHeight="1" x14ac:dyDescent="0.2">
      <c r="B135" s="13" t="s">
        <v>66</v>
      </c>
      <c r="C135" s="146"/>
      <c r="D135" s="143"/>
      <c r="E135" s="13"/>
      <c r="F135" s="43"/>
      <c r="G135" s="45"/>
      <c r="H135" s="46"/>
      <c r="I135" s="46"/>
      <c r="J135" s="46"/>
      <c r="K135" s="46"/>
      <c r="L135" s="46"/>
      <c r="M135" s="46"/>
      <c r="N135" s="46"/>
      <c r="O135" s="46"/>
      <c r="P135" s="160"/>
      <c r="Q135" s="161"/>
      <c r="R135" s="162"/>
      <c r="S135" s="162"/>
      <c r="T135" s="162"/>
      <c r="U135" s="163"/>
      <c r="V135" s="163"/>
      <c r="W135" s="164"/>
      <c r="X135" s="24"/>
      <c r="Y135" s="24"/>
    </row>
    <row r="136" spans="2:25" ht="15" customHeight="1" x14ac:dyDescent="0.2">
      <c r="B136" s="13" t="s">
        <v>67</v>
      </c>
      <c r="C136" s="146"/>
      <c r="D136" s="143"/>
      <c r="E136" s="13"/>
      <c r="F136" s="43"/>
      <c r="G136" s="45"/>
      <c r="H136" s="46"/>
      <c r="I136" s="46"/>
      <c r="J136" s="46"/>
      <c r="K136" s="46"/>
      <c r="L136" s="46"/>
      <c r="M136" s="46"/>
      <c r="N136" s="46"/>
      <c r="O136" s="46"/>
      <c r="P136" s="160"/>
      <c r="Q136" s="161"/>
      <c r="R136" s="162"/>
      <c r="S136" s="162"/>
      <c r="T136" s="162"/>
      <c r="U136" s="163"/>
      <c r="V136" s="163"/>
      <c r="W136" s="164"/>
      <c r="X136" s="24"/>
      <c r="Y136" s="24"/>
    </row>
    <row r="137" spans="2:25" ht="15" customHeight="1" x14ac:dyDescent="0.2">
      <c r="B137" s="13" t="s">
        <v>68</v>
      </c>
      <c r="C137" s="146"/>
      <c r="D137" s="143"/>
      <c r="E137" s="13"/>
      <c r="F137" s="43"/>
      <c r="G137" s="45"/>
      <c r="H137" s="46"/>
      <c r="I137" s="46"/>
      <c r="J137" s="46"/>
      <c r="K137" s="46"/>
      <c r="L137" s="46"/>
      <c r="M137" s="46"/>
      <c r="N137" s="46"/>
      <c r="O137" s="46"/>
      <c r="P137" s="160"/>
      <c r="Q137" s="161"/>
      <c r="R137" s="162"/>
      <c r="S137" s="162"/>
      <c r="T137" s="162"/>
      <c r="U137" s="163"/>
      <c r="V137" s="163"/>
      <c r="W137" s="164"/>
      <c r="X137" s="24"/>
      <c r="Y137" s="24"/>
    </row>
    <row r="138" spans="2:25" ht="15" customHeight="1" x14ac:dyDescent="0.2">
      <c r="B138" s="13" t="s">
        <v>69</v>
      </c>
      <c r="C138" s="146"/>
      <c r="D138" s="143"/>
      <c r="E138" s="13"/>
      <c r="F138" s="43"/>
      <c r="G138" s="45"/>
      <c r="H138" s="46"/>
      <c r="I138" s="46"/>
      <c r="J138" s="46"/>
      <c r="K138" s="46"/>
      <c r="L138" s="46"/>
      <c r="M138" s="46"/>
      <c r="N138" s="46"/>
      <c r="O138" s="46"/>
      <c r="P138" s="160"/>
      <c r="Q138" s="161"/>
      <c r="R138" s="162"/>
      <c r="S138" s="162"/>
      <c r="T138" s="162"/>
      <c r="U138" s="163"/>
      <c r="V138" s="163"/>
      <c r="W138" s="164"/>
      <c r="X138" s="24"/>
      <c r="Y138" s="24"/>
    </row>
    <row r="139" spans="2:25" ht="15" customHeight="1" x14ac:dyDescent="0.2">
      <c r="B139" s="13" t="s">
        <v>70</v>
      </c>
      <c r="C139" s="146"/>
      <c r="D139" s="143"/>
      <c r="E139" s="13"/>
      <c r="F139" s="43"/>
      <c r="G139" s="45"/>
      <c r="H139" s="46"/>
      <c r="I139" s="46"/>
      <c r="J139" s="46"/>
      <c r="K139" s="46"/>
      <c r="L139" s="46"/>
      <c r="M139" s="46"/>
      <c r="N139" s="46"/>
      <c r="O139" s="46"/>
      <c r="P139" s="160"/>
      <c r="Q139" s="161"/>
      <c r="R139" s="162"/>
      <c r="S139" s="162"/>
      <c r="T139" s="162"/>
      <c r="U139" s="163"/>
      <c r="V139" s="163"/>
      <c r="W139" s="164"/>
      <c r="X139" s="24"/>
      <c r="Y139" s="24"/>
    </row>
    <row r="140" spans="2:25" ht="15" customHeight="1" thickBot="1" x14ac:dyDescent="0.25">
      <c r="B140" s="14" t="s">
        <v>71</v>
      </c>
      <c r="C140" s="147"/>
      <c r="D140" s="144"/>
      <c r="E140" s="14"/>
      <c r="F140" s="54"/>
      <c r="G140" s="56"/>
      <c r="H140" s="57"/>
      <c r="I140" s="57"/>
      <c r="J140" s="57"/>
      <c r="K140" s="57"/>
      <c r="L140" s="57"/>
      <c r="M140" s="57"/>
      <c r="N140" s="57"/>
      <c r="O140" s="57"/>
      <c r="P140" s="165"/>
      <c r="Q140" s="166"/>
      <c r="R140" s="167"/>
      <c r="S140" s="167"/>
      <c r="T140" s="167"/>
      <c r="U140" s="168"/>
      <c r="V140" s="168"/>
      <c r="W140" s="169"/>
      <c r="X140" s="24"/>
      <c r="Y140" s="24"/>
    </row>
    <row r="147" spans="111:111" ht="12.95" customHeight="1" x14ac:dyDescent="0.2">
      <c r="DG147" s="1"/>
    </row>
    <row r="148" spans="111:111" ht="12.95" customHeight="1" x14ac:dyDescent="0.2">
      <c r="DG148" s="1"/>
    </row>
    <row r="149" spans="111:111" ht="12.95" customHeight="1" x14ac:dyDescent="0.2">
      <c r="DG149" s="1"/>
    </row>
    <row r="150" spans="111:111" ht="12.95" customHeight="1" x14ac:dyDescent="0.2">
      <c r="DG150" s="1"/>
    </row>
    <row r="151" spans="111:111" ht="12.95" customHeight="1" x14ac:dyDescent="0.2">
      <c r="DG151" s="1"/>
    </row>
    <row r="152" spans="111:111" ht="12.95" customHeight="1" x14ac:dyDescent="0.2">
      <c r="DG152" s="1"/>
    </row>
    <row r="153" spans="111:111" ht="12.95" customHeight="1" x14ac:dyDescent="0.2">
      <c r="DG153" s="1"/>
    </row>
    <row r="154" spans="111:111" ht="12.95" customHeight="1" x14ac:dyDescent="0.2">
      <c r="DG154" s="1"/>
    </row>
    <row r="155" spans="111:111" ht="12.95" customHeight="1" x14ac:dyDescent="0.2">
      <c r="DG155" s="1"/>
    </row>
    <row r="156" spans="111:111" ht="12.95" customHeight="1" x14ac:dyDescent="0.2">
      <c r="DG156" s="1"/>
    </row>
    <row r="157" spans="111:111" ht="12.95" customHeight="1" x14ac:dyDescent="0.2">
      <c r="DG157" s="1"/>
    </row>
    <row r="158" spans="111:111" ht="12.95" customHeight="1" x14ac:dyDescent="0.2">
      <c r="DG158" s="1"/>
    </row>
    <row r="159" spans="111:111" ht="12.95" customHeight="1" x14ac:dyDescent="0.2">
      <c r="DG159" s="1"/>
    </row>
    <row r="160" spans="111:111" ht="12.95" customHeight="1" x14ac:dyDescent="0.2">
      <c r="DG160" s="1"/>
    </row>
    <row r="161" spans="111:111" ht="12.95" customHeight="1" x14ac:dyDescent="0.2">
      <c r="DG161" s="1"/>
    </row>
    <row r="162" spans="111:111" ht="12.95" customHeight="1" x14ac:dyDescent="0.2">
      <c r="DG162" s="1"/>
    </row>
  </sheetData>
  <sheetProtection autoFilter="0"/>
  <mergeCells count="63">
    <mergeCell ref="T115:X115"/>
    <mergeCell ref="B130:C130"/>
    <mergeCell ref="B131:B132"/>
    <mergeCell ref="C131:C132"/>
    <mergeCell ref="D131:D132"/>
    <mergeCell ref="E131:E132"/>
    <mergeCell ref="F131:F132"/>
    <mergeCell ref="G131:P131"/>
    <mergeCell ref="Q131:W131"/>
    <mergeCell ref="B115:B116"/>
    <mergeCell ref="C115:C116"/>
    <mergeCell ref="D115:D116"/>
    <mergeCell ref="E115:E116"/>
    <mergeCell ref="F115:F116"/>
    <mergeCell ref="G115:S115"/>
    <mergeCell ref="T83:X83"/>
    <mergeCell ref="B99:B100"/>
    <mergeCell ref="C99:C100"/>
    <mergeCell ref="D99:D100"/>
    <mergeCell ref="E99:E100"/>
    <mergeCell ref="F99:F100"/>
    <mergeCell ref="G99:S99"/>
    <mergeCell ref="T99:X99"/>
    <mergeCell ref="B83:B84"/>
    <mergeCell ref="C83:C84"/>
    <mergeCell ref="D83:D84"/>
    <mergeCell ref="E83:E84"/>
    <mergeCell ref="F83:F84"/>
    <mergeCell ref="G83:S83"/>
    <mergeCell ref="T51:X51"/>
    <mergeCell ref="B67:B68"/>
    <mergeCell ref="C67:C68"/>
    <mergeCell ref="D67:D68"/>
    <mergeCell ref="E67:E68"/>
    <mergeCell ref="F67:F68"/>
    <mergeCell ref="G67:S67"/>
    <mergeCell ref="T67:X67"/>
    <mergeCell ref="B51:B52"/>
    <mergeCell ref="C51:C52"/>
    <mergeCell ref="D51:D52"/>
    <mergeCell ref="E51:E52"/>
    <mergeCell ref="F51:F52"/>
    <mergeCell ref="G51:S51"/>
    <mergeCell ref="T19:X19"/>
    <mergeCell ref="B35:B36"/>
    <mergeCell ref="C35:C36"/>
    <mergeCell ref="D35:D36"/>
    <mergeCell ref="E35:E36"/>
    <mergeCell ref="F35:F36"/>
    <mergeCell ref="G35:S35"/>
    <mergeCell ref="T35:X35"/>
    <mergeCell ref="B19:B20"/>
    <mergeCell ref="C19:C20"/>
    <mergeCell ref="D19:D20"/>
    <mergeCell ref="E19:E20"/>
    <mergeCell ref="F19:F20"/>
    <mergeCell ref="G19:S19"/>
    <mergeCell ref="B1:X1"/>
    <mergeCell ref="B3:B4"/>
    <mergeCell ref="C3:C4"/>
    <mergeCell ref="D3:D4"/>
    <mergeCell ref="E3:E4"/>
    <mergeCell ref="F3:F4"/>
  </mergeCells>
  <phoneticPr fontId="1" type="noConversion"/>
  <printOptions horizontalCentered="1"/>
  <pageMargins left="0.196850393700787" right="0.15748031496063" top="0.43307086614173201" bottom="0.23622047244094499" header="0.511811023622047" footer="0.511811023622047"/>
  <pageSetup paperSize="9" scale="90" orientation="portrait" r:id="rId1"/>
  <headerFooter scaleWithDoc="0" alignWithMargins="0"/>
  <rowBreaks count="2" manualBreakCount="2">
    <brk id="49" max="23" man="1"/>
    <brk id="96" max="2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A069-9C10-4319-B242-CD8D075C1041}">
  <sheetPr>
    <tabColor theme="4" tint="-0.249977111117893"/>
  </sheetPr>
  <dimension ref="A1:DI181"/>
  <sheetViews>
    <sheetView topLeftCell="A114" zoomScaleNormal="100" zoomScaleSheetLayoutView="100" workbookViewId="0">
      <selection activeCell="B131" sqref="B131:W141"/>
    </sheetView>
  </sheetViews>
  <sheetFormatPr defaultColWidth="9" defaultRowHeight="12.95" customHeight="1" x14ac:dyDescent="0.2"/>
  <cols>
    <col min="1" max="1" width="0.75" style="1" customWidth="1"/>
    <col min="2" max="3" width="3.625" style="1" customWidth="1"/>
    <col min="4" max="4" width="4.5" style="1" customWidth="1"/>
    <col min="5" max="5" width="5.375" style="1" customWidth="1"/>
    <col min="6" max="6" width="3.5" style="1" customWidth="1"/>
    <col min="7" max="7" width="5.25" style="1" customWidth="1"/>
    <col min="8" max="18" width="4" style="1" customWidth="1"/>
    <col min="19" max="19" width="4.25" style="1" customWidth="1"/>
    <col min="20" max="20" width="5.125" style="1" customWidth="1"/>
    <col min="21" max="21" width="5.5" style="1" customWidth="1"/>
    <col min="22" max="22" width="5.375" style="1" customWidth="1"/>
    <col min="23" max="23" width="6.375" style="1" customWidth="1"/>
    <col min="24" max="24" width="5.375" style="91" customWidth="1"/>
    <col min="25" max="25" width="6.625" style="1" customWidth="1"/>
    <col min="26" max="113" width="9" style="24"/>
    <col min="114" max="16384" width="9" style="1"/>
  </cols>
  <sheetData>
    <row r="1" spans="2:113" ht="17.25" customHeight="1" x14ac:dyDescent="0.2">
      <c r="B1" s="325" t="s">
        <v>100</v>
      </c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201"/>
    </row>
    <row r="2" spans="2:113" s="5" customFormat="1" ht="15" customHeight="1" thickBot="1" x14ac:dyDescent="0.25">
      <c r="B2" s="2" t="s">
        <v>0</v>
      </c>
      <c r="C2" s="2"/>
      <c r="V2" s="25"/>
      <c r="W2" s="26"/>
      <c r="X2" s="27"/>
      <c r="Y2" s="200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</row>
    <row r="3" spans="2:113" s="6" customFormat="1" ht="13.5" customHeight="1" x14ac:dyDescent="0.2">
      <c r="B3" s="326" t="s">
        <v>1</v>
      </c>
      <c r="C3" s="328" t="s">
        <v>77</v>
      </c>
      <c r="D3" s="330" t="s">
        <v>2</v>
      </c>
      <c r="E3" s="326" t="s">
        <v>3</v>
      </c>
      <c r="F3" s="332" t="s">
        <v>4</v>
      </c>
      <c r="G3" s="330" t="s">
        <v>5</v>
      </c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32"/>
      <c r="T3" s="351" t="s">
        <v>6</v>
      </c>
      <c r="U3" s="335"/>
      <c r="V3" s="335"/>
      <c r="W3" s="335"/>
      <c r="X3" s="336"/>
      <c r="Y3" s="201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</row>
    <row r="4" spans="2:113" s="6" customFormat="1" ht="40.5" customHeight="1" thickBot="1" x14ac:dyDescent="0.25">
      <c r="B4" s="327"/>
      <c r="C4" s="329"/>
      <c r="D4" s="331"/>
      <c r="E4" s="327"/>
      <c r="F4" s="333"/>
      <c r="G4" s="7" t="s">
        <v>103</v>
      </c>
      <c r="H4" s="8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10">
        <v>120</v>
      </c>
      <c r="T4" s="9" t="s">
        <v>18</v>
      </c>
      <c r="U4" s="9" t="s">
        <v>19</v>
      </c>
      <c r="V4" s="11" t="s">
        <v>20</v>
      </c>
      <c r="W4" s="194" t="s">
        <v>21</v>
      </c>
      <c r="X4" s="195" t="s">
        <v>22</v>
      </c>
      <c r="Y4" s="200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</row>
    <row r="5" spans="2:113" ht="14.25" customHeight="1" x14ac:dyDescent="0.2">
      <c r="B5" s="12" t="s">
        <v>88</v>
      </c>
      <c r="C5" s="145"/>
      <c r="D5" s="31"/>
      <c r="E5" s="12"/>
      <c r="F5" s="32"/>
      <c r="G5" s="33"/>
      <c r="H5" s="34"/>
      <c r="I5" s="35"/>
      <c r="J5" s="35"/>
      <c r="K5" s="35"/>
      <c r="L5" s="35"/>
      <c r="M5" s="35"/>
      <c r="N5" s="35"/>
      <c r="O5" s="35"/>
      <c r="P5" s="35"/>
      <c r="Q5" s="35"/>
      <c r="R5" s="35"/>
      <c r="S5" s="36"/>
      <c r="T5" s="37"/>
      <c r="U5" s="38"/>
      <c r="V5" s="39"/>
      <c r="W5" s="40"/>
      <c r="X5" s="41"/>
      <c r="Y5" s="201"/>
    </row>
    <row r="6" spans="2:113" ht="14.25" customHeight="1" x14ac:dyDescent="0.2">
      <c r="B6" s="13" t="s">
        <v>89</v>
      </c>
      <c r="C6" s="146"/>
      <c r="D6" s="42"/>
      <c r="E6" s="13"/>
      <c r="F6" s="43"/>
      <c r="G6" s="44"/>
      <c r="H6" s="45"/>
      <c r="I6" s="46"/>
      <c r="J6" s="46"/>
      <c r="K6" s="46"/>
      <c r="L6" s="46"/>
      <c r="M6" s="46"/>
      <c r="N6" s="46"/>
      <c r="O6" s="46"/>
      <c r="P6" s="46"/>
      <c r="Q6" s="46"/>
      <c r="R6" s="46"/>
      <c r="S6" s="47"/>
      <c r="T6" s="48"/>
      <c r="U6" s="49"/>
      <c r="V6" s="50"/>
      <c r="W6" s="51"/>
      <c r="X6" s="52"/>
      <c r="Y6" s="200"/>
    </row>
    <row r="7" spans="2:113" ht="14.25" customHeight="1" x14ac:dyDescent="0.2">
      <c r="B7" s="13" t="s">
        <v>90</v>
      </c>
      <c r="C7" s="146"/>
      <c r="D7" s="42"/>
      <c r="E7" s="13"/>
      <c r="F7" s="43"/>
      <c r="G7" s="44"/>
      <c r="H7" s="45"/>
      <c r="I7" s="46"/>
      <c r="J7" s="46"/>
      <c r="K7" s="46"/>
      <c r="L7" s="46"/>
      <c r="M7" s="46"/>
      <c r="N7" s="46"/>
      <c r="O7" s="46"/>
      <c r="P7" s="46"/>
      <c r="Q7" s="46"/>
      <c r="R7" s="46"/>
      <c r="S7" s="47"/>
      <c r="T7" s="48"/>
      <c r="U7" s="49"/>
      <c r="V7" s="50"/>
      <c r="W7" s="51"/>
      <c r="X7" s="52"/>
      <c r="Y7" s="201"/>
    </row>
    <row r="8" spans="2:113" ht="14.25" customHeight="1" x14ac:dyDescent="0.2">
      <c r="B8" s="13" t="s">
        <v>91</v>
      </c>
      <c r="C8" s="146"/>
      <c r="D8" s="42"/>
      <c r="E8" s="13"/>
      <c r="F8" s="43"/>
      <c r="G8" s="44"/>
      <c r="H8" s="45"/>
      <c r="I8" s="46"/>
      <c r="J8" s="46"/>
      <c r="K8" s="46"/>
      <c r="L8" s="46"/>
      <c r="M8" s="46"/>
      <c r="N8" s="46"/>
      <c r="O8" s="46"/>
      <c r="P8" s="46"/>
      <c r="Q8" s="46"/>
      <c r="R8" s="46"/>
      <c r="S8" s="47"/>
      <c r="T8" s="48"/>
      <c r="U8" s="49"/>
      <c r="V8" s="50"/>
      <c r="W8" s="51"/>
      <c r="X8" s="52"/>
      <c r="Y8" s="200"/>
    </row>
    <row r="9" spans="2:113" ht="14.25" customHeight="1" x14ac:dyDescent="0.2">
      <c r="B9" s="13" t="s">
        <v>92</v>
      </c>
      <c r="C9" s="146"/>
      <c r="D9" s="42"/>
      <c r="E9" s="13"/>
      <c r="F9" s="43"/>
      <c r="G9" s="44"/>
      <c r="H9" s="45"/>
      <c r="I9" s="46"/>
      <c r="J9" s="46"/>
      <c r="K9" s="46"/>
      <c r="L9" s="46"/>
      <c r="M9" s="46"/>
      <c r="N9" s="46"/>
      <c r="O9" s="46"/>
      <c r="P9" s="46"/>
      <c r="Q9" s="46"/>
      <c r="R9" s="46"/>
      <c r="S9" s="47"/>
      <c r="T9" s="48"/>
      <c r="U9" s="49"/>
      <c r="V9" s="50"/>
      <c r="W9" s="51"/>
      <c r="X9" s="52"/>
      <c r="Y9" s="201"/>
    </row>
    <row r="10" spans="2:113" ht="14.25" customHeight="1" x14ac:dyDescent="0.2">
      <c r="B10" s="13" t="s">
        <v>93</v>
      </c>
      <c r="C10" s="146"/>
      <c r="D10" s="42"/>
      <c r="E10" s="13"/>
      <c r="F10" s="43"/>
      <c r="G10" s="44"/>
      <c r="H10" s="45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7"/>
      <c r="T10" s="48"/>
      <c r="U10" s="49"/>
      <c r="V10" s="50"/>
      <c r="W10" s="51"/>
      <c r="X10" s="52"/>
      <c r="Y10" s="200"/>
    </row>
    <row r="11" spans="2:113" ht="14.25" customHeight="1" x14ac:dyDescent="0.2">
      <c r="B11" s="13" t="s">
        <v>94</v>
      </c>
      <c r="C11" s="146"/>
      <c r="D11" s="42"/>
      <c r="E11" s="13"/>
      <c r="F11" s="43"/>
      <c r="G11" s="44"/>
      <c r="H11" s="45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7"/>
      <c r="T11" s="48"/>
      <c r="U11" s="49"/>
      <c r="V11" s="50"/>
      <c r="W11" s="51"/>
      <c r="X11" s="52"/>
      <c r="Y11" s="201"/>
    </row>
    <row r="12" spans="2:113" ht="14.25" customHeight="1" x14ac:dyDescent="0.2">
      <c r="B12" s="13" t="s">
        <v>95</v>
      </c>
      <c r="C12" s="146"/>
      <c r="D12" s="42"/>
      <c r="E12" s="13"/>
      <c r="F12" s="43"/>
      <c r="G12" s="44"/>
      <c r="H12" s="45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7"/>
      <c r="T12" s="48"/>
      <c r="U12" s="49"/>
      <c r="V12" s="50"/>
      <c r="W12" s="51"/>
      <c r="X12" s="52"/>
      <c r="Y12" s="200"/>
    </row>
    <row r="13" spans="2:113" ht="14.25" customHeight="1" thickBot="1" x14ac:dyDescent="0.25">
      <c r="B13" s="60"/>
      <c r="C13" s="148"/>
      <c r="D13" s="61"/>
      <c r="E13" s="62"/>
      <c r="F13" s="63"/>
      <c r="G13" s="64"/>
      <c r="H13" s="65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7"/>
      <c r="T13" s="68">
        <f>SUM(T5:T12)</f>
        <v>0</v>
      </c>
      <c r="U13" s="69" t="e">
        <f>AVERAGE(U5:U12)</f>
        <v>#DIV/0!</v>
      </c>
      <c r="V13" s="70">
        <f>SUM(V5:V12)</f>
        <v>0</v>
      </c>
      <c r="W13" s="69" t="e">
        <f>AVERAGE(W5:W12)</f>
        <v>#DIV/0!</v>
      </c>
      <c r="X13" s="71" t="e">
        <f>AVERAGE(X5:X12)</f>
        <v>#DIV/0!</v>
      </c>
      <c r="Y13" s="201"/>
    </row>
    <row r="14" spans="2:113" ht="14.25" customHeight="1" x14ac:dyDescent="0.2">
      <c r="B14" s="15"/>
      <c r="C14" s="15"/>
      <c r="D14" s="174"/>
      <c r="E14" s="15"/>
      <c r="F14" s="15"/>
      <c r="G14" s="1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6"/>
      <c r="U14" s="177"/>
      <c r="V14" s="176"/>
      <c r="W14" s="177"/>
      <c r="X14" s="178"/>
      <c r="Y14" s="200"/>
    </row>
    <row r="15" spans="2:113" ht="14.25" customHeight="1" x14ac:dyDescent="0.2">
      <c r="B15" s="15"/>
      <c r="C15" s="15"/>
      <c r="D15" s="174"/>
      <c r="E15" s="15"/>
      <c r="F15" s="15"/>
      <c r="G15" s="1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6"/>
      <c r="U15" s="177"/>
      <c r="V15" s="176"/>
      <c r="W15" s="177"/>
      <c r="X15" s="178"/>
      <c r="Y15" s="201"/>
    </row>
    <row r="16" spans="2:113" ht="14.25" customHeight="1" x14ac:dyDescent="0.2">
      <c r="B16" s="15"/>
      <c r="C16" s="15"/>
      <c r="D16" s="174"/>
      <c r="E16" s="15"/>
      <c r="F16" s="15"/>
      <c r="G16" s="1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6"/>
      <c r="U16" s="177"/>
      <c r="V16" s="176"/>
      <c r="W16" s="177"/>
      <c r="X16" s="178"/>
      <c r="Y16" s="200"/>
    </row>
    <row r="17" spans="1:113" ht="14.25" customHeight="1" x14ac:dyDescent="0.2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72"/>
      <c r="V17" s="15"/>
      <c r="W17" s="72"/>
      <c r="X17" s="73"/>
      <c r="Y17" s="201"/>
    </row>
    <row r="18" spans="1:113" ht="50.25" customHeight="1" thickBot="1" x14ac:dyDescent="0.25">
      <c r="B18" s="17" t="s">
        <v>23</v>
      </c>
      <c r="C18" s="17"/>
      <c r="U18" s="74"/>
      <c r="V18" s="74"/>
      <c r="W18" s="74"/>
      <c r="X18" s="75"/>
      <c r="Y18" s="200"/>
    </row>
    <row r="19" spans="1:113" ht="18" customHeight="1" x14ac:dyDescent="0.2">
      <c r="A19" s="6"/>
      <c r="B19" s="326" t="s">
        <v>1</v>
      </c>
      <c r="C19" s="328" t="s">
        <v>77</v>
      </c>
      <c r="D19" s="334" t="s">
        <v>2</v>
      </c>
      <c r="E19" s="335" t="s">
        <v>3</v>
      </c>
      <c r="F19" s="336" t="s">
        <v>4</v>
      </c>
      <c r="G19" s="330" t="s">
        <v>5</v>
      </c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32"/>
      <c r="T19" s="351" t="s">
        <v>6</v>
      </c>
      <c r="U19" s="335"/>
      <c r="V19" s="335"/>
      <c r="W19" s="335"/>
      <c r="X19" s="336"/>
      <c r="Y19" s="201"/>
    </row>
    <row r="20" spans="1:113" s="6" customFormat="1" ht="36" customHeight="1" thickBot="1" x14ac:dyDescent="0.25">
      <c r="B20" s="327"/>
      <c r="C20" s="329"/>
      <c r="D20" s="353"/>
      <c r="E20" s="354"/>
      <c r="F20" s="355"/>
      <c r="G20" s="7" t="s">
        <v>103</v>
      </c>
      <c r="H20" s="8" t="s">
        <v>7</v>
      </c>
      <c r="I20" s="9" t="s">
        <v>8</v>
      </c>
      <c r="J20" s="9" t="s">
        <v>9</v>
      </c>
      <c r="K20" s="9" t="s">
        <v>10</v>
      </c>
      <c r="L20" s="9" t="s">
        <v>11</v>
      </c>
      <c r="M20" s="9" t="s">
        <v>12</v>
      </c>
      <c r="N20" s="9" t="s">
        <v>13</v>
      </c>
      <c r="O20" s="9" t="s">
        <v>14</v>
      </c>
      <c r="P20" s="9" t="s">
        <v>15</v>
      </c>
      <c r="Q20" s="9" t="s">
        <v>16</v>
      </c>
      <c r="R20" s="9" t="s">
        <v>17</v>
      </c>
      <c r="S20" s="10">
        <v>120</v>
      </c>
      <c r="T20" s="9" t="s">
        <v>18</v>
      </c>
      <c r="U20" s="9" t="s">
        <v>19</v>
      </c>
      <c r="V20" s="11" t="s">
        <v>20</v>
      </c>
      <c r="W20" s="194" t="s">
        <v>21</v>
      </c>
      <c r="X20" s="195" t="s">
        <v>22</v>
      </c>
      <c r="Y20" s="200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</row>
    <row r="21" spans="1:113" s="6" customFormat="1" ht="36" customHeight="1" x14ac:dyDescent="0.2">
      <c r="A21" s="1"/>
      <c r="B21" s="12" t="s">
        <v>88</v>
      </c>
      <c r="C21" s="145"/>
      <c r="D21" s="31"/>
      <c r="E21" s="12"/>
      <c r="F21" s="32"/>
      <c r="G21" s="33"/>
      <c r="H21" s="34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76"/>
      <c r="T21" s="77"/>
      <c r="U21" s="38"/>
      <c r="V21" s="39"/>
      <c r="W21" s="78"/>
      <c r="X21" s="79"/>
      <c r="Y21" s="201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</row>
    <row r="22" spans="1:113" ht="15.75" customHeight="1" x14ac:dyDescent="0.2">
      <c r="B22" s="13" t="s">
        <v>89</v>
      </c>
      <c r="C22" s="146"/>
      <c r="D22" s="42"/>
      <c r="E22" s="13"/>
      <c r="F22" s="43"/>
      <c r="G22" s="44"/>
      <c r="H22" s="45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80"/>
      <c r="T22" s="81"/>
      <c r="U22" s="49"/>
      <c r="V22" s="50"/>
      <c r="W22" s="82"/>
      <c r="X22" s="83"/>
      <c r="Y22" s="200"/>
    </row>
    <row r="23" spans="1:113" ht="15.75" customHeight="1" x14ac:dyDescent="0.2">
      <c r="B23" s="13" t="s">
        <v>90</v>
      </c>
      <c r="C23" s="146"/>
      <c r="D23" s="42"/>
      <c r="E23" s="13"/>
      <c r="F23" s="43"/>
      <c r="G23" s="44"/>
      <c r="H23" s="45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80"/>
      <c r="T23" s="81"/>
      <c r="U23" s="49"/>
      <c r="V23" s="50"/>
      <c r="W23" s="82"/>
      <c r="X23" s="83"/>
      <c r="Y23" s="201"/>
    </row>
    <row r="24" spans="1:113" ht="15.75" customHeight="1" x14ac:dyDescent="0.2">
      <c r="B24" s="13" t="s">
        <v>91</v>
      </c>
      <c r="C24" s="146"/>
      <c r="D24" s="42"/>
      <c r="E24" s="13"/>
      <c r="F24" s="43"/>
      <c r="G24" s="44"/>
      <c r="H24" s="45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80"/>
      <c r="T24" s="81"/>
      <c r="U24" s="49"/>
      <c r="V24" s="50"/>
      <c r="W24" s="82"/>
      <c r="X24" s="83"/>
      <c r="Y24" s="200"/>
    </row>
    <row r="25" spans="1:113" ht="15.75" customHeight="1" x14ac:dyDescent="0.2">
      <c r="B25" s="13" t="s">
        <v>92</v>
      </c>
      <c r="C25" s="146"/>
      <c r="D25" s="42"/>
      <c r="E25" s="13"/>
      <c r="F25" s="43"/>
      <c r="G25" s="44"/>
      <c r="H25" s="45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80"/>
      <c r="T25" s="81"/>
      <c r="U25" s="49"/>
      <c r="V25" s="50"/>
      <c r="W25" s="82"/>
      <c r="X25" s="83"/>
      <c r="Y25" s="201"/>
    </row>
    <row r="26" spans="1:113" ht="15.75" customHeight="1" x14ac:dyDescent="0.2">
      <c r="B26" s="13" t="s">
        <v>93</v>
      </c>
      <c r="C26" s="146"/>
      <c r="D26" s="42"/>
      <c r="E26" s="13"/>
      <c r="F26" s="43"/>
      <c r="G26" s="44"/>
      <c r="H26" s="45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80"/>
      <c r="T26" s="81"/>
      <c r="U26" s="49"/>
      <c r="V26" s="50"/>
      <c r="W26" s="82"/>
      <c r="X26" s="83"/>
      <c r="Y26" s="200"/>
    </row>
    <row r="27" spans="1:113" ht="15.75" customHeight="1" x14ac:dyDescent="0.2">
      <c r="B27" s="13" t="s">
        <v>94</v>
      </c>
      <c r="C27" s="146"/>
      <c r="D27" s="42"/>
      <c r="E27" s="13"/>
      <c r="F27" s="43"/>
      <c r="G27" s="44"/>
      <c r="H27" s="45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80"/>
      <c r="T27" s="81"/>
      <c r="U27" s="49"/>
      <c r="V27" s="50"/>
      <c r="W27" s="82"/>
      <c r="X27" s="83"/>
      <c r="Y27" s="201"/>
    </row>
    <row r="28" spans="1:113" ht="15.75" customHeight="1" x14ac:dyDescent="0.2">
      <c r="B28" s="13" t="s">
        <v>95</v>
      </c>
      <c r="C28" s="146"/>
      <c r="D28" s="42"/>
      <c r="E28" s="13"/>
      <c r="F28" s="43"/>
      <c r="G28" s="44"/>
      <c r="H28" s="45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80"/>
      <c r="T28" s="81"/>
      <c r="U28" s="49"/>
      <c r="V28" s="50"/>
      <c r="W28" s="82"/>
      <c r="X28" s="83"/>
      <c r="Y28" s="200"/>
    </row>
    <row r="29" spans="1:113" ht="15.75" customHeight="1" thickBot="1" x14ac:dyDescent="0.25">
      <c r="B29" s="60"/>
      <c r="C29" s="148"/>
      <c r="D29" s="61"/>
      <c r="E29" s="62"/>
      <c r="F29" s="63"/>
      <c r="G29" s="64"/>
      <c r="H29" s="87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88"/>
      <c r="T29" s="89">
        <f>SUM(T21:T28)</f>
        <v>0</v>
      </c>
      <c r="U29" s="69" t="e">
        <f>AVERAGE(U21:U28)</f>
        <v>#DIV/0!</v>
      </c>
      <c r="V29" s="70">
        <f>SUM(V21:V28)</f>
        <v>0</v>
      </c>
      <c r="W29" s="69" t="e">
        <f>AVERAGE(W21:W28)</f>
        <v>#DIV/0!</v>
      </c>
      <c r="X29" s="70" t="e">
        <f>AVERAGE(X21:X28)</f>
        <v>#DIV/0!</v>
      </c>
      <c r="Y29" s="201"/>
    </row>
    <row r="30" spans="1:113" ht="15.75" customHeight="1" x14ac:dyDescent="0.2">
      <c r="B30" s="15"/>
      <c r="C30" s="15"/>
      <c r="D30" s="174"/>
      <c r="E30" s="15"/>
      <c r="F30" s="15"/>
      <c r="G30" s="1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6"/>
      <c r="U30" s="177"/>
      <c r="V30" s="176"/>
      <c r="W30" s="177"/>
      <c r="X30" s="176"/>
      <c r="Y30" s="200"/>
    </row>
    <row r="31" spans="1:113" ht="15.75" customHeight="1" x14ac:dyDescent="0.2">
      <c r="B31" s="15"/>
      <c r="C31" s="15"/>
      <c r="D31" s="174"/>
      <c r="E31" s="15"/>
      <c r="F31" s="15"/>
      <c r="G31" s="1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6"/>
      <c r="U31" s="177"/>
      <c r="V31" s="176"/>
      <c r="W31" s="177"/>
      <c r="X31" s="176"/>
      <c r="Y31" s="201"/>
    </row>
    <row r="32" spans="1:113" ht="15.75" customHeight="1" x14ac:dyDescent="0.2">
      <c r="B32" s="15"/>
      <c r="C32" s="15"/>
      <c r="D32" s="174"/>
      <c r="E32" s="15"/>
      <c r="F32" s="15"/>
      <c r="G32" s="1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6"/>
      <c r="U32" s="177"/>
      <c r="V32" s="176"/>
      <c r="W32" s="177"/>
      <c r="X32" s="176"/>
      <c r="Y32" s="200"/>
    </row>
    <row r="33" spans="1:113" ht="15.75" customHeight="1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72"/>
      <c r="V33" s="15"/>
      <c r="W33" s="72"/>
      <c r="X33" s="73"/>
      <c r="Y33" s="201"/>
    </row>
    <row r="34" spans="1:113" ht="58.5" customHeight="1" thickBot="1" x14ac:dyDescent="0.25">
      <c r="B34" s="17" t="s">
        <v>25</v>
      </c>
      <c r="C34" s="17"/>
      <c r="U34" s="90"/>
      <c r="V34" s="90"/>
      <c r="W34" s="90"/>
      <c r="Y34" s="200"/>
    </row>
    <row r="35" spans="1:113" ht="15" customHeight="1" x14ac:dyDescent="0.2">
      <c r="A35" s="6"/>
      <c r="B35" s="326" t="s">
        <v>1</v>
      </c>
      <c r="C35" s="328" t="s">
        <v>77</v>
      </c>
      <c r="D35" s="334" t="s">
        <v>2</v>
      </c>
      <c r="E35" s="335" t="s">
        <v>3</v>
      </c>
      <c r="F35" s="336" t="s">
        <v>4</v>
      </c>
      <c r="G35" s="330" t="s">
        <v>5</v>
      </c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32"/>
      <c r="T35" s="334" t="s">
        <v>6</v>
      </c>
      <c r="U35" s="335"/>
      <c r="V35" s="335"/>
      <c r="W35" s="335"/>
      <c r="X35" s="336"/>
      <c r="Y35" s="201"/>
    </row>
    <row r="36" spans="1:113" s="6" customFormat="1" ht="33.75" customHeight="1" thickBot="1" x14ac:dyDescent="0.25">
      <c r="B36" s="327"/>
      <c r="C36" s="329"/>
      <c r="D36" s="353"/>
      <c r="E36" s="354"/>
      <c r="F36" s="355"/>
      <c r="G36" s="7" t="s">
        <v>103</v>
      </c>
      <c r="H36" s="8" t="s">
        <v>7</v>
      </c>
      <c r="I36" s="9" t="s">
        <v>8</v>
      </c>
      <c r="J36" s="9" t="s">
        <v>9</v>
      </c>
      <c r="K36" s="9" t="s">
        <v>10</v>
      </c>
      <c r="L36" s="9" t="s">
        <v>11</v>
      </c>
      <c r="M36" s="9" t="s">
        <v>12</v>
      </c>
      <c r="N36" s="9" t="s">
        <v>13</v>
      </c>
      <c r="O36" s="9" t="s">
        <v>14</v>
      </c>
      <c r="P36" s="9" t="s">
        <v>15</v>
      </c>
      <c r="Q36" s="9" t="s">
        <v>16</v>
      </c>
      <c r="R36" s="9" t="s">
        <v>17</v>
      </c>
      <c r="S36" s="10">
        <v>120</v>
      </c>
      <c r="T36" s="9" t="s">
        <v>18</v>
      </c>
      <c r="U36" s="9" t="s">
        <v>19</v>
      </c>
      <c r="V36" s="11" t="s">
        <v>20</v>
      </c>
      <c r="W36" s="194" t="s">
        <v>21</v>
      </c>
      <c r="X36" s="195" t="s">
        <v>22</v>
      </c>
      <c r="Y36" s="200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</row>
    <row r="37" spans="1:113" s="6" customFormat="1" ht="33" customHeight="1" x14ac:dyDescent="0.2">
      <c r="A37" s="1"/>
      <c r="B37" s="12" t="s">
        <v>88</v>
      </c>
      <c r="C37" s="145"/>
      <c r="D37" s="31"/>
      <c r="E37" s="12"/>
      <c r="F37" s="32"/>
      <c r="G37" s="33"/>
      <c r="H37" s="34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76"/>
      <c r="T37" s="77"/>
      <c r="U37" s="38"/>
      <c r="V37" s="39"/>
      <c r="W37" s="78"/>
      <c r="X37" s="79"/>
      <c r="Y37" s="201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</row>
    <row r="38" spans="1:113" ht="15" customHeight="1" x14ac:dyDescent="0.2">
      <c r="B38" s="13" t="s">
        <v>89</v>
      </c>
      <c r="C38" s="146"/>
      <c r="D38" s="42"/>
      <c r="E38" s="13"/>
      <c r="F38" s="43"/>
      <c r="G38" s="44"/>
      <c r="H38" s="45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80"/>
      <c r="T38" s="81"/>
      <c r="U38" s="49"/>
      <c r="V38" s="50"/>
      <c r="W38" s="82"/>
      <c r="X38" s="83"/>
      <c r="Y38" s="200"/>
    </row>
    <row r="39" spans="1:113" ht="15" customHeight="1" x14ac:dyDescent="0.2">
      <c r="B39" s="13" t="s">
        <v>90</v>
      </c>
      <c r="C39" s="146"/>
      <c r="D39" s="42"/>
      <c r="E39" s="13"/>
      <c r="F39" s="43"/>
      <c r="G39" s="44"/>
      <c r="H39" s="45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80"/>
      <c r="T39" s="81"/>
      <c r="U39" s="49"/>
      <c r="V39" s="50"/>
      <c r="W39" s="82"/>
      <c r="X39" s="83"/>
      <c r="Y39" s="201"/>
    </row>
    <row r="40" spans="1:113" ht="15" customHeight="1" x14ac:dyDescent="0.2">
      <c r="B40" s="13" t="s">
        <v>91</v>
      </c>
      <c r="C40" s="146"/>
      <c r="D40" s="42"/>
      <c r="E40" s="13"/>
      <c r="F40" s="43"/>
      <c r="G40" s="44"/>
      <c r="H40" s="45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80"/>
      <c r="T40" s="81"/>
      <c r="U40" s="49"/>
      <c r="V40" s="50"/>
      <c r="W40" s="82"/>
      <c r="X40" s="83"/>
      <c r="Y40" s="200"/>
    </row>
    <row r="41" spans="1:113" ht="15" customHeight="1" x14ac:dyDescent="0.2">
      <c r="B41" s="13" t="s">
        <v>92</v>
      </c>
      <c r="C41" s="146"/>
      <c r="D41" s="42"/>
      <c r="E41" s="13"/>
      <c r="F41" s="43"/>
      <c r="G41" s="44"/>
      <c r="H41" s="45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80"/>
      <c r="T41" s="81"/>
      <c r="U41" s="49"/>
      <c r="V41" s="50"/>
      <c r="W41" s="82"/>
      <c r="X41" s="83"/>
      <c r="Y41" s="201"/>
    </row>
    <row r="42" spans="1:113" ht="15" customHeight="1" x14ac:dyDescent="0.2">
      <c r="B42" s="13" t="s">
        <v>93</v>
      </c>
      <c r="C42" s="146"/>
      <c r="D42" s="42"/>
      <c r="E42" s="13"/>
      <c r="F42" s="43"/>
      <c r="G42" s="44"/>
      <c r="H42" s="45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80"/>
      <c r="T42" s="81"/>
      <c r="U42" s="49"/>
      <c r="V42" s="50"/>
      <c r="W42" s="82"/>
      <c r="X42" s="83"/>
      <c r="Y42" s="200"/>
    </row>
    <row r="43" spans="1:113" ht="15" customHeight="1" x14ac:dyDescent="0.2">
      <c r="B43" s="13" t="s">
        <v>94</v>
      </c>
      <c r="C43" s="146"/>
      <c r="D43" s="42"/>
      <c r="E43" s="13"/>
      <c r="F43" s="43"/>
      <c r="G43" s="44"/>
      <c r="H43" s="45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80"/>
      <c r="T43" s="81"/>
      <c r="U43" s="49"/>
      <c r="V43" s="50"/>
      <c r="W43" s="82"/>
      <c r="X43" s="83"/>
      <c r="Y43" s="201"/>
    </row>
    <row r="44" spans="1:113" ht="15" customHeight="1" x14ac:dyDescent="0.2">
      <c r="B44" s="13" t="s">
        <v>95</v>
      </c>
      <c r="C44" s="146"/>
      <c r="D44" s="42"/>
      <c r="E44" s="13"/>
      <c r="F44" s="43"/>
      <c r="G44" s="44"/>
      <c r="H44" s="45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80"/>
      <c r="T44" s="81"/>
      <c r="U44" s="49"/>
      <c r="V44" s="50"/>
      <c r="W44" s="82"/>
      <c r="X44" s="83"/>
      <c r="Y44" s="200"/>
    </row>
    <row r="45" spans="1:113" ht="15" customHeight="1" thickBot="1" x14ac:dyDescent="0.25">
      <c r="B45" s="60"/>
      <c r="C45" s="148"/>
      <c r="D45" s="92"/>
      <c r="E45" s="62">
        <f t="shared" ref="E45" si="0">H45*10+I45*9.5+J45*9+K45*8+L45*7.5+M45*6.5+N45*6+O45*5.5+P45*5+Q45*3+R45*2+S45*1</f>
        <v>0</v>
      </c>
      <c r="F45" s="63"/>
      <c r="G45" s="64"/>
      <c r="H45" s="87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88"/>
      <c r="T45" s="89">
        <f>SUM(T37:T44)</f>
        <v>0</v>
      </c>
      <c r="U45" s="69" t="e">
        <f>AVERAGE(U37:U44)</f>
        <v>#DIV/0!</v>
      </c>
      <c r="V45" s="70">
        <f>SUM(V37:V44)</f>
        <v>0</v>
      </c>
      <c r="W45" s="69" t="e">
        <f>AVERAGE(W37:W44)</f>
        <v>#DIV/0!</v>
      </c>
      <c r="X45" s="93" t="e">
        <f>AVERAGE(X37:X44)</f>
        <v>#DIV/0!</v>
      </c>
      <c r="Y45" s="201"/>
    </row>
    <row r="46" spans="1:113" ht="15" customHeight="1" x14ac:dyDescent="0.2">
      <c r="B46" s="15"/>
      <c r="C46" s="15"/>
      <c r="D46" s="15"/>
      <c r="E46" s="15"/>
      <c r="F46" s="15"/>
      <c r="G46" s="1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6"/>
      <c r="U46" s="177"/>
      <c r="V46" s="176"/>
      <c r="W46" s="177"/>
      <c r="X46" s="179"/>
      <c r="Y46" s="200"/>
    </row>
    <row r="47" spans="1:113" ht="15" customHeight="1" x14ac:dyDescent="0.2">
      <c r="B47" s="15"/>
      <c r="C47" s="15"/>
      <c r="D47" s="15"/>
      <c r="E47" s="15"/>
      <c r="F47" s="15"/>
      <c r="G47" s="1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6"/>
      <c r="U47" s="177"/>
      <c r="V47" s="176"/>
      <c r="W47" s="177"/>
      <c r="X47" s="179"/>
      <c r="Y47" s="201"/>
    </row>
    <row r="48" spans="1:113" ht="15" customHeight="1" x14ac:dyDescent="0.2">
      <c r="B48" s="15"/>
      <c r="C48" s="15"/>
      <c r="D48" s="15"/>
      <c r="E48" s="15"/>
      <c r="F48" s="15"/>
      <c r="G48" s="1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6"/>
      <c r="U48" s="177"/>
      <c r="V48" s="176"/>
      <c r="W48" s="177"/>
      <c r="X48" s="179"/>
      <c r="Y48" s="200"/>
    </row>
    <row r="49" spans="2:25" ht="15" customHeight="1" x14ac:dyDescent="0.2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72"/>
      <c r="V49" s="15"/>
      <c r="W49" s="72"/>
      <c r="X49" s="73"/>
      <c r="Y49" s="201"/>
    </row>
    <row r="50" spans="2:25" ht="11.25" customHeight="1" thickBot="1" x14ac:dyDescent="0.25">
      <c r="B50" s="17" t="s">
        <v>97</v>
      </c>
      <c r="C50" s="17"/>
      <c r="U50" s="90"/>
      <c r="V50" s="90"/>
      <c r="W50" s="90"/>
      <c r="Y50" s="200"/>
    </row>
    <row r="51" spans="2:25" ht="15.75" customHeight="1" x14ac:dyDescent="0.2">
      <c r="B51" s="326" t="s">
        <v>1</v>
      </c>
      <c r="C51" s="328" t="s">
        <v>77</v>
      </c>
      <c r="D51" s="330" t="s">
        <v>2</v>
      </c>
      <c r="E51" s="326" t="s">
        <v>24</v>
      </c>
      <c r="F51" s="347" t="s">
        <v>4</v>
      </c>
      <c r="G51" s="330" t="s">
        <v>5</v>
      </c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32"/>
      <c r="T51" s="351" t="s">
        <v>6</v>
      </c>
      <c r="U51" s="335"/>
      <c r="V51" s="335"/>
      <c r="W51" s="335"/>
      <c r="X51" s="336"/>
      <c r="Y51" s="201"/>
    </row>
    <row r="52" spans="2:25" ht="30.75" customHeight="1" thickBot="1" x14ac:dyDescent="0.25">
      <c r="B52" s="342"/>
      <c r="C52" s="329"/>
      <c r="D52" s="331"/>
      <c r="E52" s="327"/>
      <c r="F52" s="346"/>
      <c r="G52" s="7" t="s">
        <v>103</v>
      </c>
      <c r="H52" s="11" t="s">
        <v>38</v>
      </c>
      <c r="I52" s="9" t="s">
        <v>39</v>
      </c>
      <c r="J52" s="9" t="s">
        <v>40</v>
      </c>
      <c r="K52" s="9" t="s">
        <v>41</v>
      </c>
      <c r="L52" s="9" t="s">
        <v>42</v>
      </c>
      <c r="M52" s="9" t="s">
        <v>43</v>
      </c>
      <c r="N52" s="9" t="s">
        <v>44</v>
      </c>
      <c r="O52" s="9" t="s">
        <v>45</v>
      </c>
      <c r="P52" s="9" t="s">
        <v>29</v>
      </c>
      <c r="Q52" s="9" t="s">
        <v>46</v>
      </c>
      <c r="R52" s="9" t="s">
        <v>47</v>
      </c>
      <c r="S52" s="10">
        <v>50</v>
      </c>
      <c r="T52" s="9" t="s">
        <v>18</v>
      </c>
      <c r="U52" s="9" t="s">
        <v>19</v>
      </c>
      <c r="V52" s="11" t="s">
        <v>20</v>
      </c>
      <c r="W52" s="194" t="s">
        <v>21</v>
      </c>
      <c r="X52" s="195" t="s">
        <v>22</v>
      </c>
      <c r="Y52" s="200"/>
    </row>
    <row r="53" spans="2:25" ht="33" customHeight="1" x14ac:dyDescent="0.2">
      <c r="B53" s="12" t="s">
        <v>88</v>
      </c>
      <c r="C53" s="145"/>
      <c r="D53" s="31"/>
      <c r="E53" s="12"/>
      <c r="F53" s="32"/>
      <c r="G53" s="94"/>
      <c r="H53" s="34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76"/>
      <c r="T53" s="77"/>
      <c r="U53" s="38"/>
      <c r="V53" s="39"/>
      <c r="W53" s="78"/>
      <c r="X53" s="79"/>
      <c r="Y53" s="201"/>
    </row>
    <row r="54" spans="2:25" ht="15.75" customHeight="1" x14ac:dyDescent="0.2">
      <c r="B54" s="13" t="s">
        <v>89</v>
      </c>
      <c r="C54" s="146"/>
      <c r="D54" s="42"/>
      <c r="E54" s="13"/>
      <c r="F54" s="43"/>
      <c r="G54" s="95"/>
      <c r="H54" s="45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80"/>
      <c r="T54" s="81"/>
      <c r="U54" s="49"/>
      <c r="V54" s="50"/>
      <c r="W54" s="82"/>
      <c r="X54" s="83"/>
      <c r="Y54" s="200"/>
    </row>
    <row r="55" spans="2:25" ht="15.75" customHeight="1" x14ac:dyDescent="0.2">
      <c r="B55" s="13" t="s">
        <v>90</v>
      </c>
      <c r="C55" s="146"/>
      <c r="D55" s="42"/>
      <c r="E55" s="13"/>
      <c r="F55" s="43"/>
      <c r="G55" s="95"/>
      <c r="H55" s="45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80"/>
      <c r="T55" s="81"/>
      <c r="U55" s="49"/>
      <c r="V55" s="50"/>
      <c r="W55" s="82"/>
      <c r="X55" s="83"/>
      <c r="Y55" s="201"/>
    </row>
    <row r="56" spans="2:25" ht="15.75" customHeight="1" x14ac:dyDescent="0.2">
      <c r="B56" s="13" t="s">
        <v>91</v>
      </c>
      <c r="C56" s="146"/>
      <c r="D56" s="42"/>
      <c r="E56" s="13"/>
      <c r="F56" s="43"/>
      <c r="G56" s="95"/>
      <c r="H56" s="45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80"/>
      <c r="T56" s="81"/>
      <c r="U56" s="49"/>
      <c r="V56" s="50"/>
      <c r="W56" s="82"/>
      <c r="X56" s="83"/>
      <c r="Y56" s="200"/>
    </row>
    <row r="57" spans="2:25" ht="15.75" customHeight="1" x14ac:dyDescent="0.2">
      <c r="B57" s="13" t="s">
        <v>92</v>
      </c>
      <c r="C57" s="146"/>
      <c r="D57" s="42"/>
      <c r="E57" s="13"/>
      <c r="F57" s="43"/>
      <c r="G57" s="95"/>
      <c r="H57" s="45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80"/>
      <c r="T57" s="81"/>
      <c r="U57" s="49"/>
      <c r="V57" s="50"/>
      <c r="W57" s="82"/>
      <c r="X57" s="83"/>
      <c r="Y57" s="201"/>
    </row>
    <row r="58" spans="2:25" ht="15.75" customHeight="1" x14ac:dyDescent="0.2">
      <c r="B58" s="13" t="s">
        <v>93</v>
      </c>
      <c r="C58" s="146"/>
      <c r="D58" s="42"/>
      <c r="E58" s="13"/>
      <c r="F58" s="43"/>
      <c r="G58" s="95"/>
      <c r="H58" s="45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80"/>
      <c r="T58" s="81"/>
      <c r="U58" s="49"/>
      <c r="V58" s="50"/>
      <c r="W58" s="82"/>
      <c r="X58" s="83"/>
      <c r="Y58" s="200"/>
    </row>
    <row r="59" spans="2:25" ht="15.75" customHeight="1" x14ac:dyDescent="0.2">
      <c r="B59" s="13" t="s">
        <v>94</v>
      </c>
      <c r="C59" s="146"/>
      <c r="D59" s="42"/>
      <c r="E59" s="13"/>
      <c r="F59" s="43"/>
      <c r="G59" s="95"/>
      <c r="H59" s="45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80"/>
      <c r="T59" s="81"/>
      <c r="U59" s="49"/>
      <c r="V59" s="50"/>
      <c r="W59" s="82"/>
      <c r="X59" s="83"/>
      <c r="Y59" s="201"/>
    </row>
    <row r="60" spans="2:25" ht="15.75" customHeight="1" x14ac:dyDescent="0.2">
      <c r="B60" s="13" t="s">
        <v>95</v>
      </c>
      <c r="C60" s="146"/>
      <c r="D60" s="42"/>
      <c r="E60" s="13"/>
      <c r="F60" s="43"/>
      <c r="G60" s="95"/>
      <c r="H60" s="45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80"/>
      <c r="T60" s="81"/>
      <c r="U60" s="49"/>
      <c r="V60" s="50"/>
      <c r="W60" s="82"/>
      <c r="X60" s="83"/>
      <c r="Y60" s="200"/>
    </row>
    <row r="61" spans="2:25" ht="15.75" customHeight="1" thickBot="1" x14ac:dyDescent="0.25">
      <c r="B61" s="96"/>
      <c r="C61" s="149"/>
      <c r="D61" s="97"/>
      <c r="E61" s="62"/>
      <c r="F61" s="98"/>
      <c r="G61" s="99"/>
      <c r="H61" s="65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88"/>
      <c r="T61" s="89">
        <f>SUM(T53:T60)</f>
        <v>0</v>
      </c>
      <c r="U61" s="69" t="e">
        <f>AVERAGE(U53:U60)</f>
        <v>#DIV/0!</v>
      </c>
      <c r="V61" s="70">
        <f>SUM(V53:V60)</f>
        <v>0</v>
      </c>
      <c r="W61" s="69" t="e">
        <f>AVERAGE(W53:W60)</f>
        <v>#DIV/0!</v>
      </c>
      <c r="X61" s="93" t="e">
        <f>AVERAGE(X53:X60)</f>
        <v>#DIV/0!</v>
      </c>
      <c r="Y61" s="201"/>
    </row>
    <row r="62" spans="2:25" ht="15.75" customHeight="1" x14ac:dyDescent="0.2">
      <c r="B62" s="3"/>
      <c r="C62" s="3"/>
      <c r="D62" s="3"/>
      <c r="E62" s="15"/>
      <c r="F62" s="3"/>
      <c r="G62" s="3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6"/>
      <c r="U62" s="177"/>
      <c r="V62" s="176"/>
      <c r="W62" s="177"/>
      <c r="X62" s="179"/>
      <c r="Y62" s="200"/>
    </row>
    <row r="63" spans="2:25" ht="15.75" customHeight="1" x14ac:dyDescent="0.2">
      <c r="B63" s="3"/>
      <c r="C63" s="3"/>
      <c r="D63" s="3"/>
      <c r="E63" s="15"/>
      <c r="F63" s="3"/>
      <c r="G63" s="3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6"/>
      <c r="U63" s="177"/>
      <c r="V63" s="176"/>
      <c r="W63" s="177"/>
      <c r="X63" s="179"/>
      <c r="Y63" s="201"/>
    </row>
    <row r="64" spans="2:25" ht="15.75" customHeight="1" x14ac:dyDescent="0.2">
      <c r="B64" s="3"/>
      <c r="C64" s="3"/>
      <c r="D64" s="3"/>
      <c r="E64" s="15"/>
      <c r="F64" s="3"/>
      <c r="G64" s="3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6"/>
      <c r="U64" s="177"/>
      <c r="V64" s="176"/>
      <c r="W64" s="177"/>
      <c r="X64" s="179"/>
      <c r="Y64" s="200"/>
    </row>
    <row r="65" spans="1:113" ht="15.75" customHeight="1" x14ac:dyDescent="0.2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72"/>
      <c r="V65" s="15"/>
      <c r="W65" s="72"/>
      <c r="X65" s="73"/>
      <c r="Y65" s="201"/>
    </row>
    <row r="66" spans="1:113" ht="75" customHeight="1" thickBot="1" x14ac:dyDescent="0.25">
      <c r="B66" s="17" t="s">
        <v>48</v>
      </c>
      <c r="C66" s="17"/>
      <c r="U66" s="90"/>
      <c r="V66" s="90"/>
      <c r="W66" s="90"/>
      <c r="Y66" s="200"/>
    </row>
    <row r="67" spans="1:113" ht="17.25" customHeight="1" x14ac:dyDescent="0.2">
      <c r="A67" s="6"/>
      <c r="B67" s="326" t="s">
        <v>1</v>
      </c>
      <c r="C67" s="328" t="s">
        <v>77</v>
      </c>
      <c r="D67" s="330" t="s">
        <v>2</v>
      </c>
      <c r="E67" s="326" t="s">
        <v>24</v>
      </c>
      <c r="F67" s="347" t="s">
        <v>4</v>
      </c>
      <c r="G67" s="330" t="s">
        <v>5</v>
      </c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32"/>
      <c r="T67" s="351" t="s">
        <v>6</v>
      </c>
      <c r="U67" s="335"/>
      <c r="V67" s="335"/>
      <c r="W67" s="335"/>
      <c r="X67" s="336"/>
      <c r="Y67" s="201"/>
    </row>
    <row r="68" spans="1:113" s="6" customFormat="1" ht="30.75" customHeight="1" thickBot="1" x14ac:dyDescent="0.25">
      <c r="B68" s="342"/>
      <c r="C68" s="329"/>
      <c r="D68" s="331"/>
      <c r="E68" s="327"/>
      <c r="F68" s="346"/>
      <c r="G68" s="7" t="s">
        <v>103</v>
      </c>
      <c r="H68" s="11" t="s">
        <v>38</v>
      </c>
      <c r="I68" s="9" t="s">
        <v>39</v>
      </c>
      <c r="J68" s="9" t="s">
        <v>40</v>
      </c>
      <c r="K68" s="9" t="s">
        <v>41</v>
      </c>
      <c r="L68" s="9" t="s">
        <v>42</v>
      </c>
      <c r="M68" s="9" t="s">
        <v>43</v>
      </c>
      <c r="N68" s="9" t="s">
        <v>44</v>
      </c>
      <c r="O68" s="9" t="s">
        <v>45</v>
      </c>
      <c r="P68" s="9" t="s">
        <v>29</v>
      </c>
      <c r="Q68" s="9" t="s">
        <v>46</v>
      </c>
      <c r="R68" s="9" t="s">
        <v>47</v>
      </c>
      <c r="S68" s="10">
        <v>50</v>
      </c>
      <c r="T68" s="9" t="s">
        <v>18</v>
      </c>
      <c r="U68" s="9" t="s">
        <v>19</v>
      </c>
      <c r="V68" s="11" t="s">
        <v>20</v>
      </c>
      <c r="W68" s="194" t="s">
        <v>21</v>
      </c>
      <c r="X68" s="195" t="s">
        <v>22</v>
      </c>
      <c r="Y68" s="200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</row>
    <row r="69" spans="1:113" s="6" customFormat="1" ht="31.5" customHeight="1" x14ac:dyDescent="0.2">
      <c r="A69" s="1"/>
      <c r="B69" s="12" t="s">
        <v>88</v>
      </c>
      <c r="C69" s="145"/>
      <c r="D69" s="31"/>
      <c r="E69" s="12"/>
      <c r="F69" s="100"/>
      <c r="G69" s="33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76"/>
      <c r="T69" s="77"/>
      <c r="U69" s="38"/>
      <c r="V69" s="39"/>
      <c r="W69" s="78"/>
      <c r="X69" s="79"/>
      <c r="Y69" s="201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</row>
    <row r="70" spans="1:113" ht="14.25" customHeight="1" x14ac:dyDescent="0.2">
      <c r="B70" s="13" t="s">
        <v>89</v>
      </c>
      <c r="C70" s="146"/>
      <c r="D70" s="42"/>
      <c r="E70" s="13"/>
      <c r="F70" s="101"/>
      <c r="G70" s="44"/>
      <c r="H70" s="45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80"/>
      <c r="T70" s="81"/>
      <c r="U70" s="49"/>
      <c r="V70" s="50"/>
      <c r="W70" s="82"/>
      <c r="X70" s="83"/>
      <c r="Y70" s="200"/>
    </row>
    <row r="71" spans="1:113" ht="14.25" customHeight="1" x14ac:dyDescent="0.2">
      <c r="B71" s="13" t="s">
        <v>90</v>
      </c>
      <c r="C71" s="146"/>
      <c r="D71" s="42"/>
      <c r="E71" s="13"/>
      <c r="F71" s="101"/>
      <c r="G71" s="44"/>
      <c r="H71" s="45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80"/>
      <c r="T71" s="81"/>
      <c r="U71" s="49"/>
      <c r="V71" s="50"/>
      <c r="W71" s="82"/>
      <c r="X71" s="83"/>
      <c r="Y71" s="201"/>
    </row>
    <row r="72" spans="1:113" ht="14.25" customHeight="1" x14ac:dyDescent="0.2">
      <c r="B72" s="13" t="s">
        <v>91</v>
      </c>
      <c r="C72" s="146"/>
      <c r="D72" s="42"/>
      <c r="E72" s="13"/>
      <c r="F72" s="101"/>
      <c r="G72" s="44"/>
      <c r="H72" s="45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80"/>
      <c r="T72" s="81"/>
      <c r="U72" s="49"/>
      <c r="V72" s="50"/>
      <c r="W72" s="82"/>
      <c r="X72" s="83"/>
      <c r="Y72" s="200"/>
    </row>
    <row r="73" spans="1:113" ht="14.25" customHeight="1" x14ac:dyDescent="0.2">
      <c r="B73" s="13" t="s">
        <v>92</v>
      </c>
      <c r="C73" s="146"/>
      <c r="D73" s="42"/>
      <c r="E73" s="13"/>
      <c r="F73" s="101"/>
      <c r="G73" s="44"/>
      <c r="H73" s="45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80"/>
      <c r="T73" s="81"/>
      <c r="U73" s="49"/>
      <c r="V73" s="50"/>
      <c r="W73" s="82"/>
      <c r="X73" s="83"/>
      <c r="Y73" s="201"/>
    </row>
    <row r="74" spans="1:113" ht="14.25" customHeight="1" x14ac:dyDescent="0.2">
      <c r="B74" s="13" t="s">
        <v>93</v>
      </c>
      <c r="C74" s="146"/>
      <c r="D74" s="42"/>
      <c r="E74" s="13"/>
      <c r="F74" s="101"/>
      <c r="G74" s="44"/>
      <c r="H74" s="45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80"/>
      <c r="T74" s="81"/>
      <c r="U74" s="49"/>
      <c r="V74" s="50"/>
      <c r="W74" s="82"/>
      <c r="X74" s="83"/>
      <c r="Y74" s="200"/>
    </row>
    <row r="75" spans="1:113" ht="14.25" customHeight="1" x14ac:dyDescent="0.2">
      <c r="B75" s="13" t="s">
        <v>94</v>
      </c>
      <c r="C75" s="146"/>
      <c r="D75" s="42"/>
      <c r="E75" s="13"/>
      <c r="F75" s="101"/>
      <c r="G75" s="44"/>
      <c r="H75" s="45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80"/>
      <c r="T75" s="81"/>
      <c r="U75" s="49"/>
      <c r="V75" s="50"/>
      <c r="W75" s="82"/>
      <c r="X75" s="83"/>
      <c r="Y75" s="201"/>
    </row>
    <row r="76" spans="1:113" ht="14.25" customHeight="1" x14ac:dyDescent="0.2">
      <c r="B76" s="13" t="s">
        <v>95</v>
      </c>
      <c r="C76" s="146"/>
      <c r="D76" s="42"/>
      <c r="E76" s="13"/>
      <c r="F76" s="101"/>
      <c r="G76" s="44"/>
      <c r="H76" s="45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80"/>
      <c r="T76" s="81"/>
      <c r="U76" s="49"/>
      <c r="V76" s="50"/>
      <c r="W76" s="82"/>
      <c r="X76" s="83"/>
      <c r="Y76" s="200"/>
    </row>
    <row r="77" spans="1:113" ht="14.25" customHeight="1" thickBot="1" x14ac:dyDescent="0.25">
      <c r="B77" s="96"/>
      <c r="C77" s="149"/>
      <c r="D77" s="97"/>
      <c r="E77" s="62"/>
      <c r="F77" s="98"/>
      <c r="G77" s="99"/>
      <c r="H77" s="65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88"/>
      <c r="T77" s="89">
        <f>SUM(T69:T76)</f>
        <v>0</v>
      </c>
      <c r="U77" s="69" t="e">
        <f>AVERAGE(U69:U76)</f>
        <v>#DIV/0!</v>
      </c>
      <c r="V77" s="70">
        <f>SUM(V69:V76)</f>
        <v>0</v>
      </c>
      <c r="W77" s="69" t="e">
        <f>AVERAGE(W69:W76)</f>
        <v>#DIV/0!</v>
      </c>
      <c r="X77" s="93" t="e">
        <f>AVERAGE(X69:X76)</f>
        <v>#DIV/0!</v>
      </c>
      <c r="Y77" s="201"/>
    </row>
    <row r="78" spans="1:113" ht="14.25" customHeight="1" x14ac:dyDescent="0.2">
      <c r="B78" s="3"/>
      <c r="C78" s="3"/>
      <c r="D78" s="3"/>
      <c r="E78" s="15"/>
      <c r="F78" s="3"/>
      <c r="G78" s="3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6"/>
      <c r="U78" s="177"/>
      <c r="V78" s="176"/>
      <c r="W78" s="177"/>
      <c r="X78" s="179"/>
      <c r="Y78" s="200"/>
    </row>
    <row r="79" spans="1:113" ht="14.25" customHeight="1" x14ac:dyDescent="0.2">
      <c r="B79" s="3"/>
      <c r="C79" s="3"/>
      <c r="D79" s="3"/>
      <c r="E79" s="15"/>
      <c r="F79" s="3"/>
      <c r="G79" s="3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6"/>
      <c r="U79" s="177"/>
      <c r="V79" s="176"/>
      <c r="W79" s="177"/>
      <c r="X79" s="179"/>
      <c r="Y79" s="201"/>
    </row>
    <row r="80" spans="1:113" ht="14.25" customHeight="1" x14ac:dyDescent="0.2">
      <c r="B80" s="3"/>
      <c r="C80" s="3"/>
      <c r="D80" s="3"/>
      <c r="E80" s="15"/>
      <c r="F80" s="3"/>
      <c r="G80" s="3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6"/>
      <c r="U80" s="177"/>
      <c r="V80" s="176"/>
      <c r="W80" s="177"/>
      <c r="X80" s="179"/>
      <c r="Y80" s="200"/>
    </row>
    <row r="81" spans="1:113" ht="14.25" customHeight="1" x14ac:dyDescent="0.2">
      <c r="U81" s="90"/>
      <c r="V81" s="90"/>
      <c r="W81" s="90"/>
      <c r="Y81" s="201"/>
    </row>
    <row r="82" spans="1:113" ht="73.5" customHeight="1" thickBot="1" x14ac:dyDescent="0.25">
      <c r="B82" s="17" t="s">
        <v>49</v>
      </c>
      <c r="C82" s="17"/>
      <c r="U82" s="90"/>
      <c r="V82" s="90"/>
      <c r="W82" s="90"/>
      <c r="Y82" s="200"/>
    </row>
    <row r="83" spans="1:113" ht="13.5" customHeight="1" x14ac:dyDescent="0.2">
      <c r="A83" s="6"/>
      <c r="B83" s="326" t="s">
        <v>1</v>
      </c>
      <c r="C83" s="328" t="s">
        <v>77</v>
      </c>
      <c r="D83" s="330" t="s">
        <v>2</v>
      </c>
      <c r="E83" s="326" t="s">
        <v>24</v>
      </c>
      <c r="F83" s="332" t="s">
        <v>4</v>
      </c>
      <c r="G83" s="330" t="s">
        <v>5</v>
      </c>
      <c r="H83" s="347"/>
      <c r="I83" s="347"/>
      <c r="J83" s="347"/>
      <c r="K83" s="347"/>
      <c r="L83" s="347"/>
      <c r="M83" s="347"/>
      <c r="N83" s="347"/>
      <c r="O83" s="347"/>
      <c r="P83" s="347"/>
      <c r="Q83" s="347"/>
      <c r="R83" s="347"/>
      <c r="S83" s="332"/>
      <c r="T83" s="334" t="s">
        <v>6</v>
      </c>
      <c r="U83" s="335"/>
      <c r="V83" s="335"/>
      <c r="W83" s="335"/>
      <c r="X83" s="336"/>
      <c r="Y83" s="201"/>
    </row>
    <row r="84" spans="1:113" s="6" customFormat="1" ht="29.25" customHeight="1" thickBot="1" x14ac:dyDescent="0.25">
      <c r="B84" s="342"/>
      <c r="C84" s="329"/>
      <c r="D84" s="331"/>
      <c r="E84" s="327"/>
      <c r="F84" s="333"/>
      <c r="G84" s="7" t="s">
        <v>103</v>
      </c>
      <c r="H84" s="11" t="s">
        <v>38</v>
      </c>
      <c r="I84" s="9" t="s">
        <v>39</v>
      </c>
      <c r="J84" s="9" t="s">
        <v>40</v>
      </c>
      <c r="K84" s="9" t="s">
        <v>41</v>
      </c>
      <c r="L84" s="9" t="s">
        <v>42</v>
      </c>
      <c r="M84" s="9" t="s">
        <v>43</v>
      </c>
      <c r="N84" s="9" t="s">
        <v>44</v>
      </c>
      <c r="O84" s="9" t="s">
        <v>45</v>
      </c>
      <c r="P84" s="18" t="s">
        <v>29</v>
      </c>
      <c r="Q84" s="9" t="s">
        <v>46</v>
      </c>
      <c r="R84" s="9" t="s">
        <v>47</v>
      </c>
      <c r="S84" s="10">
        <v>50</v>
      </c>
      <c r="T84" s="9" t="s">
        <v>18</v>
      </c>
      <c r="U84" s="9" t="s">
        <v>19</v>
      </c>
      <c r="V84" s="11" t="s">
        <v>20</v>
      </c>
      <c r="W84" s="194" t="s">
        <v>21</v>
      </c>
      <c r="X84" s="195" t="s">
        <v>22</v>
      </c>
      <c r="Y84" s="200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</row>
    <row r="85" spans="1:113" s="6" customFormat="1" ht="27.75" customHeight="1" x14ac:dyDescent="0.15">
      <c r="A85" s="1"/>
      <c r="B85" s="12" t="s">
        <v>88</v>
      </c>
      <c r="C85" s="145"/>
      <c r="D85" s="31"/>
      <c r="E85" s="12"/>
      <c r="F85" s="32"/>
      <c r="G85" s="33"/>
      <c r="H85" s="103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5"/>
      <c r="T85" s="77"/>
      <c r="U85" s="38"/>
      <c r="V85" s="39"/>
      <c r="W85" s="78"/>
      <c r="X85" s="106"/>
      <c r="Y85" s="201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</row>
    <row r="86" spans="1:113" ht="15" customHeight="1" x14ac:dyDescent="0.15">
      <c r="B86" s="13" t="s">
        <v>89</v>
      </c>
      <c r="C86" s="146"/>
      <c r="D86" s="42"/>
      <c r="E86" s="13"/>
      <c r="F86" s="43"/>
      <c r="G86" s="44"/>
      <c r="H86" s="107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9"/>
      <c r="T86" s="81"/>
      <c r="U86" s="49"/>
      <c r="V86" s="50"/>
      <c r="W86" s="82"/>
      <c r="X86" s="110"/>
      <c r="Y86" s="200"/>
    </row>
    <row r="87" spans="1:113" ht="15" customHeight="1" x14ac:dyDescent="0.15">
      <c r="B87" s="13" t="s">
        <v>90</v>
      </c>
      <c r="C87" s="146"/>
      <c r="D87" s="42"/>
      <c r="E87" s="13"/>
      <c r="F87" s="43"/>
      <c r="G87" s="44"/>
      <c r="H87" s="107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9"/>
      <c r="T87" s="81"/>
      <c r="U87" s="49"/>
      <c r="V87" s="50"/>
      <c r="W87" s="82"/>
      <c r="X87" s="110"/>
      <c r="Y87" s="201"/>
    </row>
    <row r="88" spans="1:113" ht="15" customHeight="1" x14ac:dyDescent="0.15">
      <c r="B88" s="13" t="s">
        <v>91</v>
      </c>
      <c r="C88" s="146"/>
      <c r="D88" s="42"/>
      <c r="E88" s="13"/>
      <c r="F88" s="43"/>
      <c r="G88" s="44"/>
      <c r="H88" s="107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9"/>
      <c r="T88" s="81"/>
      <c r="U88" s="49"/>
      <c r="V88" s="50"/>
      <c r="W88" s="82"/>
      <c r="X88" s="110"/>
      <c r="Y88" s="200"/>
    </row>
    <row r="89" spans="1:113" ht="15" customHeight="1" x14ac:dyDescent="0.15">
      <c r="B89" s="13" t="s">
        <v>92</v>
      </c>
      <c r="C89" s="146"/>
      <c r="D89" s="42"/>
      <c r="E89" s="13"/>
      <c r="F89" s="43"/>
      <c r="G89" s="44"/>
      <c r="H89" s="107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9"/>
      <c r="T89" s="81"/>
      <c r="U89" s="49"/>
      <c r="V89" s="50"/>
      <c r="W89" s="82"/>
      <c r="X89" s="110"/>
      <c r="Y89" s="201"/>
    </row>
    <row r="90" spans="1:113" ht="15" customHeight="1" x14ac:dyDescent="0.15">
      <c r="B90" s="13" t="s">
        <v>93</v>
      </c>
      <c r="C90" s="146"/>
      <c r="D90" s="42"/>
      <c r="E90" s="13"/>
      <c r="F90" s="43"/>
      <c r="G90" s="44"/>
      <c r="H90" s="107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9"/>
      <c r="T90" s="81"/>
      <c r="U90" s="49"/>
      <c r="V90" s="50"/>
      <c r="W90" s="82"/>
      <c r="X90" s="110"/>
      <c r="Y90" s="200"/>
    </row>
    <row r="91" spans="1:113" ht="15" customHeight="1" x14ac:dyDescent="0.15">
      <c r="B91" s="13" t="s">
        <v>94</v>
      </c>
      <c r="C91" s="146"/>
      <c r="D91" s="42"/>
      <c r="E91" s="13"/>
      <c r="F91" s="43"/>
      <c r="G91" s="44"/>
      <c r="H91" s="107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9"/>
      <c r="T91" s="81"/>
      <c r="U91" s="49"/>
      <c r="V91" s="50"/>
      <c r="W91" s="82"/>
      <c r="X91" s="110"/>
      <c r="Y91" s="201"/>
    </row>
    <row r="92" spans="1:113" ht="15" customHeight="1" x14ac:dyDescent="0.15">
      <c r="B92" s="13" t="s">
        <v>95</v>
      </c>
      <c r="C92" s="146"/>
      <c r="D92" s="42"/>
      <c r="E92" s="13"/>
      <c r="F92" s="43"/>
      <c r="G92" s="44"/>
      <c r="H92" s="107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9"/>
      <c r="T92" s="81"/>
      <c r="U92" s="49"/>
      <c r="V92" s="50"/>
      <c r="W92" s="82"/>
      <c r="X92" s="110"/>
      <c r="Y92" s="200"/>
    </row>
    <row r="93" spans="1:113" ht="15" customHeight="1" thickBot="1" x14ac:dyDescent="0.25">
      <c r="B93" s="96"/>
      <c r="C93" s="149"/>
      <c r="D93" s="97"/>
      <c r="E93" s="62"/>
      <c r="F93" s="98"/>
      <c r="G93" s="99"/>
      <c r="H93" s="97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98"/>
      <c r="T93" s="89">
        <f>SUM(T85:T92)</f>
        <v>0</v>
      </c>
      <c r="U93" s="69" t="e">
        <f>AVERAGE(U85:U92)</f>
        <v>#DIV/0!</v>
      </c>
      <c r="V93" s="70">
        <f>SUM(V85:V92)</f>
        <v>0</v>
      </c>
      <c r="W93" s="69" t="e">
        <f>AVERAGE(W85:W92)</f>
        <v>#DIV/0!</v>
      </c>
      <c r="X93" s="93" t="e">
        <f>AVERAGE(X85:X92)</f>
        <v>#DIV/0!</v>
      </c>
      <c r="Y93" s="201"/>
    </row>
    <row r="94" spans="1:113" ht="15" customHeight="1" x14ac:dyDescent="0.2">
      <c r="B94" s="3"/>
      <c r="C94" s="3"/>
      <c r="D94" s="3"/>
      <c r="E94" s="1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76"/>
      <c r="U94" s="177"/>
      <c r="V94" s="176"/>
      <c r="W94" s="177"/>
      <c r="X94" s="179"/>
      <c r="Y94" s="200"/>
    </row>
    <row r="95" spans="1:113" ht="15" customHeight="1" x14ac:dyDescent="0.2">
      <c r="B95" s="3"/>
      <c r="C95" s="3"/>
      <c r="D95" s="3"/>
      <c r="E95" s="1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176"/>
      <c r="U95" s="177"/>
      <c r="V95" s="176"/>
      <c r="W95" s="177"/>
      <c r="X95" s="179"/>
      <c r="Y95" s="201"/>
    </row>
    <row r="96" spans="1:113" ht="15" customHeight="1" x14ac:dyDescent="0.2">
      <c r="B96" s="3"/>
      <c r="C96" s="3"/>
      <c r="D96" s="3"/>
      <c r="E96" s="1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76"/>
      <c r="U96" s="177"/>
      <c r="V96" s="176"/>
      <c r="W96" s="177"/>
      <c r="X96" s="179"/>
      <c r="Y96" s="200"/>
    </row>
    <row r="97" spans="1:113" ht="15" customHeight="1" x14ac:dyDescent="0.2">
      <c r="B97" s="3"/>
      <c r="C97" s="3"/>
      <c r="D97" s="3"/>
      <c r="E97" s="1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5"/>
      <c r="U97" s="72"/>
      <c r="V97" s="15"/>
      <c r="W97" s="72"/>
      <c r="X97" s="4"/>
      <c r="Y97" s="201"/>
    </row>
    <row r="98" spans="1:113" ht="66" customHeight="1" thickBot="1" x14ac:dyDescent="0.25">
      <c r="B98" s="17" t="s">
        <v>73</v>
      </c>
      <c r="C98" s="17"/>
      <c r="U98" s="90"/>
      <c r="V98" s="90"/>
      <c r="W98" s="90"/>
      <c r="Y98" s="200"/>
    </row>
    <row r="99" spans="1:113" ht="15" customHeight="1" x14ac:dyDescent="0.2">
      <c r="B99" s="326" t="s">
        <v>1</v>
      </c>
      <c r="C99" s="328" t="s">
        <v>77</v>
      </c>
      <c r="D99" s="330" t="s">
        <v>2</v>
      </c>
      <c r="E99" s="326" t="s">
        <v>24</v>
      </c>
      <c r="F99" s="347" t="s">
        <v>4</v>
      </c>
      <c r="G99" s="330" t="s">
        <v>5</v>
      </c>
      <c r="H99" s="347"/>
      <c r="I99" s="347"/>
      <c r="J99" s="347"/>
      <c r="K99" s="347"/>
      <c r="L99" s="347"/>
      <c r="M99" s="347"/>
      <c r="N99" s="347"/>
      <c r="O99" s="347"/>
      <c r="P99" s="347"/>
      <c r="Q99" s="347"/>
      <c r="R99" s="347"/>
      <c r="S99" s="332"/>
      <c r="T99" s="351" t="s">
        <v>6</v>
      </c>
      <c r="U99" s="335"/>
      <c r="V99" s="335"/>
      <c r="W99" s="335"/>
      <c r="X99" s="336"/>
      <c r="Y99" s="201"/>
    </row>
    <row r="100" spans="1:113" ht="28.5" customHeight="1" thickBot="1" x14ac:dyDescent="0.25">
      <c r="A100" s="6"/>
      <c r="B100" s="342"/>
      <c r="C100" s="329"/>
      <c r="D100" s="331"/>
      <c r="E100" s="327"/>
      <c r="F100" s="346"/>
      <c r="G100" s="7" t="s">
        <v>103</v>
      </c>
      <c r="H100" s="19" t="s">
        <v>38</v>
      </c>
      <c r="I100" s="19" t="s">
        <v>39</v>
      </c>
      <c r="J100" s="19" t="s">
        <v>40</v>
      </c>
      <c r="K100" s="19" t="s">
        <v>41</v>
      </c>
      <c r="L100" s="19" t="s">
        <v>42</v>
      </c>
      <c r="M100" s="19" t="s">
        <v>43</v>
      </c>
      <c r="N100" s="19" t="s">
        <v>44</v>
      </c>
      <c r="O100" s="19" t="s">
        <v>45</v>
      </c>
      <c r="P100" s="20" t="s">
        <v>29</v>
      </c>
      <c r="Q100" s="19" t="s">
        <v>46</v>
      </c>
      <c r="R100" s="19" t="s">
        <v>47</v>
      </c>
      <c r="S100" s="21">
        <v>50</v>
      </c>
      <c r="T100" s="9" t="s">
        <v>18</v>
      </c>
      <c r="U100" s="9" t="s">
        <v>19</v>
      </c>
      <c r="V100" s="11" t="s">
        <v>20</v>
      </c>
      <c r="W100" s="194" t="s">
        <v>21</v>
      </c>
      <c r="X100" s="195" t="s">
        <v>22</v>
      </c>
      <c r="Y100" s="200"/>
    </row>
    <row r="101" spans="1:113" s="6" customFormat="1" ht="30.75" customHeight="1" x14ac:dyDescent="0.2">
      <c r="B101" s="12" t="s">
        <v>88</v>
      </c>
      <c r="C101" s="145"/>
      <c r="D101" s="31"/>
      <c r="E101" s="12"/>
      <c r="F101" s="32"/>
      <c r="G101" s="33"/>
      <c r="H101" s="112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4"/>
      <c r="T101" s="77"/>
      <c r="U101" s="38"/>
      <c r="V101" s="39"/>
      <c r="W101" s="78"/>
      <c r="X101" s="79"/>
      <c r="Y101" s="201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</row>
    <row r="102" spans="1:113" s="6" customFormat="1" ht="15" customHeight="1" x14ac:dyDescent="0.2">
      <c r="A102" s="1"/>
      <c r="B102" s="13" t="s">
        <v>89</v>
      </c>
      <c r="C102" s="146"/>
      <c r="D102" s="42"/>
      <c r="E102" s="13"/>
      <c r="F102" s="43"/>
      <c r="G102" s="44"/>
      <c r="H102" s="107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9"/>
      <c r="T102" s="81"/>
      <c r="U102" s="49"/>
      <c r="V102" s="50"/>
      <c r="W102" s="82"/>
      <c r="X102" s="83"/>
      <c r="Y102" s="200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</row>
    <row r="103" spans="1:113" ht="15" customHeight="1" x14ac:dyDescent="0.2">
      <c r="B103" s="13" t="s">
        <v>90</v>
      </c>
      <c r="C103" s="146"/>
      <c r="D103" s="42"/>
      <c r="E103" s="13"/>
      <c r="F103" s="43"/>
      <c r="G103" s="44"/>
      <c r="H103" s="107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9"/>
      <c r="T103" s="81"/>
      <c r="U103" s="49"/>
      <c r="V103" s="50"/>
      <c r="W103" s="82"/>
      <c r="X103" s="83"/>
      <c r="Y103" s="201"/>
    </row>
    <row r="104" spans="1:113" ht="15" customHeight="1" x14ac:dyDescent="0.2">
      <c r="B104" s="13" t="s">
        <v>91</v>
      </c>
      <c r="C104" s="146"/>
      <c r="D104" s="42"/>
      <c r="E104" s="13"/>
      <c r="F104" s="43"/>
      <c r="G104" s="44"/>
      <c r="H104" s="107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9"/>
      <c r="T104" s="81"/>
      <c r="U104" s="49"/>
      <c r="V104" s="50"/>
      <c r="W104" s="82"/>
      <c r="X104" s="83"/>
      <c r="Y104" s="200"/>
    </row>
    <row r="105" spans="1:113" ht="15" customHeight="1" x14ac:dyDescent="0.2">
      <c r="B105" s="13" t="s">
        <v>92</v>
      </c>
      <c r="C105" s="146"/>
      <c r="D105" s="42"/>
      <c r="E105" s="13"/>
      <c r="F105" s="43"/>
      <c r="G105" s="44"/>
      <c r="H105" s="107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9"/>
      <c r="T105" s="81"/>
      <c r="U105" s="49"/>
      <c r="V105" s="50"/>
      <c r="W105" s="82"/>
      <c r="X105" s="83"/>
      <c r="Y105" s="201"/>
    </row>
    <row r="106" spans="1:113" ht="15" customHeight="1" x14ac:dyDescent="0.2">
      <c r="B106" s="13" t="s">
        <v>93</v>
      </c>
      <c r="C106" s="146"/>
      <c r="D106" s="42"/>
      <c r="E106" s="13"/>
      <c r="F106" s="43"/>
      <c r="G106" s="44"/>
      <c r="H106" s="107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9"/>
      <c r="T106" s="81"/>
      <c r="U106" s="49"/>
      <c r="V106" s="50"/>
      <c r="W106" s="82"/>
      <c r="X106" s="83"/>
      <c r="Y106" s="200"/>
    </row>
    <row r="107" spans="1:113" ht="15" customHeight="1" x14ac:dyDescent="0.2">
      <c r="B107" s="13" t="s">
        <v>94</v>
      </c>
      <c r="C107" s="146"/>
      <c r="D107" s="42"/>
      <c r="E107" s="13"/>
      <c r="F107" s="43"/>
      <c r="G107" s="44"/>
      <c r="H107" s="107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9"/>
      <c r="T107" s="81"/>
      <c r="U107" s="49"/>
      <c r="V107" s="50"/>
      <c r="W107" s="82"/>
      <c r="X107" s="83"/>
      <c r="Y107" s="201"/>
    </row>
    <row r="108" spans="1:113" ht="15" customHeight="1" x14ac:dyDescent="0.2">
      <c r="B108" s="13" t="s">
        <v>95</v>
      </c>
      <c r="C108" s="146"/>
      <c r="D108" s="42"/>
      <c r="E108" s="13"/>
      <c r="F108" s="43"/>
      <c r="G108" s="44"/>
      <c r="H108" s="107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9"/>
      <c r="T108" s="81"/>
      <c r="U108" s="49"/>
      <c r="V108" s="50"/>
      <c r="W108" s="82"/>
      <c r="X108" s="83"/>
      <c r="Y108" s="200"/>
    </row>
    <row r="109" spans="1:113" ht="15" customHeight="1" thickBot="1" x14ac:dyDescent="0.25">
      <c r="B109" s="96"/>
      <c r="C109" s="149"/>
      <c r="D109" s="97"/>
      <c r="E109" s="62"/>
      <c r="F109" s="98"/>
      <c r="G109" s="115"/>
      <c r="H109" s="97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98"/>
      <c r="T109" s="89">
        <f>SUM(T101:T108)</f>
        <v>0</v>
      </c>
      <c r="U109" s="69" t="e">
        <f>AVERAGE(U101:U108)</f>
        <v>#DIV/0!</v>
      </c>
      <c r="V109" s="70">
        <f>SUM(V101:V108)</f>
        <v>0</v>
      </c>
      <c r="W109" s="69" t="e">
        <f>AVERAGE(W101:W108)</f>
        <v>#DIV/0!</v>
      </c>
      <c r="X109" s="93" t="e">
        <f>AVERAGE(X101:X108)</f>
        <v>#DIV/0!</v>
      </c>
      <c r="Y109" s="201"/>
    </row>
    <row r="110" spans="1:113" ht="15" customHeight="1" x14ac:dyDescent="0.2">
      <c r="B110" s="3"/>
      <c r="C110" s="3"/>
      <c r="D110" s="3"/>
      <c r="E110" s="15"/>
      <c r="F110" s="3"/>
      <c r="G110" s="18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76"/>
      <c r="U110" s="177"/>
      <c r="V110" s="176"/>
      <c r="W110" s="177"/>
      <c r="X110" s="179"/>
      <c r="Y110" s="200"/>
    </row>
    <row r="111" spans="1:113" ht="15" customHeight="1" x14ac:dyDescent="0.2">
      <c r="B111" s="3"/>
      <c r="C111" s="3"/>
      <c r="D111" s="3"/>
      <c r="E111" s="15"/>
      <c r="F111" s="3"/>
      <c r="G111" s="18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176"/>
      <c r="U111" s="177"/>
      <c r="V111" s="176"/>
      <c r="W111" s="177"/>
      <c r="X111" s="179"/>
      <c r="Y111" s="201"/>
    </row>
    <row r="112" spans="1:113" ht="15" customHeight="1" x14ac:dyDescent="0.2">
      <c r="A112" s="24"/>
      <c r="Y112" s="200"/>
    </row>
    <row r="113" spans="1:25" ht="15" customHeight="1" x14ac:dyDescent="0.2">
      <c r="A113" s="24"/>
      <c r="Y113" s="201"/>
    </row>
    <row r="114" spans="1:25" ht="15" customHeight="1" x14ac:dyDescent="0.2">
      <c r="A114" s="24"/>
      <c r="Y114" s="200"/>
    </row>
    <row r="115" spans="1:25" ht="15" hidden="1" customHeight="1" x14ac:dyDescent="0.2">
      <c r="A115" s="24"/>
      <c r="Y115" s="201"/>
    </row>
    <row r="116" spans="1:25" ht="15" hidden="1" customHeight="1" x14ac:dyDescent="0.2">
      <c r="A116" s="24"/>
      <c r="Y116" s="200"/>
    </row>
    <row r="117" spans="1:25" ht="15" hidden="1" customHeight="1" x14ac:dyDescent="0.2">
      <c r="A117" s="24"/>
      <c r="Y117" s="201"/>
    </row>
    <row r="118" spans="1:25" ht="15" hidden="1" customHeight="1" x14ac:dyDescent="0.2">
      <c r="A118" s="24"/>
      <c r="Y118" s="200"/>
    </row>
    <row r="119" spans="1:25" ht="15" hidden="1" customHeight="1" x14ac:dyDescent="0.2">
      <c r="A119" s="24"/>
      <c r="Y119" s="201"/>
    </row>
    <row r="120" spans="1:25" ht="15" hidden="1" customHeight="1" x14ac:dyDescent="0.2">
      <c r="A120" s="24"/>
      <c r="Y120" s="200"/>
    </row>
    <row r="121" spans="1:25" ht="15" hidden="1" customHeight="1" x14ac:dyDescent="0.2">
      <c r="A121" s="24"/>
      <c r="Y121" s="201"/>
    </row>
    <row r="122" spans="1:25" ht="15" hidden="1" customHeight="1" x14ac:dyDescent="0.2">
      <c r="A122" s="24"/>
      <c r="Y122" s="200"/>
    </row>
    <row r="123" spans="1:25" ht="15" hidden="1" customHeight="1" x14ac:dyDescent="0.2">
      <c r="A123" s="24"/>
      <c r="Y123" s="201"/>
    </row>
    <row r="124" spans="1:25" ht="15" hidden="1" customHeight="1" x14ac:dyDescent="0.2">
      <c r="A124" s="24"/>
      <c r="Y124" s="200"/>
    </row>
    <row r="125" spans="1:25" ht="15" hidden="1" customHeight="1" x14ac:dyDescent="0.2">
      <c r="A125" s="24"/>
      <c r="Y125" s="201"/>
    </row>
    <row r="126" spans="1:25" ht="15" hidden="1" customHeight="1" x14ac:dyDescent="0.2">
      <c r="A126" s="24"/>
      <c r="Y126" s="200"/>
    </row>
    <row r="127" spans="1:25" ht="15" hidden="1" customHeight="1" x14ac:dyDescent="0.2">
      <c r="A127" s="24"/>
      <c r="Y127" s="201"/>
    </row>
    <row r="128" spans="1:25" ht="15" hidden="1" customHeight="1" x14ac:dyDescent="0.2">
      <c r="A128" s="24"/>
      <c r="Y128" s="200"/>
    </row>
    <row r="129" spans="1:25" s="24" customFormat="1" ht="59.25" customHeight="1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16"/>
      <c r="V129" s="16"/>
      <c r="W129" s="16"/>
      <c r="X129" s="4"/>
      <c r="Y129" s="201"/>
    </row>
    <row r="130" spans="1:25" s="24" customFormat="1" ht="11.25" customHeight="1" thickBot="1" x14ac:dyDescent="0.25">
      <c r="B130" s="340" t="s">
        <v>50</v>
      </c>
      <c r="C130" s="34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90"/>
      <c r="V130" s="90"/>
      <c r="W130" s="90"/>
      <c r="X130" s="91"/>
      <c r="Y130" s="200"/>
    </row>
    <row r="131" spans="1:25" s="24" customFormat="1" ht="12.95" customHeight="1" thickBot="1" x14ac:dyDescent="0.25">
      <c r="B131" s="330" t="s">
        <v>1</v>
      </c>
      <c r="C131" s="328" t="s">
        <v>77</v>
      </c>
      <c r="D131" s="330" t="s">
        <v>51</v>
      </c>
      <c r="E131" s="326" t="s">
        <v>4</v>
      </c>
      <c r="F131" s="347" t="s">
        <v>3</v>
      </c>
      <c r="G131" s="334" t="s">
        <v>52</v>
      </c>
      <c r="H131" s="335"/>
      <c r="I131" s="335"/>
      <c r="J131" s="335"/>
      <c r="K131" s="335"/>
      <c r="L131" s="335"/>
      <c r="M131" s="335"/>
      <c r="N131" s="335"/>
      <c r="O131" s="335"/>
      <c r="P131" s="336"/>
      <c r="Q131" s="337" t="s">
        <v>53</v>
      </c>
      <c r="R131" s="338"/>
      <c r="S131" s="338"/>
      <c r="T131" s="338"/>
      <c r="U131" s="338"/>
      <c r="V131" s="338"/>
      <c r="W131" s="339"/>
      <c r="Y131" s="201"/>
    </row>
    <row r="132" spans="1:25" s="24" customFormat="1" ht="29.25" customHeight="1" thickBot="1" x14ac:dyDescent="0.25">
      <c r="B132" s="341"/>
      <c r="C132" s="329"/>
      <c r="D132" s="331"/>
      <c r="E132" s="342"/>
      <c r="F132" s="346"/>
      <c r="G132" s="140" t="s">
        <v>54</v>
      </c>
      <c r="H132" s="9" t="s">
        <v>55</v>
      </c>
      <c r="I132" s="9" t="s">
        <v>56</v>
      </c>
      <c r="J132" s="9" t="s">
        <v>57</v>
      </c>
      <c r="K132" s="9" t="s">
        <v>58</v>
      </c>
      <c r="L132" s="9" t="s">
        <v>59</v>
      </c>
      <c r="M132" s="9" t="s">
        <v>60</v>
      </c>
      <c r="N132" s="9" t="s">
        <v>61</v>
      </c>
      <c r="O132" s="141" t="s">
        <v>62</v>
      </c>
      <c r="P132" s="151" t="s">
        <v>63</v>
      </c>
      <c r="Q132" s="152" t="s">
        <v>54</v>
      </c>
      <c r="R132" s="153" t="s">
        <v>55</v>
      </c>
      <c r="S132" s="153" t="s">
        <v>56</v>
      </c>
      <c r="T132" s="153" t="s">
        <v>57</v>
      </c>
      <c r="U132" s="153" t="s">
        <v>58</v>
      </c>
      <c r="V132" s="153" t="s">
        <v>59</v>
      </c>
      <c r="W132" s="154" t="s">
        <v>60</v>
      </c>
      <c r="Y132" s="200"/>
    </row>
    <row r="133" spans="1:25" s="24" customFormat="1" ht="27" customHeight="1" x14ac:dyDescent="0.2">
      <c r="B133" s="12" t="s">
        <v>88</v>
      </c>
      <c r="C133" s="145"/>
      <c r="D133" s="142"/>
      <c r="E133" s="12"/>
      <c r="F133" s="32"/>
      <c r="G133" s="34"/>
      <c r="H133" s="35"/>
      <c r="I133" s="35"/>
      <c r="J133" s="35"/>
      <c r="K133" s="35"/>
      <c r="L133" s="35"/>
      <c r="M133" s="35"/>
      <c r="N133" s="35"/>
      <c r="O133" s="35"/>
      <c r="P133" s="155"/>
      <c r="Q133" s="183"/>
      <c r="R133" s="184"/>
      <c r="S133" s="184"/>
      <c r="T133" s="184"/>
      <c r="U133" s="185"/>
      <c r="V133" s="185"/>
      <c r="W133" s="186"/>
      <c r="Y133" s="201"/>
    </row>
    <row r="134" spans="1:25" s="24" customFormat="1" ht="15" customHeight="1" x14ac:dyDescent="0.2">
      <c r="B134" s="13" t="s">
        <v>89</v>
      </c>
      <c r="C134" s="146"/>
      <c r="D134" s="143"/>
      <c r="E134" s="13"/>
      <c r="F134" s="43"/>
      <c r="G134" s="45"/>
      <c r="H134" s="46"/>
      <c r="I134" s="46"/>
      <c r="J134" s="46"/>
      <c r="K134" s="46"/>
      <c r="L134" s="46"/>
      <c r="M134" s="46"/>
      <c r="N134" s="46"/>
      <c r="O134" s="46"/>
      <c r="P134" s="160"/>
      <c r="Q134" s="161"/>
      <c r="R134" s="162"/>
      <c r="S134" s="162"/>
      <c r="T134" s="162"/>
      <c r="U134" s="163"/>
      <c r="V134" s="163"/>
      <c r="W134" s="164"/>
      <c r="Y134" s="200"/>
    </row>
    <row r="135" spans="1:25" s="24" customFormat="1" ht="15" customHeight="1" x14ac:dyDescent="0.2">
      <c r="B135" s="13" t="s">
        <v>90</v>
      </c>
      <c r="C135" s="146"/>
      <c r="D135" s="143"/>
      <c r="E135" s="13"/>
      <c r="F135" s="43"/>
      <c r="G135" s="45"/>
      <c r="H135" s="46"/>
      <c r="I135" s="46"/>
      <c r="J135" s="46"/>
      <c r="K135" s="46"/>
      <c r="L135" s="46"/>
      <c r="M135" s="46"/>
      <c r="N135" s="46"/>
      <c r="O135" s="46"/>
      <c r="P135" s="160"/>
      <c r="Q135" s="161"/>
      <c r="R135" s="162"/>
      <c r="S135" s="162"/>
      <c r="T135" s="162"/>
      <c r="U135" s="163"/>
      <c r="V135" s="163"/>
      <c r="W135" s="164"/>
      <c r="Y135" s="201"/>
    </row>
    <row r="136" spans="1:25" s="24" customFormat="1" ht="15" customHeight="1" x14ac:dyDescent="0.2">
      <c r="B136" s="13" t="s">
        <v>91</v>
      </c>
      <c r="C136" s="146"/>
      <c r="D136" s="143"/>
      <c r="E136" s="13"/>
      <c r="F136" s="43"/>
      <c r="G136" s="45"/>
      <c r="H136" s="46"/>
      <c r="I136" s="46"/>
      <c r="J136" s="46"/>
      <c r="K136" s="46"/>
      <c r="L136" s="46"/>
      <c r="M136" s="46"/>
      <c r="N136" s="46"/>
      <c r="O136" s="46"/>
      <c r="P136" s="160"/>
      <c r="Q136" s="161"/>
      <c r="R136" s="162"/>
      <c r="S136" s="162"/>
      <c r="T136" s="162"/>
      <c r="U136" s="163"/>
      <c r="V136" s="163"/>
      <c r="W136" s="164"/>
      <c r="Y136" s="200"/>
    </row>
    <row r="137" spans="1:25" s="24" customFormat="1" ht="15" customHeight="1" x14ac:dyDescent="0.2">
      <c r="B137" s="13" t="s">
        <v>92</v>
      </c>
      <c r="C137" s="146"/>
      <c r="D137" s="143"/>
      <c r="E137" s="13"/>
      <c r="F137" s="43"/>
      <c r="G137" s="45"/>
      <c r="H137" s="46"/>
      <c r="I137" s="46"/>
      <c r="J137" s="46"/>
      <c r="K137" s="46"/>
      <c r="L137" s="46"/>
      <c r="M137" s="46"/>
      <c r="N137" s="46"/>
      <c r="O137" s="46"/>
      <c r="P137" s="160"/>
      <c r="Q137" s="161"/>
      <c r="R137" s="162"/>
      <c r="S137" s="162"/>
      <c r="T137" s="162"/>
      <c r="U137" s="163"/>
      <c r="V137" s="163"/>
      <c r="W137" s="164"/>
      <c r="Y137" s="201"/>
    </row>
    <row r="138" spans="1:25" s="24" customFormat="1" ht="15" customHeight="1" x14ac:dyDescent="0.2">
      <c r="B138" s="13" t="s">
        <v>93</v>
      </c>
      <c r="C138" s="146"/>
      <c r="D138" s="143"/>
      <c r="E138" s="13"/>
      <c r="F138" s="43"/>
      <c r="G138" s="45"/>
      <c r="H138" s="46"/>
      <c r="I138" s="46"/>
      <c r="J138" s="46"/>
      <c r="K138" s="46"/>
      <c r="L138" s="46"/>
      <c r="M138" s="46"/>
      <c r="N138" s="46"/>
      <c r="O138" s="46"/>
      <c r="P138" s="160"/>
      <c r="Q138" s="161"/>
      <c r="R138" s="162"/>
      <c r="S138" s="162"/>
      <c r="T138" s="162"/>
      <c r="U138" s="163"/>
      <c r="V138" s="163"/>
      <c r="W138" s="164"/>
      <c r="Y138" s="200"/>
    </row>
    <row r="139" spans="1:25" s="24" customFormat="1" ht="15" customHeight="1" x14ac:dyDescent="0.2">
      <c r="B139" s="13" t="s">
        <v>94</v>
      </c>
      <c r="C139" s="146"/>
      <c r="D139" s="143"/>
      <c r="E139" s="13"/>
      <c r="F139" s="43"/>
      <c r="G139" s="45"/>
      <c r="H139" s="46"/>
      <c r="I139" s="46"/>
      <c r="J139" s="46"/>
      <c r="K139" s="46"/>
      <c r="L139" s="46"/>
      <c r="M139" s="46"/>
      <c r="N139" s="46"/>
      <c r="O139" s="46"/>
      <c r="P139" s="160"/>
      <c r="Q139" s="161"/>
      <c r="R139" s="162"/>
      <c r="S139" s="162"/>
      <c r="T139" s="162"/>
      <c r="U139" s="163"/>
      <c r="V139" s="163"/>
      <c r="W139" s="164"/>
      <c r="Y139" s="201"/>
    </row>
    <row r="140" spans="1:25" s="24" customFormat="1" ht="15" customHeight="1" x14ac:dyDescent="0.2">
      <c r="B140" s="13" t="s">
        <v>95</v>
      </c>
      <c r="C140" s="146"/>
      <c r="D140" s="143"/>
      <c r="E140" s="13"/>
      <c r="F140" s="43"/>
      <c r="G140" s="45"/>
      <c r="H140" s="46"/>
      <c r="I140" s="46"/>
      <c r="J140" s="46"/>
      <c r="K140" s="46"/>
      <c r="L140" s="46"/>
      <c r="M140" s="46"/>
      <c r="N140" s="46"/>
      <c r="O140" s="46"/>
      <c r="P140" s="160"/>
      <c r="Q140" s="161"/>
      <c r="R140" s="162"/>
      <c r="S140" s="162"/>
      <c r="T140" s="162"/>
      <c r="U140" s="163"/>
      <c r="V140" s="163"/>
      <c r="W140" s="164"/>
      <c r="Y140" s="200"/>
    </row>
    <row r="141" spans="1:25" s="24" customFormat="1" ht="15" customHeight="1" thickBot="1" x14ac:dyDescent="0.25">
      <c r="B141" s="14" t="s">
        <v>96</v>
      </c>
      <c r="C141" s="147"/>
      <c r="D141" s="144"/>
      <c r="E141" s="14"/>
      <c r="F141" s="54"/>
      <c r="G141" s="56"/>
      <c r="H141" s="57"/>
      <c r="I141" s="57"/>
      <c r="J141" s="57"/>
      <c r="K141" s="57"/>
      <c r="L141" s="57"/>
      <c r="M141" s="57"/>
      <c r="N141" s="57"/>
      <c r="O141" s="57"/>
      <c r="P141" s="165"/>
      <c r="Q141" s="166"/>
      <c r="R141" s="167"/>
      <c r="S141" s="167"/>
      <c r="T141" s="167"/>
      <c r="U141" s="168"/>
      <c r="V141" s="168"/>
      <c r="W141" s="169"/>
      <c r="Y141" s="201"/>
    </row>
    <row r="142" spans="1:25" s="24" customFormat="1" ht="1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91"/>
    </row>
    <row r="149" spans="113:113" ht="12.95" customHeight="1" x14ac:dyDescent="0.2">
      <c r="DI149" s="1"/>
    </row>
    <row r="150" spans="113:113" ht="12.95" customHeight="1" x14ac:dyDescent="0.2">
      <c r="DI150" s="1"/>
    </row>
    <row r="151" spans="113:113" ht="12.95" customHeight="1" x14ac:dyDescent="0.2">
      <c r="DI151" s="1"/>
    </row>
    <row r="152" spans="113:113" ht="12.95" customHeight="1" x14ac:dyDescent="0.2">
      <c r="DI152" s="1"/>
    </row>
    <row r="153" spans="113:113" ht="12.95" customHeight="1" x14ac:dyDescent="0.2">
      <c r="DI153" s="1"/>
    </row>
    <row r="154" spans="113:113" ht="12.95" customHeight="1" x14ac:dyDescent="0.2">
      <c r="DI154" s="1"/>
    </row>
    <row r="155" spans="113:113" ht="12.95" customHeight="1" x14ac:dyDescent="0.2">
      <c r="DI155" s="1"/>
    </row>
    <row r="156" spans="113:113" ht="12.95" customHeight="1" x14ac:dyDescent="0.2">
      <c r="DI156" s="1"/>
    </row>
    <row r="157" spans="113:113" ht="12.95" customHeight="1" x14ac:dyDescent="0.2">
      <c r="DI157" s="1"/>
    </row>
    <row r="158" spans="113:113" ht="12.95" customHeight="1" x14ac:dyDescent="0.2">
      <c r="DI158" s="1"/>
    </row>
    <row r="159" spans="113:113" ht="12.95" customHeight="1" x14ac:dyDescent="0.2">
      <c r="DI159" s="1"/>
    </row>
    <row r="160" spans="113:113" ht="12.95" customHeight="1" x14ac:dyDescent="0.2">
      <c r="DI160" s="1"/>
    </row>
    <row r="161" spans="113:113" ht="12.95" customHeight="1" x14ac:dyDescent="0.2">
      <c r="DI161" s="1"/>
    </row>
    <row r="162" spans="113:113" ht="12.95" customHeight="1" x14ac:dyDescent="0.2">
      <c r="DI162" s="1"/>
    </row>
    <row r="163" spans="113:113" ht="12.95" customHeight="1" x14ac:dyDescent="0.2">
      <c r="DI163" s="1"/>
    </row>
    <row r="164" spans="113:113" ht="12.95" customHeight="1" x14ac:dyDescent="0.2">
      <c r="DI164" s="1"/>
    </row>
    <row r="165" spans="113:113" ht="12.95" customHeight="1" x14ac:dyDescent="0.2">
      <c r="DI165" s="1"/>
    </row>
    <row r="166" spans="113:113" ht="12.95" customHeight="1" x14ac:dyDescent="0.2">
      <c r="DI166" s="1"/>
    </row>
    <row r="167" spans="113:113" ht="12.95" customHeight="1" x14ac:dyDescent="0.2">
      <c r="DI167" s="1"/>
    </row>
    <row r="168" spans="113:113" ht="12.95" customHeight="1" x14ac:dyDescent="0.2">
      <c r="DI168" s="1"/>
    </row>
    <row r="169" spans="113:113" ht="12.95" customHeight="1" x14ac:dyDescent="0.2">
      <c r="DI169" s="1"/>
    </row>
    <row r="170" spans="113:113" ht="12.95" customHeight="1" x14ac:dyDescent="0.2">
      <c r="DI170" s="1"/>
    </row>
    <row r="171" spans="113:113" ht="12.95" customHeight="1" x14ac:dyDescent="0.2">
      <c r="DI171" s="1"/>
    </row>
    <row r="172" spans="113:113" ht="12.95" customHeight="1" x14ac:dyDescent="0.2">
      <c r="DI172" s="1"/>
    </row>
    <row r="173" spans="113:113" ht="12.95" customHeight="1" x14ac:dyDescent="0.2">
      <c r="DI173" s="1"/>
    </row>
    <row r="174" spans="113:113" ht="12.95" customHeight="1" x14ac:dyDescent="0.2">
      <c r="DI174" s="1"/>
    </row>
    <row r="175" spans="113:113" ht="12.95" customHeight="1" x14ac:dyDescent="0.2">
      <c r="DI175" s="1"/>
    </row>
    <row r="176" spans="113:113" ht="12.95" customHeight="1" x14ac:dyDescent="0.2">
      <c r="DI176" s="1"/>
    </row>
    <row r="177" spans="113:113" ht="12.95" customHeight="1" x14ac:dyDescent="0.2">
      <c r="DI177" s="1"/>
    </row>
    <row r="178" spans="113:113" ht="12.95" customHeight="1" x14ac:dyDescent="0.2">
      <c r="DI178" s="1"/>
    </row>
    <row r="179" spans="113:113" ht="12.95" customHeight="1" x14ac:dyDescent="0.2">
      <c r="DI179" s="1"/>
    </row>
    <row r="180" spans="113:113" ht="12.95" customHeight="1" x14ac:dyDescent="0.2">
      <c r="DI180" s="1"/>
    </row>
    <row r="181" spans="113:113" ht="12.95" customHeight="1" x14ac:dyDescent="0.2">
      <c r="DI181" s="1"/>
    </row>
  </sheetData>
  <sheetProtection autoFilter="0"/>
  <mergeCells count="58">
    <mergeCell ref="Q131:W131"/>
    <mergeCell ref="B130:C130"/>
    <mergeCell ref="B131:B132"/>
    <mergeCell ref="C131:C132"/>
    <mergeCell ref="D131:D132"/>
    <mergeCell ref="E131:E132"/>
    <mergeCell ref="F131:F132"/>
    <mergeCell ref="G131:P131"/>
    <mergeCell ref="T83:X83"/>
    <mergeCell ref="B99:B100"/>
    <mergeCell ref="C99:C100"/>
    <mergeCell ref="D99:D100"/>
    <mergeCell ref="E99:E100"/>
    <mergeCell ref="F99:F100"/>
    <mergeCell ref="G99:S99"/>
    <mergeCell ref="T99:X99"/>
    <mergeCell ref="B83:B84"/>
    <mergeCell ref="C83:C84"/>
    <mergeCell ref="D83:D84"/>
    <mergeCell ref="E83:E84"/>
    <mergeCell ref="F83:F84"/>
    <mergeCell ref="G83:S83"/>
    <mergeCell ref="T51:X51"/>
    <mergeCell ref="B67:B68"/>
    <mergeCell ref="C67:C68"/>
    <mergeCell ref="D67:D68"/>
    <mergeCell ref="E67:E68"/>
    <mergeCell ref="F67:F68"/>
    <mergeCell ref="G67:S67"/>
    <mergeCell ref="T67:X67"/>
    <mergeCell ref="B51:B52"/>
    <mergeCell ref="C51:C52"/>
    <mergeCell ref="D51:D52"/>
    <mergeCell ref="E51:E52"/>
    <mergeCell ref="F51:F52"/>
    <mergeCell ref="G51:S51"/>
    <mergeCell ref="T19:X19"/>
    <mergeCell ref="B35:B36"/>
    <mergeCell ref="C35:C36"/>
    <mergeCell ref="D35:D36"/>
    <mergeCell ref="E35:E36"/>
    <mergeCell ref="F35:F36"/>
    <mergeCell ref="G35:S35"/>
    <mergeCell ref="T35:X35"/>
    <mergeCell ref="B19:B20"/>
    <mergeCell ref="C19:C20"/>
    <mergeCell ref="D19:D20"/>
    <mergeCell ref="E19:E20"/>
    <mergeCell ref="F19:F20"/>
    <mergeCell ref="G19:S19"/>
    <mergeCell ref="B1:X1"/>
    <mergeCell ref="B3:B4"/>
    <mergeCell ref="C3:C4"/>
    <mergeCell ref="D3:D4"/>
    <mergeCell ref="E3:E4"/>
    <mergeCell ref="F3:F4"/>
    <mergeCell ref="G3:S3"/>
    <mergeCell ref="T3:X3"/>
  </mergeCells>
  <phoneticPr fontId="1" type="noConversion"/>
  <printOptions horizontalCentered="1"/>
  <pageMargins left="0.196850393700787" right="0.15748031496063" top="0.43307086614173201" bottom="0.23622047244094499" header="0.511811023622047" footer="0.511811023622047"/>
  <pageSetup paperSize="9" scale="90" orientation="portrait" r:id="rId1"/>
  <headerFooter scaleWithDoc="0" alignWithMargins="0"/>
  <rowBreaks count="2" manualBreakCount="2">
    <brk id="49" max="23" man="1"/>
    <brk id="96" max="2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31DB-BAF7-4F61-9BDC-4944679AE7DE}">
  <sheetPr>
    <tabColor theme="4" tint="-0.249977111117893"/>
  </sheetPr>
  <dimension ref="A1"/>
  <sheetViews>
    <sheetView workbookViewId="0">
      <selection activeCell="E31" sqref="E31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14</vt:i4>
      </vt:variant>
    </vt:vector>
  </HeadingPairs>
  <TitlesOfParts>
    <vt:vector size="22" baseType="lpstr">
      <vt:lpstr>八年级2025</vt:lpstr>
      <vt:lpstr>七年级2025</vt:lpstr>
      <vt:lpstr>九年级2025</vt:lpstr>
      <vt:lpstr>九年级</vt:lpstr>
      <vt:lpstr>八年级</vt:lpstr>
      <vt:lpstr>八年级新</vt:lpstr>
      <vt:lpstr>七年级</vt:lpstr>
      <vt:lpstr>空白</vt:lpstr>
      <vt:lpstr>八年级!Print_Area</vt:lpstr>
      <vt:lpstr>八年级2025!Print_Area</vt:lpstr>
      <vt:lpstr>八年级新!Print_Area</vt:lpstr>
      <vt:lpstr>九年级!Print_Area</vt:lpstr>
      <vt:lpstr>九年级2025!Print_Area</vt:lpstr>
      <vt:lpstr>七年级!Print_Area</vt:lpstr>
      <vt:lpstr>七年级2025!Print_Area</vt:lpstr>
      <vt:lpstr>八年级!Print_Titles</vt:lpstr>
      <vt:lpstr>八年级2025!Print_Titles</vt:lpstr>
      <vt:lpstr>八年级新!Print_Titles</vt:lpstr>
      <vt:lpstr>九年级!Print_Titles</vt:lpstr>
      <vt:lpstr>九年级2025!Print_Titles</vt:lpstr>
      <vt:lpstr>七年级!Print_Titles</vt:lpstr>
      <vt:lpstr>七年级2025!Print_Titles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loongsea</dc:creator>
  <cp:lastModifiedBy>长海 贾</cp:lastModifiedBy>
  <dcterms:created xsi:type="dcterms:W3CDTF">2015-06-05T18:17:20Z</dcterms:created>
  <dcterms:modified xsi:type="dcterms:W3CDTF">2025-10-21T03:04:47Z</dcterms:modified>
</cp:coreProperties>
</file>