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BaiduSyncdisk\lngsea\stx\longsea\"/>
    </mc:Choice>
  </mc:AlternateContent>
  <xr:revisionPtr revIDLastSave="0" documentId="13_ncr:1_{E78F0E3C-9028-403E-9D96-9C4D23A87A31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八年级2025_40" sheetId="16" r:id="rId1"/>
    <sheet name="七年级2025_40" sheetId="15" r:id="rId2"/>
    <sheet name="九年级2025_40" sheetId="14" r:id="rId3"/>
    <sheet name="八年级2025" sheetId="13" r:id="rId4"/>
    <sheet name="七年级2025" sheetId="11" r:id="rId5"/>
    <sheet name="九年级2025" sheetId="10" r:id="rId6"/>
    <sheet name="九年级" sheetId="6" r:id="rId7"/>
    <sheet name="八年级" sheetId="5" r:id="rId8"/>
    <sheet name="八年级新" sheetId="12" r:id="rId9"/>
    <sheet name="七年级" sheetId="8" r:id="rId10"/>
    <sheet name="空白" sheetId="9" r:id="rId11"/>
  </sheets>
  <definedNames>
    <definedName name="_xlnm.Print_Area" localSheetId="7">八年级!$A$1:$X$140</definedName>
    <definedName name="_xlnm.Print_Area" localSheetId="3">八年级2025!$A$1:$W$157</definedName>
    <definedName name="_xlnm.Print_Area" localSheetId="0">八年级2025_40!$A$1:$W$444</definedName>
    <definedName name="_xlnm.Print_Area" localSheetId="8">八年级新!$A$1:$X$140</definedName>
    <definedName name="_xlnm.Print_Area" localSheetId="6">九年级!$A$1:$X$142</definedName>
    <definedName name="_xlnm.Print_Area" localSheetId="5">九年级2025!$A$1:$P$140</definedName>
    <definedName name="_xlnm.Print_Area" localSheetId="2">九年级2025_40!$A$1:$P$396</definedName>
    <definedName name="_xlnm.Print_Area" localSheetId="9">七年级!$A$1:$X$141</definedName>
    <definedName name="_xlnm.Print_Area" localSheetId="4">七年级2025!$A$1:$W$157</definedName>
    <definedName name="_xlnm.Print_Area" localSheetId="1">七年级2025_40!$A$1:$W$444</definedName>
    <definedName name="_xlnm.Print_Titles" localSheetId="7">八年级!$1:$1</definedName>
    <definedName name="_xlnm.Print_Titles" localSheetId="3">八年级2025!$1:$1</definedName>
    <definedName name="_xlnm.Print_Titles" localSheetId="0">八年级2025_40!$1:$1</definedName>
    <definedName name="_xlnm.Print_Titles" localSheetId="8">八年级新!$1:$1</definedName>
    <definedName name="_xlnm.Print_Titles" localSheetId="6">九年级!$1:$1</definedName>
    <definedName name="_xlnm.Print_Titles" localSheetId="5">九年级2025!$1:$1</definedName>
    <definedName name="_xlnm.Print_Titles" localSheetId="2">九年级2025_40!$1:$1</definedName>
    <definedName name="_xlnm.Print_Titles" localSheetId="9">七年级!$1:$1</definedName>
    <definedName name="_xlnm.Print_Titles" localSheetId="4">七年级2025!$1:$1</definedName>
    <definedName name="_xlnm.Print_Titles" localSheetId="1">七年级2025_40!$1:$1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81" i="16" l="1"/>
  <c r="S381" i="16"/>
  <c r="R381" i="16"/>
  <c r="P381" i="16"/>
  <c r="O381" i="16"/>
  <c r="W380" i="16"/>
  <c r="W379" i="16"/>
  <c r="W378" i="16"/>
  <c r="W377" i="16"/>
  <c r="W376" i="16"/>
  <c r="W375" i="16"/>
  <c r="W374" i="16"/>
  <c r="W341" i="16"/>
  <c r="U333" i="16"/>
  <c r="S333" i="16"/>
  <c r="R333" i="16"/>
  <c r="P333" i="16"/>
  <c r="O333" i="16"/>
  <c r="W332" i="16"/>
  <c r="W331" i="16"/>
  <c r="W330" i="16"/>
  <c r="W329" i="16"/>
  <c r="W328" i="16"/>
  <c r="W327" i="16"/>
  <c r="W326" i="16"/>
  <c r="W293" i="16"/>
  <c r="U285" i="16"/>
  <c r="S285" i="16"/>
  <c r="R285" i="16"/>
  <c r="P285" i="16"/>
  <c r="O285" i="16"/>
  <c r="W284" i="16"/>
  <c r="W283" i="16"/>
  <c r="W282" i="16"/>
  <c r="W281" i="16"/>
  <c r="W280" i="16"/>
  <c r="W279" i="16"/>
  <c r="W278" i="16"/>
  <c r="W245" i="16"/>
  <c r="U237" i="16"/>
  <c r="S237" i="16"/>
  <c r="R237" i="16"/>
  <c r="P237" i="16"/>
  <c r="O237" i="16"/>
  <c r="W236" i="16"/>
  <c r="W235" i="16"/>
  <c r="W234" i="16"/>
  <c r="W233" i="16"/>
  <c r="W232" i="16"/>
  <c r="W231" i="16"/>
  <c r="W230" i="16"/>
  <c r="W197" i="16"/>
  <c r="U189" i="16"/>
  <c r="S189" i="16"/>
  <c r="R189" i="16"/>
  <c r="P189" i="16"/>
  <c r="O189" i="16"/>
  <c r="W188" i="16"/>
  <c r="W187" i="16"/>
  <c r="W186" i="16"/>
  <c r="W185" i="16"/>
  <c r="W184" i="16"/>
  <c r="W183" i="16"/>
  <c r="W182" i="16"/>
  <c r="W149" i="16"/>
  <c r="U141" i="16"/>
  <c r="S141" i="16"/>
  <c r="R141" i="16"/>
  <c r="P141" i="16"/>
  <c r="O141" i="16"/>
  <c r="W140" i="16"/>
  <c r="W139" i="16"/>
  <c r="W138" i="16"/>
  <c r="W137" i="16"/>
  <c r="W136" i="16"/>
  <c r="W135" i="16"/>
  <c r="W134" i="16"/>
  <c r="W101" i="16"/>
  <c r="U93" i="16"/>
  <c r="S93" i="16"/>
  <c r="R93" i="16"/>
  <c r="P93" i="16"/>
  <c r="O93" i="16"/>
  <c r="W92" i="16"/>
  <c r="W91" i="16"/>
  <c r="W90" i="16"/>
  <c r="W89" i="16"/>
  <c r="W88" i="16"/>
  <c r="W87" i="16"/>
  <c r="W86" i="16"/>
  <c r="W53" i="16"/>
  <c r="U45" i="16"/>
  <c r="S45" i="16"/>
  <c r="R45" i="16"/>
  <c r="P45" i="16"/>
  <c r="O45" i="16"/>
  <c r="W44" i="16"/>
  <c r="W43" i="16"/>
  <c r="W42" i="16"/>
  <c r="W41" i="16"/>
  <c r="W40" i="16"/>
  <c r="W39" i="16"/>
  <c r="W38" i="16"/>
  <c r="W5" i="16"/>
  <c r="U333" i="15"/>
  <c r="S333" i="15"/>
  <c r="R333" i="15"/>
  <c r="P333" i="15"/>
  <c r="O333" i="15"/>
  <c r="W332" i="15"/>
  <c r="W331" i="15"/>
  <c r="W330" i="15"/>
  <c r="W329" i="15"/>
  <c r="W328" i="15"/>
  <c r="W325" i="15"/>
  <c r="W324" i="15"/>
  <c r="W293" i="15"/>
  <c r="U285" i="15"/>
  <c r="S285" i="15"/>
  <c r="R285" i="15"/>
  <c r="P285" i="15"/>
  <c r="O285" i="15"/>
  <c r="W284" i="15"/>
  <c r="W283" i="15"/>
  <c r="W282" i="15"/>
  <c r="W281" i="15"/>
  <c r="W280" i="15"/>
  <c r="W245" i="15"/>
  <c r="U237" i="15"/>
  <c r="S237" i="15"/>
  <c r="R237" i="15"/>
  <c r="P237" i="15"/>
  <c r="O237" i="15"/>
  <c r="W236" i="15"/>
  <c r="W235" i="15"/>
  <c r="W234" i="15"/>
  <c r="W233" i="15"/>
  <c r="W232" i="15"/>
  <c r="W197" i="15"/>
  <c r="U189" i="15"/>
  <c r="S189" i="15"/>
  <c r="R189" i="15"/>
  <c r="P189" i="15"/>
  <c r="O189" i="15"/>
  <c r="W188" i="15"/>
  <c r="W187" i="15"/>
  <c r="W186" i="15"/>
  <c r="W149" i="15"/>
  <c r="U141" i="15"/>
  <c r="S141" i="15"/>
  <c r="R141" i="15"/>
  <c r="P141" i="15"/>
  <c r="O141" i="15"/>
  <c r="W140" i="15"/>
  <c r="W139" i="15"/>
  <c r="W138" i="15"/>
  <c r="W137" i="15"/>
  <c r="W136" i="15"/>
  <c r="W101" i="15"/>
  <c r="U93" i="15"/>
  <c r="S93" i="15"/>
  <c r="R93" i="15"/>
  <c r="P93" i="15"/>
  <c r="O93" i="15"/>
  <c r="W92" i="15"/>
  <c r="W91" i="15"/>
  <c r="W90" i="15"/>
  <c r="W89" i="15"/>
  <c r="W88" i="15"/>
  <c r="W87" i="15"/>
  <c r="W53" i="15"/>
  <c r="U45" i="15"/>
  <c r="S45" i="15"/>
  <c r="R45" i="15"/>
  <c r="P45" i="15"/>
  <c r="O45" i="15"/>
  <c r="W44" i="15"/>
  <c r="W43" i="15"/>
  <c r="W42" i="15"/>
  <c r="W41" i="15"/>
  <c r="W40" i="15"/>
  <c r="W39" i="15"/>
  <c r="W38" i="15"/>
  <c r="W5" i="15"/>
  <c r="P333" i="14"/>
  <c r="O333" i="14"/>
  <c r="N333" i="14"/>
  <c r="M333" i="14"/>
  <c r="L333" i="14"/>
  <c r="P285" i="14"/>
  <c r="O285" i="14"/>
  <c r="N285" i="14"/>
  <c r="M285" i="14"/>
  <c r="L285" i="14"/>
  <c r="P237" i="14"/>
  <c r="O237" i="14"/>
  <c r="N237" i="14"/>
  <c r="M237" i="14"/>
  <c r="L237" i="14"/>
  <c r="P189" i="14"/>
  <c r="O189" i="14"/>
  <c r="N189" i="14"/>
  <c r="M189" i="14"/>
  <c r="L189" i="14"/>
  <c r="P141" i="14"/>
  <c r="O141" i="14"/>
  <c r="N141" i="14"/>
  <c r="M141" i="14"/>
  <c r="L141" i="14"/>
  <c r="P93" i="14"/>
  <c r="O93" i="14"/>
  <c r="N93" i="14"/>
  <c r="M93" i="14"/>
  <c r="L93" i="14"/>
  <c r="P45" i="14"/>
  <c r="O45" i="14"/>
  <c r="N45" i="14"/>
  <c r="M45" i="14"/>
  <c r="L45" i="14"/>
  <c r="W108" i="11"/>
  <c r="W107" i="11"/>
  <c r="W106" i="11"/>
  <c r="W105" i="11"/>
  <c r="W104" i="11"/>
  <c r="W103" i="11"/>
  <c r="W102" i="11"/>
  <c r="W101" i="11"/>
  <c r="W92" i="11"/>
  <c r="W91" i="11"/>
  <c r="W90" i="11"/>
  <c r="W89" i="11"/>
  <c r="W88" i="11"/>
  <c r="W87" i="11"/>
  <c r="W86" i="11"/>
  <c r="W85" i="11"/>
  <c r="W76" i="11"/>
  <c r="W75" i="11"/>
  <c r="W74" i="11"/>
  <c r="W73" i="11"/>
  <c r="W72" i="11"/>
  <c r="W71" i="11"/>
  <c r="W70" i="11"/>
  <c r="W69" i="11"/>
  <c r="W60" i="11"/>
  <c r="W59" i="11"/>
  <c r="W58" i="11"/>
  <c r="W57" i="11"/>
  <c r="W56" i="11"/>
  <c r="W55" i="11"/>
  <c r="W54" i="11"/>
  <c r="W53" i="11"/>
  <c r="W44" i="11"/>
  <c r="W43" i="11"/>
  <c r="W42" i="11"/>
  <c r="W41" i="11"/>
  <c r="W40" i="11"/>
  <c r="W39" i="11"/>
  <c r="W38" i="11"/>
  <c r="W37" i="11"/>
  <c r="W28" i="11"/>
  <c r="W27" i="11"/>
  <c r="W26" i="11"/>
  <c r="W25" i="11"/>
  <c r="W24" i="11"/>
  <c r="W23" i="11"/>
  <c r="W22" i="11"/>
  <c r="W21" i="11"/>
  <c r="W12" i="11"/>
  <c r="W11" i="11"/>
  <c r="W10" i="11"/>
  <c r="W9" i="11"/>
  <c r="W8" i="11"/>
  <c r="W7" i="11"/>
  <c r="W6" i="11"/>
  <c r="W5" i="11"/>
  <c r="W124" i="13"/>
  <c r="W123" i="13"/>
  <c r="W122" i="13"/>
  <c r="W121" i="13"/>
  <c r="W120" i="13"/>
  <c r="W119" i="13"/>
  <c r="W118" i="13"/>
  <c r="W117" i="13"/>
  <c r="W108" i="13"/>
  <c r="W107" i="13"/>
  <c r="W106" i="13"/>
  <c r="W105" i="13"/>
  <c r="W104" i="13"/>
  <c r="W103" i="13"/>
  <c r="W102" i="13"/>
  <c r="W101" i="13"/>
  <c r="W92" i="13"/>
  <c r="W91" i="13"/>
  <c r="W90" i="13"/>
  <c r="W89" i="13"/>
  <c r="W88" i="13"/>
  <c r="W87" i="13"/>
  <c r="W86" i="13"/>
  <c r="W85" i="13"/>
  <c r="W76" i="13"/>
  <c r="W75" i="13"/>
  <c r="W74" i="13"/>
  <c r="W73" i="13"/>
  <c r="W72" i="13"/>
  <c r="W71" i="13"/>
  <c r="W70" i="13"/>
  <c r="W69" i="13"/>
  <c r="W60" i="13"/>
  <c r="W59" i="13"/>
  <c r="W58" i="13"/>
  <c r="W57" i="13"/>
  <c r="W56" i="13"/>
  <c r="W55" i="13"/>
  <c r="W54" i="13"/>
  <c r="W53" i="13"/>
  <c r="W44" i="13"/>
  <c r="W43" i="13"/>
  <c r="W42" i="13"/>
  <c r="W41" i="13"/>
  <c r="W40" i="13"/>
  <c r="W39" i="13"/>
  <c r="W38" i="13"/>
  <c r="W37" i="13"/>
  <c r="W28" i="13"/>
  <c r="W27" i="13"/>
  <c r="W26" i="13"/>
  <c r="W25" i="13"/>
  <c r="W24" i="13"/>
  <c r="W23" i="13"/>
  <c r="W22" i="13"/>
  <c r="W21" i="13"/>
  <c r="W12" i="13"/>
  <c r="W11" i="13"/>
  <c r="W10" i="13"/>
  <c r="W9" i="13"/>
  <c r="W8" i="13"/>
  <c r="W7" i="13"/>
  <c r="W6" i="13"/>
  <c r="W5" i="13"/>
  <c r="U61" i="13"/>
  <c r="S61" i="13"/>
  <c r="R61" i="13"/>
  <c r="P61" i="13"/>
  <c r="O61" i="13"/>
  <c r="U125" i="13"/>
  <c r="S125" i="13"/>
  <c r="R125" i="13"/>
  <c r="P125" i="13"/>
  <c r="O125" i="13"/>
  <c r="U109" i="13"/>
  <c r="S109" i="13"/>
  <c r="R109" i="13"/>
  <c r="P109" i="13"/>
  <c r="O109" i="13"/>
  <c r="U93" i="13"/>
  <c r="S93" i="13"/>
  <c r="R93" i="13"/>
  <c r="P93" i="13"/>
  <c r="O93" i="13"/>
  <c r="U77" i="13"/>
  <c r="S77" i="13"/>
  <c r="R77" i="13"/>
  <c r="P77" i="13"/>
  <c r="O77" i="13"/>
  <c r="U45" i="13"/>
  <c r="S45" i="13"/>
  <c r="R45" i="13"/>
  <c r="P45" i="13"/>
  <c r="O45" i="13"/>
  <c r="U29" i="13"/>
  <c r="S29" i="13"/>
  <c r="R29" i="13"/>
  <c r="P29" i="13"/>
  <c r="O29" i="13"/>
  <c r="U13" i="13"/>
  <c r="S13" i="13"/>
  <c r="R13" i="13"/>
  <c r="P13" i="13"/>
  <c r="O13" i="13"/>
  <c r="U13" i="12"/>
  <c r="S13" i="12"/>
  <c r="R13" i="12"/>
  <c r="P13" i="12"/>
  <c r="O13" i="12"/>
  <c r="W12" i="12"/>
  <c r="W11" i="12"/>
  <c r="W10" i="12"/>
  <c r="W9" i="12"/>
  <c r="W8" i="12"/>
  <c r="W7" i="12"/>
  <c r="W6" i="12"/>
  <c r="W5" i="12"/>
  <c r="U109" i="11"/>
  <c r="S109" i="11"/>
  <c r="R109" i="11"/>
  <c r="P109" i="11"/>
  <c r="O109" i="11"/>
  <c r="U93" i="11"/>
  <c r="S93" i="11"/>
  <c r="R93" i="11"/>
  <c r="P93" i="11"/>
  <c r="O93" i="11"/>
  <c r="U77" i="11"/>
  <c r="S77" i="11"/>
  <c r="R77" i="11"/>
  <c r="P77" i="11"/>
  <c r="O77" i="11"/>
  <c r="U61" i="11"/>
  <c r="S61" i="11"/>
  <c r="R61" i="11"/>
  <c r="P61" i="11"/>
  <c r="O61" i="11"/>
  <c r="U45" i="11"/>
  <c r="S45" i="11"/>
  <c r="R45" i="11"/>
  <c r="P45" i="11"/>
  <c r="O45" i="11"/>
  <c r="U29" i="11"/>
  <c r="S29" i="11"/>
  <c r="R29" i="11"/>
  <c r="P29" i="11"/>
  <c r="O29" i="11"/>
  <c r="X125" i="12"/>
  <c r="W125" i="12"/>
  <c r="V125" i="12"/>
  <c r="U125" i="12"/>
  <c r="T125" i="12"/>
  <c r="X109" i="12"/>
  <c r="W109" i="12"/>
  <c r="V109" i="12"/>
  <c r="U109" i="12"/>
  <c r="T109" i="12"/>
  <c r="X93" i="12"/>
  <c r="W93" i="12"/>
  <c r="V93" i="12"/>
  <c r="U93" i="12"/>
  <c r="T93" i="12"/>
  <c r="X77" i="12"/>
  <c r="W77" i="12"/>
  <c r="V77" i="12"/>
  <c r="U77" i="12"/>
  <c r="T77" i="12"/>
  <c r="X61" i="12"/>
  <c r="W61" i="12"/>
  <c r="V61" i="12"/>
  <c r="U61" i="12"/>
  <c r="T61" i="12"/>
  <c r="X45" i="12"/>
  <c r="W45" i="12"/>
  <c r="V45" i="12"/>
  <c r="U45" i="12"/>
  <c r="T45" i="12"/>
  <c r="X29" i="12"/>
  <c r="W29" i="12"/>
  <c r="V29" i="12"/>
  <c r="U29" i="12"/>
  <c r="T29" i="12"/>
  <c r="U13" i="11"/>
  <c r="S13" i="11"/>
  <c r="R13" i="11"/>
  <c r="P13" i="11"/>
  <c r="O13" i="11"/>
  <c r="P109" i="10"/>
  <c r="O109" i="10"/>
  <c r="N109" i="10"/>
  <c r="M109" i="10"/>
  <c r="L109" i="10"/>
  <c r="P93" i="10"/>
  <c r="O93" i="10"/>
  <c r="N93" i="10"/>
  <c r="M93" i="10"/>
  <c r="L93" i="10"/>
  <c r="P77" i="10"/>
  <c r="O77" i="10"/>
  <c r="N77" i="10"/>
  <c r="M77" i="10"/>
  <c r="L77" i="10"/>
  <c r="M61" i="10"/>
  <c r="P61" i="10"/>
  <c r="O61" i="10"/>
  <c r="N61" i="10"/>
  <c r="L61" i="10"/>
  <c r="P45" i="10"/>
  <c r="O45" i="10"/>
  <c r="N45" i="10"/>
  <c r="M45" i="10"/>
  <c r="L45" i="10"/>
  <c r="P29" i="10"/>
  <c r="O29" i="10"/>
  <c r="N29" i="10"/>
  <c r="M29" i="10"/>
  <c r="L29" i="10"/>
  <c r="P13" i="10"/>
  <c r="O13" i="10"/>
  <c r="N13" i="10"/>
  <c r="M13" i="10"/>
  <c r="L13" i="10"/>
  <c r="X111" i="6"/>
  <c r="W111" i="6"/>
  <c r="V111" i="6"/>
  <c r="U111" i="6"/>
  <c r="T111" i="6"/>
  <c r="X95" i="6"/>
  <c r="W95" i="6"/>
  <c r="V95" i="6"/>
  <c r="U95" i="6"/>
  <c r="T95" i="6"/>
  <c r="X79" i="6"/>
  <c r="W79" i="6"/>
  <c r="V79" i="6"/>
  <c r="U79" i="6"/>
  <c r="T79" i="6"/>
  <c r="X63" i="6"/>
  <c r="W63" i="6"/>
  <c r="V63" i="6"/>
  <c r="U63" i="6"/>
  <c r="T63" i="6"/>
  <c r="X47" i="6"/>
  <c r="W47" i="6"/>
  <c r="V47" i="6"/>
  <c r="U47" i="6"/>
  <c r="T47" i="6"/>
  <c r="X31" i="6"/>
  <c r="W31" i="6"/>
  <c r="V31" i="6"/>
  <c r="U31" i="6"/>
  <c r="T31" i="6"/>
  <c r="W13" i="8"/>
  <c r="T13" i="8"/>
  <c r="X109" i="8"/>
  <c r="W109" i="8"/>
  <c r="V109" i="8"/>
  <c r="U109" i="8"/>
  <c r="T109" i="8"/>
  <c r="X93" i="8"/>
  <c r="W93" i="8"/>
  <c r="V93" i="8"/>
  <c r="U93" i="8"/>
  <c r="T93" i="8"/>
  <c r="X77" i="8"/>
  <c r="W77" i="8"/>
  <c r="V77" i="8"/>
  <c r="U77" i="8"/>
  <c r="T77" i="8"/>
  <c r="X61" i="8"/>
  <c r="W61" i="8"/>
  <c r="V61" i="8"/>
  <c r="U61" i="8"/>
  <c r="T61" i="8"/>
  <c r="X45" i="8"/>
  <c r="W45" i="8"/>
  <c r="V45" i="8"/>
  <c r="U45" i="8"/>
  <c r="T45" i="8"/>
  <c r="E45" i="8"/>
  <c r="X29" i="8"/>
  <c r="W29" i="8"/>
  <c r="V29" i="8"/>
  <c r="U29" i="8"/>
  <c r="T29" i="8"/>
  <c r="X13" i="8"/>
  <c r="V13" i="8"/>
  <c r="U13" i="8"/>
  <c r="V15" i="6"/>
  <c r="T15" i="6"/>
  <c r="X15" i="6"/>
  <c r="W15" i="6"/>
  <c r="U15" i="6"/>
  <c r="X125" i="5"/>
  <c r="W125" i="5"/>
  <c r="V125" i="5"/>
  <c r="U125" i="5"/>
  <c r="T125" i="5"/>
  <c r="X109" i="5"/>
  <c r="W109" i="5"/>
  <c r="V109" i="5"/>
  <c r="U109" i="5"/>
  <c r="T109" i="5"/>
  <c r="X93" i="5"/>
  <c r="W93" i="5"/>
  <c r="V93" i="5"/>
  <c r="U93" i="5"/>
  <c r="T93" i="5"/>
  <c r="X77" i="5"/>
  <c r="W77" i="5"/>
  <c r="V77" i="5"/>
  <c r="U77" i="5"/>
  <c r="T77" i="5"/>
  <c r="X61" i="5"/>
  <c r="W61" i="5"/>
  <c r="V61" i="5"/>
  <c r="U61" i="5"/>
  <c r="T61" i="5"/>
  <c r="X45" i="5"/>
  <c r="W45" i="5"/>
  <c r="V45" i="5"/>
  <c r="U45" i="5"/>
  <c r="T45" i="5"/>
  <c r="X29" i="5"/>
  <c r="W29" i="5"/>
  <c r="V29" i="5"/>
  <c r="U29" i="5"/>
  <c r="T29" i="5"/>
  <c r="X13" i="5"/>
  <c r="W13" i="5"/>
  <c r="V13" i="5"/>
  <c r="U13" i="5"/>
  <c r="T13" i="5"/>
</calcChain>
</file>

<file path=xl/sharedStrings.xml><?xml version="1.0" encoding="utf-8"?>
<sst xmlns="http://schemas.openxmlformats.org/spreadsheetml/2006/main" count="3609" uniqueCount="286">
  <si>
    <t>语文</t>
  </si>
  <si>
    <t>班级</t>
  </si>
  <si>
    <t>参考人数</t>
  </si>
  <si>
    <t>积分</t>
  </si>
  <si>
    <t>名次</t>
  </si>
  <si>
    <t>学生成绩分布</t>
  </si>
  <si>
    <t>两率一平（参考）</t>
  </si>
  <si>
    <t>36-47</t>
  </si>
  <si>
    <t>48-59</t>
  </si>
  <si>
    <t>60-71</t>
  </si>
  <si>
    <t>72-77</t>
  </si>
  <si>
    <t>78-83</t>
  </si>
  <si>
    <t>84-89</t>
  </si>
  <si>
    <t>90-95</t>
  </si>
  <si>
    <t>96-101</t>
  </si>
  <si>
    <t>102-107</t>
  </si>
  <si>
    <t>108-113</t>
  </si>
  <si>
    <t>114-119</t>
  </si>
  <si>
    <t>及格人数</t>
  </si>
  <si>
    <t>及格率</t>
  </si>
  <si>
    <t>优秀人数</t>
  </si>
  <si>
    <t>优秀率</t>
  </si>
  <si>
    <t>平均分</t>
  </si>
  <si>
    <t>数学</t>
  </si>
  <si>
    <t>得分</t>
  </si>
  <si>
    <t>英语</t>
  </si>
  <si>
    <t>21-27</t>
  </si>
  <si>
    <t>28-34</t>
  </si>
  <si>
    <t>35-41</t>
  </si>
  <si>
    <t>42-44</t>
  </si>
  <si>
    <t>45-48</t>
  </si>
  <si>
    <t>49-51</t>
  </si>
  <si>
    <t>52-55</t>
  </si>
  <si>
    <t>56-59</t>
  </si>
  <si>
    <t>60-62</t>
  </si>
  <si>
    <t>63-65</t>
  </si>
  <si>
    <t>66-69</t>
  </si>
  <si>
    <t>化学</t>
    <phoneticPr fontId="4" type="noConversion"/>
  </si>
  <si>
    <t>15-19</t>
  </si>
  <si>
    <t>20-24</t>
  </si>
  <si>
    <t>25-29</t>
  </si>
  <si>
    <t>30-31</t>
  </si>
  <si>
    <t>32-34</t>
  </si>
  <si>
    <t>35-36</t>
  </si>
  <si>
    <t>37-39</t>
  </si>
  <si>
    <t>40-41</t>
  </si>
  <si>
    <t>45-47</t>
  </si>
  <si>
    <t>48-49</t>
  </si>
  <si>
    <t>政治</t>
    <phoneticPr fontId="4" type="noConversion"/>
  </si>
  <si>
    <t>历史</t>
    <phoneticPr fontId="4" type="noConversion"/>
  </si>
  <si>
    <t>班级成绩</t>
  </si>
  <si>
    <t xml:space="preserve">参评人数 </t>
    <phoneticPr fontId="4" type="noConversion"/>
  </si>
  <si>
    <t>总分分布</t>
  </si>
  <si>
    <t>分数段累计</t>
    <phoneticPr fontId="4" type="noConversion"/>
  </si>
  <si>
    <t>前10</t>
  </si>
  <si>
    <t>前50</t>
  </si>
  <si>
    <t>前100</t>
  </si>
  <si>
    <t>前150</t>
  </si>
  <si>
    <t>前200</t>
  </si>
  <si>
    <t>前250</t>
  </si>
  <si>
    <t>前300</t>
  </si>
  <si>
    <t>前350</t>
  </si>
  <si>
    <t>前400</t>
  </si>
  <si>
    <t>400后</t>
  </si>
  <si>
    <t>八1</t>
    <phoneticPr fontId="4" type="noConversion"/>
  </si>
  <si>
    <t>八2</t>
    <phoneticPr fontId="4" type="noConversion"/>
  </si>
  <si>
    <t>八3</t>
  </si>
  <si>
    <t>八4</t>
  </si>
  <si>
    <t>八5</t>
  </si>
  <si>
    <t>八6</t>
  </si>
  <si>
    <t>八7</t>
  </si>
  <si>
    <t>八8</t>
  </si>
  <si>
    <t>物理</t>
    <phoneticPr fontId="4" type="noConversion"/>
  </si>
  <si>
    <t>地理</t>
    <phoneticPr fontId="4" type="noConversion"/>
  </si>
  <si>
    <t>生物</t>
    <phoneticPr fontId="4" type="noConversion"/>
  </si>
  <si>
    <t>八1</t>
  </si>
  <si>
    <t>八2</t>
  </si>
  <si>
    <t>教师</t>
    <phoneticPr fontId="1" type="noConversion"/>
  </si>
  <si>
    <t>九1</t>
    <phoneticPr fontId="4" type="noConversion"/>
  </si>
  <si>
    <t>九2</t>
    <phoneticPr fontId="4" type="noConversion"/>
  </si>
  <si>
    <t>九3</t>
  </si>
  <si>
    <t>九4</t>
  </si>
  <si>
    <t>九5</t>
  </si>
  <si>
    <t>九6</t>
  </si>
  <si>
    <t>九7</t>
  </si>
  <si>
    <t>九8</t>
  </si>
  <si>
    <t>九9</t>
  </si>
  <si>
    <t>九10</t>
  </si>
  <si>
    <t>七1</t>
    <phoneticPr fontId="4" type="noConversion"/>
  </si>
  <si>
    <t>七2</t>
    <phoneticPr fontId="4" type="noConversion"/>
  </si>
  <si>
    <t>七3</t>
    <phoneticPr fontId="1" type="noConversion"/>
  </si>
  <si>
    <t>七4</t>
  </si>
  <si>
    <t>七5</t>
  </si>
  <si>
    <t>七6</t>
  </si>
  <si>
    <t>七7</t>
  </si>
  <si>
    <t>七8</t>
  </si>
  <si>
    <t>七9</t>
  </si>
  <si>
    <t>生物</t>
    <phoneticPr fontId="1" type="noConversion"/>
  </si>
  <si>
    <t>前200名</t>
  </si>
  <si>
    <t>2023－2024学年九年级考试成绩统计表</t>
    <phoneticPr fontId="4" type="noConversion"/>
  </si>
  <si>
    <t>2023－2024学年七年级考试成绩统计表</t>
    <phoneticPr fontId="4" type="noConversion"/>
  </si>
  <si>
    <t>序号</t>
    <phoneticPr fontId="1" type="noConversion"/>
  </si>
  <si>
    <t>2024－2025学年八年级考试成绩统计表</t>
    <phoneticPr fontId="4" type="noConversion"/>
  </si>
  <si>
    <t>前260名</t>
    <phoneticPr fontId="1" type="noConversion"/>
  </si>
  <si>
    <t>考试人数</t>
  </si>
  <si>
    <t>考试人数</t>
    <phoneticPr fontId="1" type="noConversion"/>
  </si>
  <si>
    <t>参评人数</t>
    <phoneticPr fontId="1" type="noConversion"/>
  </si>
  <si>
    <t>九1</t>
  </si>
  <si>
    <t>九2</t>
  </si>
  <si>
    <t>排序</t>
  </si>
  <si>
    <t>排序</t>
    <phoneticPr fontId="1" type="noConversion"/>
  </si>
  <si>
    <t>备注</t>
    <phoneticPr fontId="1" type="noConversion"/>
  </si>
  <si>
    <t>300→
240-1</t>
  </si>
  <si>
    <t>300→
240-1</t>
    <phoneticPr fontId="1" type="noConversion"/>
  </si>
  <si>
    <t>240→</t>
  </si>
  <si>
    <t>240→</t>
    <phoneticPr fontId="1" type="noConversion"/>
  </si>
  <si>
    <t>→180
240-10</t>
  </si>
  <si>
    <t>→180
240-10</t>
    <phoneticPr fontId="1" type="noConversion"/>
  </si>
  <si>
    <t>→240
240-9</t>
  </si>
  <si>
    <t>→240
240-9</t>
    <phoneticPr fontId="1" type="noConversion"/>
  </si>
  <si>
    <t>→300
240-2</t>
  </si>
  <si>
    <t>→300
240-2</t>
    <phoneticPr fontId="1" type="noConversion"/>
  </si>
  <si>
    <t>48→
1</t>
  </si>
  <si>
    <t>48→
1</t>
    <phoneticPr fontId="1" type="noConversion"/>
  </si>
  <si>
    <t>60→
2</t>
  </si>
  <si>
    <t>60→
2</t>
    <phoneticPr fontId="1" type="noConversion"/>
  </si>
  <si>
    <t>72→
6</t>
  </si>
  <si>
    <t>72→
6</t>
    <phoneticPr fontId="1" type="noConversion"/>
  </si>
  <si>
    <t>84→
7</t>
  </si>
  <si>
    <t>84→
7</t>
    <phoneticPr fontId="1" type="noConversion"/>
  </si>
  <si>
    <t>96→
7</t>
    <phoneticPr fontId="1" type="noConversion"/>
  </si>
  <si>
    <t>108→
7</t>
    <phoneticPr fontId="1" type="noConversion"/>
  </si>
  <si>
    <t>120
7</t>
    <phoneticPr fontId="1" type="noConversion"/>
  </si>
  <si>
    <t>备注</t>
  </si>
  <si>
    <t>积分</t>
    <phoneticPr fontId="1" type="noConversion"/>
  </si>
  <si>
    <t>物理</t>
    <phoneticPr fontId="1" type="noConversion"/>
  </si>
  <si>
    <t>28→
1</t>
  </si>
  <si>
    <t>35→
2</t>
  </si>
  <si>
    <t>42→
6</t>
  </si>
  <si>
    <t>49→
7</t>
  </si>
  <si>
    <t>20→
1</t>
  </si>
  <si>
    <t>25→
2</t>
  </si>
  <si>
    <t>30→
6</t>
  </si>
  <si>
    <t>35→
7</t>
  </si>
  <si>
    <t>八3</t>
    <phoneticPr fontId="1" type="noConversion"/>
  </si>
  <si>
    <t>八8</t>
    <phoneticPr fontId="1" type="noConversion"/>
  </si>
  <si>
    <t>前240</t>
    <phoneticPr fontId="1" type="noConversion"/>
  </si>
  <si>
    <t>前10-10</t>
    <phoneticPr fontId="1" type="noConversion"/>
  </si>
  <si>
    <t>前50-10</t>
    <phoneticPr fontId="1" type="noConversion"/>
  </si>
  <si>
    <t>前100-10</t>
    <phoneticPr fontId="1" type="noConversion"/>
  </si>
  <si>
    <t>前150-10</t>
    <phoneticPr fontId="1" type="noConversion"/>
  </si>
  <si>
    <t>前200-8</t>
    <phoneticPr fontId="1" type="noConversion"/>
  </si>
  <si>
    <t>前240-6</t>
    <phoneticPr fontId="1" type="noConversion"/>
  </si>
  <si>
    <t>前300-1</t>
    <phoneticPr fontId="1" type="noConversion"/>
  </si>
  <si>
    <t>前350-1</t>
    <phoneticPr fontId="1" type="noConversion"/>
  </si>
  <si>
    <t>前400-1</t>
    <phoneticPr fontId="1" type="noConversion"/>
  </si>
  <si>
    <t>400后-1</t>
    <phoneticPr fontId="1" type="noConversion"/>
  </si>
  <si>
    <t>96→
8</t>
  </si>
  <si>
    <t>96→
8</t>
    <phoneticPr fontId="1" type="noConversion"/>
  </si>
  <si>
    <t>108→
9</t>
  </si>
  <si>
    <t>108→
9</t>
    <phoneticPr fontId="1" type="noConversion"/>
  </si>
  <si>
    <t>120
10</t>
  </si>
  <si>
    <t>120
10</t>
    <phoneticPr fontId="1" type="noConversion"/>
  </si>
  <si>
    <t>40→
8</t>
  </si>
  <si>
    <t>40→
8</t>
    <phoneticPr fontId="1" type="noConversion"/>
  </si>
  <si>
    <t>45→
9</t>
  </si>
  <si>
    <t>45→
9</t>
    <phoneticPr fontId="1" type="noConversion"/>
  </si>
  <si>
    <t>50→
10</t>
  </si>
  <si>
    <t>50→
10</t>
    <phoneticPr fontId="1" type="noConversion"/>
  </si>
  <si>
    <t>56→
8</t>
  </si>
  <si>
    <t>56→
8</t>
    <phoneticPr fontId="1" type="noConversion"/>
  </si>
  <si>
    <t>63→
9</t>
  </si>
  <si>
    <t>63→
9</t>
    <phoneticPr fontId="1" type="noConversion"/>
  </si>
  <si>
    <t>70→
10</t>
  </si>
  <si>
    <t>70→
10</t>
    <phoneticPr fontId="1" type="noConversion"/>
  </si>
  <si>
    <t>九2</t>
    <phoneticPr fontId="1" type="noConversion"/>
  </si>
  <si>
    <t>九11</t>
  </si>
  <si>
    <t>九12</t>
  </si>
  <si>
    <t>九13</t>
  </si>
  <si>
    <t>九14</t>
  </si>
  <si>
    <t>九15</t>
  </si>
  <si>
    <t>九16</t>
  </si>
  <si>
    <t>九17</t>
  </si>
  <si>
    <t>九18</t>
  </si>
  <si>
    <t>九19</t>
  </si>
  <si>
    <t>九20</t>
  </si>
  <si>
    <t>九21</t>
  </si>
  <si>
    <t>九22</t>
  </si>
  <si>
    <t>九23</t>
  </si>
  <si>
    <t>九24</t>
  </si>
  <si>
    <t>九25</t>
  </si>
  <si>
    <t>九26</t>
  </si>
  <si>
    <t>九27</t>
  </si>
  <si>
    <t>九28</t>
  </si>
  <si>
    <t>九29</t>
  </si>
  <si>
    <t>九30</t>
  </si>
  <si>
    <t>九31</t>
  </si>
  <si>
    <t>九32</t>
  </si>
  <si>
    <t>九33</t>
  </si>
  <si>
    <t>九3</t>
    <phoneticPr fontId="1" type="noConversion"/>
  </si>
  <si>
    <t>九34</t>
  </si>
  <si>
    <t>九35</t>
  </si>
  <si>
    <t>九36</t>
  </si>
  <si>
    <t>九37</t>
  </si>
  <si>
    <t>九38</t>
  </si>
  <si>
    <t>九39</t>
  </si>
  <si>
    <t>九40</t>
  </si>
  <si>
    <t>七2</t>
  </si>
  <si>
    <t>七2</t>
    <phoneticPr fontId="1" type="noConversion"/>
  </si>
  <si>
    <t>七3</t>
  </si>
  <si>
    <t>七10</t>
  </si>
  <si>
    <t>七11</t>
  </si>
  <si>
    <t>七12</t>
  </si>
  <si>
    <t>七13</t>
  </si>
  <si>
    <t>七14</t>
  </si>
  <si>
    <t>七15</t>
  </si>
  <si>
    <t>七16</t>
  </si>
  <si>
    <t>七17</t>
  </si>
  <si>
    <t>七18</t>
  </si>
  <si>
    <t>七19</t>
  </si>
  <si>
    <t>七20</t>
  </si>
  <si>
    <t>七21</t>
  </si>
  <si>
    <t>七22</t>
  </si>
  <si>
    <t>七23</t>
  </si>
  <si>
    <t>七24</t>
  </si>
  <si>
    <t>七25</t>
  </si>
  <si>
    <t>七26</t>
  </si>
  <si>
    <t>七27</t>
  </si>
  <si>
    <t>七28</t>
  </si>
  <si>
    <t>七29</t>
  </si>
  <si>
    <t>七30</t>
  </si>
  <si>
    <t>七31</t>
  </si>
  <si>
    <t>七32</t>
  </si>
  <si>
    <t>七33</t>
  </si>
  <si>
    <t>七34</t>
  </si>
  <si>
    <t>七35</t>
  </si>
  <si>
    <t>七36</t>
  </si>
  <si>
    <t>七37</t>
  </si>
  <si>
    <t>七38</t>
  </si>
  <si>
    <t>七39</t>
  </si>
  <si>
    <t>七40</t>
  </si>
  <si>
    <t>七1</t>
  </si>
  <si>
    <t>八2</t>
    <phoneticPr fontId="1" type="noConversion"/>
  </si>
  <si>
    <t>八9</t>
  </si>
  <si>
    <t>八10</t>
  </si>
  <si>
    <t>八11</t>
  </si>
  <si>
    <t>八12</t>
  </si>
  <si>
    <t>八13</t>
  </si>
  <si>
    <t>八14</t>
  </si>
  <si>
    <t>八15</t>
  </si>
  <si>
    <t>八16</t>
  </si>
  <si>
    <t>八17</t>
  </si>
  <si>
    <t>八18</t>
  </si>
  <si>
    <t>八19</t>
  </si>
  <si>
    <t>八20</t>
  </si>
  <si>
    <t>八21</t>
  </si>
  <si>
    <t>八22</t>
  </si>
  <si>
    <t>八23</t>
  </si>
  <si>
    <t>八24</t>
  </si>
  <si>
    <t>八25</t>
  </si>
  <si>
    <t>八26</t>
  </si>
  <si>
    <t>八27</t>
  </si>
  <si>
    <t>八28</t>
  </si>
  <si>
    <t>八29</t>
  </si>
  <si>
    <t>八30</t>
  </si>
  <si>
    <t>八31</t>
  </si>
  <si>
    <t>八32</t>
  </si>
  <si>
    <t>八33</t>
  </si>
  <si>
    <t>八34</t>
  </si>
  <si>
    <t>八35</t>
  </si>
  <si>
    <t>八36</t>
  </si>
  <si>
    <t>八37</t>
  </si>
  <si>
    <t>八38</t>
  </si>
  <si>
    <t>八39</t>
  </si>
  <si>
    <t>八40</t>
  </si>
  <si>
    <t>统计人数</t>
    <phoneticPr fontId="1" type="noConversion"/>
  </si>
  <si>
    <t>前10
-10</t>
    <phoneticPr fontId="1" type="noConversion"/>
  </si>
  <si>
    <t>前50
-10</t>
    <phoneticPr fontId="1" type="noConversion"/>
  </si>
  <si>
    <t>前100
-10</t>
    <phoneticPr fontId="1" type="noConversion"/>
  </si>
  <si>
    <t>前150
-10</t>
    <phoneticPr fontId="1" type="noConversion"/>
  </si>
  <si>
    <t>前200
-8</t>
    <phoneticPr fontId="1" type="noConversion"/>
  </si>
  <si>
    <t>前240
-6</t>
    <phoneticPr fontId="1" type="noConversion"/>
  </si>
  <si>
    <t>前300
-1</t>
    <phoneticPr fontId="1" type="noConversion"/>
  </si>
  <si>
    <t>前350
-1</t>
    <phoneticPr fontId="1" type="noConversion"/>
  </si>
  <si>
    <t>前400
-1</t>
    <phoneticPr fontId="1" type="noConversion"/>
  </si>
  <si>
    <t>400后
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</si>
</sst>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.0%"/>
    <numFmt numFmtId="178" formatCode="0.00_ "/>
    <numFmt numFmtId="179" formatCode="0.0_ "/>
    <numFmt numFmtId="180" formatCode="0.0_);[Red]\(0.0\)"/>
  </numFmts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name val="宋体"/>
      <family val="3"/>
      <charset val="134"/>
    </font>
    <font>
      <b/>
      <sz val="16"/>
      <name val="华文中宋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1"/>
      <name val="宋体"/>
      <family val="3"/>
      <charset val="134"/>
    </font>
    <font>
      <sz val="10"/>
      <name val="仿宋"/>
      <family val="3"/>
      <charset val="134"/>
    </font>
    <font>
      <sz val="11"/>
      <name val="宋体"/>
      <family val="3"/>
      <charset val="134"/>
    </font>
    <font>
      <sz val="10"/>
      <name val="黑体"/>
      <family val="3"/>
      <charset val="134"/>
    </font>
    <font>
      <sz val="9"/>
      <name val="仿宋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b/>
      <sz val="10"/>
      <name val="宋体"/>
      <family val="3"/>
      <charset val="134"/>
    </font>
    <font>
      <sz val="12"/>
      <name val="仿宋"/>
      <family val="3"/>
      <charset val="134"/>
    </font>
    <font>
      <sz val="9"/>
      <name val="黑体"/>
      <family val="3"/>
      <charset val="134"/>
    </font>
    <font>
      <sz val="12"/>
      <name val="华文中宋"/>
      <family val="3"/>
      <charset val="134"/>
    </font>
    <font>
      <sz val="9"/>
      <name val="微软雅黑"/>
      <family val="2"/>
      <charset val="134"/>
    </font>
    <font>
      <sz val="10"/>
      <name val="微软雅黑"/>
      <family val="2"/>
      <charset val="134"/>
    </font>
    <font>
      <b/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7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7">
    <xf numFmtId="0" fontId="0" fillId="0" borderId="0"/>
    <xf numFmtId="0" fontId="2" fillId="0" borderId="0"/>
    <xf numFmtId="0" fontId="2" fillId="0" borderId="0"/>
    <xf numFmtId="0" fontId="11" fillId="0" borderId="0"/>
    <xf numFmtId="0" fontId="12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</cellStyleXfs>
  <cellXfs count="416">
    <xf numFmtId="0" fontId="0" fillId="0" borderId="0" xfId="0"/>
    <xf numFmtId="0" fontId="5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76" fontId="7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9" fillId="0" borderId="8" xfId="1" applyFont="1" applyBorder="1" applyAlignment="1">
      <alignment horizontal="center" vertical="center" wrapText="1"/>
    </xf>
    <xf numFmtId="0" fontId="9" fillId="0" borderId="11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/>
    </xf>
    <xf numFmtId="0" fontId="10" fillId="0" borderId="17" xfId="1" applyFont="1" applyBorder="1" applyAlignment="1">
      <alignment horizontal="center" vertical="center"/>
    </xf>
    <xf numFmtId="0" fontId="10" fillId="0" borderId="25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58" fontId="9" fillId="0" borderId="12" xfId="1" applyNumberFormat="1" applyFont="1" applyBorder="1" applyAlignment="1">
      <alignment horizontal="center" vertical="center" wrapText="1"/>
    </xf>
    <xf numFmtId="0" fontId="9" fillId="0" borderId="29" xfId="1" applyFont="1" applyBorder="1" applyAlignment="1">
      <alignment horizontal="center" vertical="center" wrapText="1"/>
    </xf>
    <xf numFmtId="58" fontId="9" fillId="0" borderId="29" xfId="1" applyNumberFormat="1" applyFont="1" applyBorder="1" applyAlignment="1">
      <alignment horizontal="center" vertical="center" wrapText="1"/>
    </xf>
    <xf numFmtId="0" fontId="9" fillId="0" borderId="32" xfId="1" applyFont="1" applyBorder="1" applyAlignment="1">
      <alignment horizontal="center" vertical="center" wrapText="1"/>
    </xf>
    <xf numFmtId="0" fontId="9" fillId="0" borderId="28" xfId="1" applyFont="1" applyBorder="1" applyAlignment="1">
      <alignment horizontal="center" vertical="center" wrapText="1"/>
    </xf>
    <xf numFmtId="0" fontId="3" fillId="0" borderId="0" xfId="1" applyFont="1" applyAlignment="1">
      <alignment vertical="center"/>
    </xf>
    <xf numFmtId="0" fontId="5" fillId="0" borderId="0" xfId="1" applyFont="1" applyAlignment="1" applyProtection="1">
      <alignment horizontal="center" vertical="center"/>
      <protection locked="0"/>
    </xf>
    <xf numFmtId="14" fontId="8" fillId="0" borderId="0" xfId="1" applyNumberFormat="1" applyFont="1" applyAlignment="1">
      <alignment vertical="center"/>
    </xf>
    <xf numFmtId="0" fontId="8" fillId="0" borderId="0" xfId="1" applyFont="1" applyAlignment="1">
      <alignment vertical="center"/>
    </xf>
    <xf numFmtId="176" fontId="8" fillId="0" borderId="0" xfId="1" applyNumberFormat="1" applyFont="1" applyAlignment="1">
      <alignment vertical="center"/>
    </xf>
    <xf numFmtId="0" fontId="8" fillId="0" borderId="0" xfId="1" applyFont="1" applyAlignment="1" applyProtection="1">
      <alignment horizontal="center" vertical="center"/>
      <protection locked="0"/>
    </xf>
    <xf numFmtId="0" fontId="5" fillId="0" borderId="0" xfId="1" applyFont="1" applyAlignment="1" applyProtection="1">
      <alignment horizontal="center" vertical="center" wrapText="1"/>
      <protection locked="0"/>
    </xf>
    <xf numFmtId="176" fontId="9" fillId="0" borderId="13" xfId="1" applyNumberFormat="1" applyFont="1" applyBorder="1" applyAlignment="1">
      <alignment horizontal="center" vertical="center" wrapText="1"/>
    </xf>
    <xf numFmtId="0" fontId="10" fillId="2" borderId="2" xfId="2" applyFont="1" applyFill="1" applyBorder="1" applyAlignment="1" applyProtection="1">
      <alignment horizontal="center" vertical="center" wrapText="1"/>
      <protection locked="0"/>
    </xf>
    <xf numFmtId="0" fontId="10" fillId="0" borderId="3" xfId="1" applyFont="1" applyBorder="1" applyAlignment="1">
      <alignment horizontal="center" vertical="center"/>
    </xf>
    <xf numFmtId="0" fontId="10" fillId="2" borderId="1" xfId="1" applyFont="1" applyFill="1" applyBorder="1" applyAlignment="1" applyProtection="1">
      <alignment horizontal="center" vertical="center"/>
      <protection locked="0"/>
    </xf>
    <xf numFmtId="0" fontId="11" fillId="2" borderId="5" xfId="3" applyFill="1" applyBorder="1" applyAlignment="1" applyProtection="1">
      <alignment horizontal="center" vertical="center"/>
      <protection locked="0"/>
    </xf>
    <xf numFmtId="0" fontId="11" fillId="2" borderId="6" xfId="3" applyFill="1" applyBorder="1" applyAlignment="1" applyProtection="1">
      <alignment horizontal="center" vertical="center"/>
      <protection locked="0"/>
    </xf>
    <xf numFmtId="0" fontId="11" fillId="2" borderId="7" xfId="3" applyFill="1" applyBorder="1" applyAlignment="1" applyProtection="1">
      <alignment horizontal="center" vertical="center"/>
      <protection locked="0"/>
    </xf>
    <xf numFmtId="0" fontId="10" fillId="0" borderId="5" xfId="1" applyFont="1" applyBorder="1" applyAlignment="1">
      <alignment horizontal="center" vertical="center" shrinkToFit="1"/>
    </xf>
    <xf numFmtId="177" fontId="10" fillId="0" borderId="6" xfId="1" applyNumberFormat="1" applyFont="1" applyBorder="1" applyAlignment="1">
      <alignment horizontal="center" vertical="center" shrinkToFit="1"/>
    </xf>
    <xf numFmtId="0" fontId="10" fillId="0" borderId="6" xfId="1" applyFont="1" applyBorder="1" applyAlignment="1">
      <alignment horizontal="center" vertical="center" shrinkToFit="1"/>
    </xf>
    <xf numFmtId="10" fontId="10" fillId="0" borderId="15" xfId="1" applyNumberFormat="1" applyFont="1" applyBorder="1" applyAlignment="1" applyProtection="1">
      <alignment horizontal="center" vertical="center" shrinkToFit="1"/>
      <protection hidden="1"/>
    </xf>
    <xf numFmtId="178" fontId="11" fillId="2" borderId="1" xfId="1" applyNumberFormat="1" applyFont="1" applyFill="1" applyBorder="1" applyAlignment="1" applyProtection="1">
      <alignment horizontal="center" shrinkToFit="1"/>
      <protection locked="0"/>
    </xf>
    <xf numFmtId="0" fontId="10" fillId="2" borderId="18" xfId="2" applyFont="1" applyFill="1" applyBorder="1" applyAlignment="1" applyProtection="1">
      <alignment horizontal="center" vertical="center" wrapText="1"/>
      <protection locked="0"/>
    </xf>
    <xf numFmtId="0" fontId="10" fillId="0" borderId="19" xfId="1" applyFont="1" applyBorder="1" applyAlignment="1">
      <alignment horizontal="center" vertical="center"/>
    </xf>
    <xf numFmtId="0" fontId="10" fillId="2" borderId="17" xfId="1" applyFont="1" applyFill="1" applyBorder="1" applyAlignment="1" applyProtection="1">
      <alignment horizontal="center" vertical="center"/>
      <protection locked="0"/>
    </xf>
    <xf numFmtId="0" fontId="11" fillId="2" borderId="20" xfId="3" applyFill="1" applyBorder="1" applyAlignment="1" applyProtection="1">
      <alignment horizontal="center" vertical="center"/>
      <protection locked="0"/>
    </xf>
    <xf numFmtId="0" fontId="11" fillId="2" borderId="21" xfId="3" applyFill="1" applyBorder="1" applyAlignment="1" applyProtection="1">
      <alignment horizontal="center" vertical="center"/>
      <protection locked="0"/>
    </xf>
    <xf numFmtId="0" fontId="11" fillId="2" borderId="24" xfId="3" applyFill="1" applyBorder="1" applyAlignment="1" applyProtection="1">
      <alignment horizontal="center" vertical="center"/>
      <protection locked="0"/>
    </xf>
    <xf numFmtId="0" fontId="10" fillId="0" borderId="20" xfId="1" applyFont="1" applyBorder="1" applyAlignment="1">
      <alignment horizontal="center" vertical="center" shrinkToFit="1"/>
    </xf>
    <xf numFmtId="177" fontId="10" fillId="0" borderId="21" xfId="1" applyNumberFormat="1" applyFont="1" applyBorder="1" applyAlignment="1">
      <alignment horizontal="center" vertical="center" shrinkToFit="1"/>
    </xf>
    <xf numFmtId="0" fontId="10" fillId="0" borderId="21" xfId="1" applyFont="1" applyBorder="1" applyAlignment="1">
      <alignment horizontal="center" vertical="center" shrinkToFit="1"/>
    </xf>
    <xf numFmtId="10" fontId="10" fillId="0" borderId="22" xfId="1" applyNumberFormat="1" applyFont="1" applyBorder="1" applyAlignment="1" applyProtection="1">
      <alignment horizontal="center" vertical="center" shrinkToFit="1"/>
      <protection hidden="1"/>
    </xf>
    <xf numFmtId="178" fontId="11" fillId="2" borderId="17" xfId="1" applyNumberFormat="1" applyFont="1" applyFill="1" applyBorder="1" applyAlignment="1" applyProtection="1">
      <alignment horizontal="center" shrinkToFit="1"/>
      <protection locked="0"/>
    </xf>
    <xf numFmtId="0" fontId="10" fillId="2" borderId="26" xfId="2" applyFont="1" applyFill="1" applyBorder="1" applyAlignment="1" applyProtection="1">
      <alignment horizontal="center" vertical="center" wrapText="1"/>
      <protection locked="0"/>
    </xf>
    <xf numFmtId="0" fontId="10" fillId="0" borderId="27" xfId="1" applyFont="1" applyBorder="1" applyAlignment="1">
      <alignment horizontal="center" vertical="center"/>
    </xf>
    <xf numFmtId="0" fontId="10" fillId="2" borderId="25" xfId="1" applyFont="1" applyFill="1" applyBorder="1" applyAlignment="1" applyProtection="1">
      <alignment horizontal="center" vertical="center"/>
      <protection locked="0"/>
    </xf>
    <xf numFmtId="0" fontId="11" fillId="2" borderId="28" xfId="3" applyFill="1" applyBorder="1" applyAlignment="1" applyProtection="1">
      <alignment horizontal="center" vertical="center"/>
      <protection locked="0"/>
    </xf>
    <xf numFmtId="0" fontId="11" fillId="2" borderId="29" xfId="3" applyFill="1" applyBorder="1" applyAlignment="1" applyProtection="1">
      <alignment horizontal="center" vertical="center"/>
      <protection locked="0"/>
    </xf>
    <xf numFmtId="177" fontId="10" fillId="0" borderId="29" xfId="1" applyNumberFormat="1" applyFont="1" applyBorder="1" applyAlignment="1">
      <alignment horizontal="center" vertical="center" shrinkToFit="1"/>
    </xf>
    <xf numFmtId="0" fontId="10" fillId="0" borderId="29" xfId="1" applyFont="1" applyBorder="1" applyAlignment="1">
      <alignment horizontal="center" vertical="center" shrinkToFit="1"/>
    </xf>
    <xf numFmtId="0" fontId="10" fillId="0" borderId="44" xfId="1" applyFont="1" applyBorder="1" applyAlignment="1">
      <alignment horizontal="center" vertical="center"/>
    </xf>
    <xf numFmtId="0" fontId="10" fillId="0" borderId="45" xfId="2" applyFont="1" applyBorder="1" applyAlignment="1">
      <alignment horizontal="center" vertical="center" wrapText="1"/>
    </xf>
    <xf numFmtId="0" fontId="10" fillId="0" borderId="46" xfId="1" applyFont="1" applyBorder="1" applyAlignment="1">
      <alignment horizontal="center" vertical="center"/>
    </xf>
    <xf numFmtId="0" fontId="10" fillId="0" borderId="47" xfId="1" applyFont="1" applyBorder="1" applyAlignment="1">
      <alignment horizontal="center" vertical="center"/>
    </xf>
    <xf numFmtId="0" fontId="10" fillId="0" borderId="48" xfId="1" applyFont="1" applyBorder="1" applyAlignment="1">
      <alignment horizontal="center" vertical="center"/>
    </xf>
    <xf numFmtId="0" fontId="14" fillId="0" borderId="45" xfId="1" applyFont="1" applyBorder="1" applyAlignment="1">
      <alignment horizontal="center" vertical="center"/>
    </xf>
    <xf numFmtId="0" fontId="14" fillId="0" borderId="46" xfId="1" applyFont="1" applyBorder="1" applyAlignment="1">
      <alignment horizontal="center" vertical="center"/>
    </xf>
    <xf numFmtId="0" fontId="14" fillId="0" borderId="49" xfId="1" applyFont="1" applyBorder="1" applyAlignment="1">
      <alignment horizontal="center" vertical="center"/>
    </xf>
    <xf numFmtId="0" fontId="10" fillId="0" borderId="45" xfId="1" applyFont="1" applyBorder="1" applyAlignment="1">
      <alignment horizontal="center" vertical="center" shrinkToFit="1"/>
    </xf>
    <xf numFmtId="10" fontId="10" fillId="0" borderId="46" xfId="1" applyNumberFormat="1" applyFont="1" applyBorder="1" applyAlignment="1">
      <alignment horizontal="center" vertical="center" shrinkToFit="1"/>
    </xf>
    <xf numFmtId="0" fontId="10" fillId="0" borderId="46" xfId="1" applyFont="1" applyBorder="1" applyAlignment="1">
      <alignment horizontal="center" vertical="center" shrinkToFit="1"/>
    </xf>
    <xf numFmtId="178" fontId="10" fillId="0" borderId="46" xfId="1" applyNumberFormat="1" applyFont="1" applyBorder="1" applyAlignment="1">
      <alignment horizontal="center" vertical="center" shrinkToFit="1"/>
    </xf>
    <xf numFmtId="10" fontId="10" fillId="0" borderId="0" xfId="1" applyNumberFormat="1" applyFont="1" applyAlignment="1">
      <alignment horizontal="center" vertical="center"/>
    </xf>
    <xf numFmtId="176" fontId="10" fillId="0" borderId="0" xfId="6" applyNumberFormat="1" applyFont="1" applyBorder="1" applyAlignment="1">
      <alignment horizontal="center" vertical="center"/>
    </xf>
    <xf numFmtId="10" fontId="5" fillId="0" borderId="33" xfId="1" applyNumberFormat="1" applyFont="1" applyBorder="1" applyAlignment="1">
      <alignment horizontal="center" vertical="center"/>
    </xf>
    <xf numFmtId="176" fontId="5" fillId="0" borderId="33" xfId="6" applyNumberFormat="1" applyFont="1" applyBorder="1" applyAlignment="1">
      <alignment horizontal="center" vertical="center"/>
    </xf>
    <xf numFmtId="0" fontId="11" fillId="2" borderId="15" xfId="3" applyFill="1" applyBorder="1" applyAlignment="1" applyProtection="1">
      <alignment horizontal="center" vertical="center"/>
      <protection locked="0"/>
    </xf>
    <xf numFmtId="0" fontId="10" fillId="0" borderId="16" xfId="1" applyFont="1" applyBorder="1" applyAlignment="1">
      <alignment horizontal="center" vertical="center" shrinkToFit="1"/>
    </xf>
    <xf numFmtId="10" fontId="10" fillId="0" borderId="6" xfId="1" applyNumberFormat="1" applyFont="1" applyBorder="1" applyAlignment="1" applyProtection="1">
      <alignment horizontal="center" vertical="center" shrinkToFit="1"/>
      <protection hidden="1"/>
    </xf>
    <xf numFmtId="178" fontId="11" fillId="2" borderId="7" xfId="3" applyNumberFormat="1" applyFill="1" applyBorder="1" applyAlignment="1" applyProtection="1">
      <alignment horizontal="center" shrinkToFit="1"/>
      <protection locked="0"/>
    </xf>
    <xf numFmtId="0" fontId="11" fillId="2" borderId="22" xfId="3" applyFill="1" applyBorder="1" applyAlignment="1" applyProtection="1">
      <alignment horizontal="center" vertical="center"/>
      <protection locked="0"/>
    </xf>
    <xf numFmtId="0" fontId="10" fillId="0" borderId="23" xfId="1" applyFont="1" applyBorder="1" applyAlignment="1">
      <alignment horizontal="center" vertical="center" shrinkToFit="1"/>
    </xf>
    <xf numFmtId="10" fontId="10" fillId="0" borderId="21" xfId="1" applyNumberFormat="1" applyFont="1" applyBorder="1" applyAlignment="1" applyProtection="1">
      <alignment horizontal="center" vertical="center" shrinkToFit="1"/>
      <protection hidden="1"/>
    </xf>
    <xf numFmtId="178" fontId="11" fillId="2" borderId="24" xfId="3" applyNumberFormat="1" applyFill="1" applyBorder="1" applyAlignment="1" applyProtection="1">
      <alignment horizontal="center" shrinkToFit="1"/>
      <protection locked="0"/>
    </xf>
    <xf numFmtId="0" fontId="11" fillId="2" borderId="30" xfId="3" applyFill="1" applyBorder="1" applyAlignment="1" applyProtection="1">
      <alignment horizontal="center" vertical="center"/>
      <protection locked="0"/>
    </xf>
    <xf numFmtId="0" fontId="10" fillId="0" borderId="31" xfId="1" applyFont="1" applyBorder="1" applyAlignment="1">
      <alignment horizontal="center" vertical="center" shrinkToFit="1"/>
    </xf>
    <xf numFmtId="10" fontId="10" fillId="0" borderId="29" xfId="1" applyNumberFormat="1" applyFont="1" applyBorder="1" applyAlignment="1" applyProtection="1">
      <alignment horizontal="center" vertical="center" shrinkToFit="1"/>
      <protection hidden="1"/>
    </xf>
    <xf numFmtId="0" fontId="14" fillId="0" borderId="50" xfId="1" applyFont="1" applyBorder="1" applyAlignment="1">
      <alignment horizontal="center" vertical="center"/>
    </xf>
    <xf numFmtId="0" fontId="14" fillId="0" borderId="47" xfId="1" applyFont="1" applyBorder="1" applyAlignment="1">
      <alignment horizontal="center" vertical="center"/>
    </xf>
    <xf numFmtId="0" fontId="10" fillId="0" borderId="50" xfId="1" applyFont="1" applyBorder="1" applyAlignment="1">
      <alignment horizontal="center" vertical="center" shrinkToFit="1"/>
    </xf>
    <xf numFmtId="10" fontId="5" fillId="0" borderId="0" xfId="1" applyNumberFormat="1" applyFont="1" applyAlignment="1">
      <alignment horizontal="center" vertical="center"/>
    </xf>
    <xf numFmtId="176" fontId="5" fillId="0" borderId="0" xfId="1" applyNumberFormat="1" applyFont="1" applyAlignment="1">
      <alignment horizontal="center" vertical="center"/>
    </xf>
    <xf numFmtId="0" fontId="10" fillId="0" borderId="45" xfId="1" applyFont="1" applyBorder="1" applyAlignment="1">
      <alignment horizontal="center" vertical="center"/>
    </xf>
    <xf numFmtId="179" fontId="10" fillId="0" borderId="46" xfId="1" applyNumberFormat="1" applyFont="1" applyBorder="1" applyAlignment="1">
      <alignment horizontal="center" vertical="center" shrinkToFit="1"/>
    </xf>
    <xf numFmtId="0" fontId="10" fillId="2" borderId="3" xfId="1" applyFont="1" applyFill="1" applyBorder="1" applyAlignment="1" applyProtection="1">
      <alignment horizontal="center" vertical="center"/>
      <protection locked="0"/>
    </xf>
    <xf numFmtId="0" fontId="10" fillId="2" borderId="19" xfId="1" applyFont="1" applyFill="1" applyBorder="1" applyAlignment="1" applyProtection="1">
      <alignment horizontal="center" vertical="center"/>
      <protection locked="0"/>
    </xf>
    <xf numFmtId="0" fontId="7" fillId="0" borderId="44" xfId="1" applyFont="1" applyBorder="1" applyAlignment="1">
      <alignment horizontal="center" vertical="center"/>
    </xf>
    <xf numFmtId="0" fontId="7" fillId="0" borderId="45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5" xfId="1" applyFont="1" applyBorder="1" applyAlignment="1">
      <alignment horizontal="center" vertical="center"/>
    </xf>
    <xf numFmtId="0" fontId="10" fillId="0" borderId="36" xfId="1" applyFont="1" applyBorder="1" applyAlignment="1">
      <alignment horizontal="center" vertical="center"/>
    </xf>
    <xf numFmtId="0" fontId="7" fillId="2" borderId="5" xfId="3" applyFont="1" applyFill="1" applyBorder="1" applyAlignment="1" applyProtection="1">
      <alignment horizontal="center" vertical="center"/>
      <protection locked="0"/>
    </xf>
    <xf numFmtId="0" fontId="7" fillId="2" borderId="6" xfId="3" applyFont="1" applyFill="1" applyBorder="1" applyAlignment="1" applyProtection="1">
      <alignment horizontal="center" vertical="center"/>
      <protection locked="0"/>
    </xf>
    <xf numFmtId="0" fontId="7" fillId="2" borderId="15" xfId="3" applyFont="1" applyFill="1" applyBorder="1" applyAlignment="1" applyProtection="1">
      <alignment horizontal="center" vertical="center"/>
      <protection locked="0"/>
    </xf>
    <xf numFmtId="178" fontId="7" fillId="2" borderId="7" xfId="3" applyNumberFormat="1" applyFont="1" applyFill="1" applyBorder="1" applyAlignment="1" applyProtection="1">
      <alignment horizontal="center" shrinkToFit="1"/>
      <protection locked="0"/>
    </xf>
    <xf numFmtId="0" fontId="7" fillId="2" borderId="20" xfId="3" applyFont="1" applyFill="1" applyBorder="1" applyAlignment="1" applyProtection="1">
      <alignment horizontal="center" vertical="center"/>
      <protection locked="0"/>
    </xf>
    <xf numFmtId="0" fontId="7" fillId="2" borderId="21" xfId="3" applyFont="1" applyFill="1" applyBorder="1" applyAlignment="1" applyProtection="1">
      <alignment horizontal="center" vertical="center"/>
      <protection locked="0"/>
    </xf>
    <xf numFmtId="0" fontId="7" fillId="2" borderId="22" xfId="3" applyFont="1" applyFill="1" applyBorder="1" applyAlignment="1" applyProtection="1">
      <alignment horizontal="center" vertical="center"/>
      <protection locked="0"/>
    </xf>
    <xf numFmtId="178" fontId="7" fillId="2" borderId="24" xfId="3" applyNumberFormat="1" applyFont="1" applyFill="1" applyBorder="1" applyAlignment="1" applyProtection="1">
      <alignment horizontal="center" shrinkToFit="1"/>
      <protection locked="0"/>
    </xf>
    <xf numFmtId="0" fontId="7" fillId="0" borderId="46" xfId="1" applyFont="1" applyBorder="1" applyAlignment="1">
      <alignment horizontal="center" vertical="center"/>
    </xf>
    <xf numFmtId="0" fontId="7" fillId="2" borderId="37" xfId="3" applyFont="1" applyFill="1" applyBorder="1" applyAlignment="1" applyProtection="1">
      <alignment horizontal="center" vertical="center"/>
      <protection locked="0"/>
    </xf>
    <xf numFmtId="0" fontId="7" fillId="2" borderId="38" xfId="3" applyFont="1" applyFill="1" applyBorder="1" applyAlignment="1" applyProtection="1">
      <alignment horizontal="center" vertical="center"/>
      <protection locked="0"/>
    </xf>
    <xf numFmtId="0" fontId="7" fillId="2" borderId="39" xfId="3" applyFont="1" applyFill="1" applyBorder="1" applyAlignment="1" applyProtection="1">
      <alignment horizontal="center" vertical="center"/>
      <protection locked="0"/>
    </xf>
    <xf numFmtId="0" fontId="9" fillId="0" borderId="48" xfId="1" applyFont="1" applyBorder="1" applyAlignment="1">
      <alignment horizontal="center" vertical="center"/>
    </xf>
    <xf numFmtId="176" fontId="5" fillId="0" borderId="33" xfId="1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2" borderId="37" xfId="3" applyFont="1" applyFill="1" applyBorder="1" applyAlignment="1" applyProtection="1">
      <alignment horizontal="center" vertical="center"/>
      <protection locked="0"/>
    </xf>
    <xf numFmtId="0" fontId="9" fillId="2" borderId="38" xfId="3" applyFont="1" applyFill="1" applyBorder="1" applyAlignment="1" applyProtection="1">
      <alignment horizontal="center" vertical="center"/>
      <protection locked="0"/>
    </xf>
    <xf numFmtId="0" fontId="9" fillId="2" borderId="39" xfId="3" applyFont="1" applyFill="1" applyBorder="1" applyAlignment="1" applyProtection="1">
      <alignment horizontal="center" vertical="center"/>
      <protection locked="0"/>
    </xf>
    <xf numFmtId="0" fontId="9" fillId="0" borderId="16" xfId="1" applyFont="1" applyBorder="1" applyAlignment="1">
      <alignment horizontal="center" vertical="center" shrinkToFit="1"/>
    </xf>
    <xf numFmtId="177" fontId="9" fillId="0" borderId="6" xfId="1" applyNumberFormat="1" applyFont="1" applyBorder="1" applyAlignment="1">
      <alignment horizontal="center" vertical="center" shrinkToFit="1"/>
    </xf>
    <xf numFmtId="0" fontId="9" fillId="0" borderId="6" xfId="1" applyFont="1" applyBorder="1" applyAlignment="1">
      <alignment horizontal="center" vertical="center" shrinkToFit="1"/>
    </xf>
    <xf numFmtId="10" fontId="9" fillId="0" borderId="6" xfId="1" applyNumberFormat="1" applyFont="1" applyBorder="1" applyAlignment="1" applyProtection="1">
      <alignment horizontal="center" vertical="center" shrinkToFit="1"/>
      <protection hidden="1"/>
    </xf>
    <xf numFmtId="0" fontId="9" fillId="0" borderId="17" xfId="1" applyFont="1" applyBorder="1" applyAlignment="1">
      <alignment horizontal="center" vertical="center"/>
    </xf>
    <xf numFmtId="0" fontId="9" fillId="2" borderId="20" xfId="3" applyFont="1" applyFill="1" applyBorder="1" applyAlignment="1" applyProtection="1">
      <alignment horizontal="center" vertical="center"/>
      <protection locked="0"/>
    </xf>
    <xf numFmtId="0" fontId="9" fillId="2" borderId="21" xfId="3" applyFont="1" applyFill="1" applyBorder="1" applyAlignment="1" applyProtection="1">
      <alignment horizontal="center" vertical="center"/>
      <protection locked="0"/>
    </xf>
    <xf numFmtId="0" fontId="9" fillId="2" borderId="22" xfId="3" applyFont="1" applyFill="1" applyBorder="1" applyAlignment="1" applyProtection="1">
      <alignment horizontal="center" vertical="center"/>
      <protection locked="0"/>
    </xf>
    <xf numFmtId="0" fontId="9" fillId="0" borderId="23" xfId="1" applyFont="1" applyBorder="1" applyAlignment="1">
      <alignment horizontal="center" vertical="center" shrinkToFit="1"/>
    </xf>
    <xf numFmtId="177" fontId="9" fillId="0" borderId="21" xfId="1" applyNumberFormat="1" applyFont="1" applyBorder="1" applyAlignment="1">
      <alignment horizontal="center" vertical="center" shrinkToFit="1"/>
    </xf>
    <xf numFmtId="0" fontId="9" fillId="0" borderId="21" xfId="1" applyFont="1" applyBorder="1" applyAlignment="1">
      <alignment horizontal="center" vertical="center" shrinkToFit="1"/>
    </xf>
    <xf numFmtId="10" fontId="9" fillId="0" borderId="21" xfId="1" applyNumberFormat="1" applyFont="1" applyBorder="1" applyAlignment="1" applyProtection="1">
      <alignment horizontal="center" vertical="center" shrinkToFit="1"/>
      <protection hidden="1"/>
    </xf>
    <xf numFmtId="0" fontId="9" fillId="0" borderId="44" xfId="1" applyFont="1" applyBorder="1" applyAlignment="1">
      <alignment horizontal="center" vertical="center"/>
    </xf>
    <xf numFmtId="0" fontId="9" fillId="0" borderId="45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/>
    </xf>
    <xf numFmtId="0" fontId="9" fillId="0" borderId="47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center" shrinkToFit="1"/>
    </xf>
    <xf numFmtId="10" fontId="9" fillId="0" borderId="46" xfId="1" applyNumberFormat="1" applyFont="1" applyBorder="1" applyAlignment="1">
      <alignment horizontal="center" vertical="center" shrinkToFit="1"/>
    </xf>
    <xf numFmtId="0" fontId="9" fillId="0" borderId="46" xfId="1" applyFont="1" applyBorder="1" applyAlignment="1">
      <alignment horizontal="center" vertical="center" shrinkToFit="1"/>
    </xf>
    <xf numFmtId="58" fontId="9" fillId="0" borderId="11" xfId="1" applyNumberFormat="1" applyFont="1" applyBorder="1" applyAlignment="1">
      <alignment horizontal="center" vertical="center" wrapText="1"/>
    </xf>
    <xf numFmtId="0" fontId="15" fillId="0" borderId="12" xfId="1" applyFont="1" applyBorder="1" applyAlignment="1">
      <alignment horizontal="center" vertical="center" wrapText="1"/>
    </xf>
    <xf numFmtId="0" fontId="10" fillId="3" borderId="2" xfId="2" applyFont="1" applyFill="1" applyBorder="1" applyAlignment="1" applyProtection="1">
      <alignment horizontal="center" vertical="center" wrapText="1"/>
      <protection locked="0"/>
    </xf>
    <xf numFmtId="0" fontId="10" fillId="3" borderId="18" xfId="2" applyFont="1" applyFill="1" applyBorder="1" applyAlignment="1" applyProtection="1">
      <alignment horizontal="center" vertical="center" wrapText="1"/>
      <protection locked="0"/>
    </xf>
    <xf numFmtId="0" fontId="10" fillId="3" borderId="26" xfId="2" applyFont="1" applyFill="1" applyBorder="1" applyAlignment="1" applyProtection="1">
      <alignment horizontal="center" vertical="center" wrapText="1"/>
      <protection locked="0"/>
    </xf>
    <xf numFmtId="0" fontId="10" fillId="0" borderId="2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0" fillId="0" borderId="26" xfId="1" applyFont="1" applyBorder="1" applyAlignment="1">
      <alignment horizontal="center" vertical="center"/>
    </xf>
    <xf numFmtId="0" fontId="10" fillId="0" borderId="51" xfId="1" applyFont="1" applyBorder="1" applyAlignment="1">
      <alignment horizontal="center" vertical="center"/>
    </xf>
    <xf numFmtId="0" fontId="7" fillId="0" borderId="51" xfId="1" applyFont="1" applyBorder="1" applyAlignment="1">
      <alignment horizontal="center" vertical="center"/>
    </xf>
    <xf numFmtId="0" fontId="9" fillId="0" borderId="51" xfId="1" applyFont="1" applyBorder="1" applyAlignment="1">
      <alignment horizontal="center" vertical="center"/>
    </xf>
    <xf numFmtId="0" fontId="15" fillId="0" borderId="52" xfId="1" applyFont="1" applyBorder="1" applyAlignment="1">
      <alignment horizontal="center" vertical="center" wrapText="1"/>
    </xf>
    <xf numFmtId="58" fontId="9" fillId="0" borderId="55" xfId="1" applyNumberFormat="1" applyFont="1" applyBorder="1" applyAlignment="1">
      <alignment horizontal="center" vertical="center" wrapText="1"/>
    </xf>
    <xf numFmtId="0" fontId="9" fillId="0" borderId="56" xfId="1" applyFont="1" applyBorder="1" applyAlignment="1">
      <alignment horizontal="center" vertical="center" wrapText="1"/>
    </xf>
    <xf numFmtId="0" fontId="9" fillId="0" borderId="57" xfId="1" applyFont="1" applyBorder="1" applyAlignment="1">
      <alignment horizontal="center" vertical="center" wrapText="1"/>
    </xf>
    <xf numFmtId="0" fontId="10" fillId="2" borderId="15" xfId="1" applyFont="1" applyFill="1" applyBorder="1" applyAlignment="1">
      <alignment horizontal="center" vertical="center"/>
    </xf>
    <xf numFmtId="0" fontId="5" fillId="2" borderId="53" xfId="1" applyFont="1" applyFill="1" applyBorder="1" applyAlignment="1">
      <alignment horizontal="center" vertical="center"/>
    </xf>
    <xf numFmtId="0" fontId="5" fillId="2" borderId="38" xfId="1" applyFont="1" applyFill="1" applyBorder="1" applyAlignment="1">
      <alignment horizontal="center" vertical="center"/>
    </xf>
    <xf numFmtId="0" fontId="5" fillId="2" borderId="38" xfId="1" applyFont="1" applyFill="1" applyBorder="1" applyAlignment="1" applyProtection="1">
      <alignment horizontal="center" vertical="center"/>
      <protection locked="0"/>
    </xf>
    <xf numFmtId="0" fontId="5" fillId="2" borderId="54" xfId="1" applyFont="1" applyFill="1" applyBorder="1" applyAlignment="1" applyProtection="1">
      <alignment horizontal="center" vertical="center"/>
      <protection locked="0"/>
    </xf>
    <xf numFmtId="0" fontId="10" fillId="2" borderId="22" xfId="1" applyFont="1" applyFill="1" applyBorder="1" applyAlignment="1">
      <alignment horizontal="center" vertical="center"/>
    </xf>
    <xf numFmtId="0" fontId="5" fillId="2" borderId="23" xfId="1" applyFont="1" applyFill="1" applyBorder="1" applyAlignment="1">
      <alignment horizontal="center" vertical="center"/>
    </xf>
    <xf numFmtId="0" fontId="5" fillId="2" borderId="21" xfId="1" applyFont="1" applyFill="1" applyBorder="1" applyAlignment="1">
      <alignment horizontal="center" vertical="center"/>
    </xf>
    <xf numFmtId="0" fontId="5" fillId="2" borderId="21" xfId="1" applyFont="1" applyFill="1" applyBorder="1" applyAlignment="1" applyProtection="1">
      <alignment horizontal="center" vertical="center"/>
      <protection locked="0"/>
    </xf>
    <xf numFmtId="0" fontId="5" fillId="2" borderId="24" xfId="1" applyFont="1" applyFill="1" applyBorder="1" applyAlignment="1" applyProtection="1">
      <alignment horizontal="center" vertical="center"/>
      <protection locked="0"/>
    </xf>
    <xf numFmtId="0" fontId="10" fillId="2" borderId="30" xfId="1" applyFont="1" applyFill="1" applyBorder="1" applyAlignment="1">
      <alignment horizontal="center" vertical="center"/>
    </xf>
    <xf numFmtId="0" fontId="5" fillId="2" borderId="31" xfId="1" applyFont="1" applyFill="1" applyBorder="1" applyAlignment="1">
      <alignment horizontal="center" vertical="center"/>
    </xf>
    <xf numFmtId="0" fontId="5" fillId="2" borderId="29" xfId="1" applyFont="1" applyFill="1" applyBorder="1" applyAlignment="1">
      <alignment horizontal="center" vertical="center"/>
    </xf>
    <xf numFmtId="0" fontId="5" fillId="2" borderId="29" xfId="1" applyFont="1" applyFill="1" applyBorder="1" applyAlignment="1" applyProtection="1">
      <alignment horizontal="center" vertical="center"/>
      <protection locked="0"/>
    </xf>
    <xf numFmtId="0" fontId="5" fillId="2" borderId="32" xfId="1" applyFont="1" applyFill="1" applyBorder="1" applyAlignment="1" applyProtection="1">
      <alignment horizontal="center" vertical="center"/>
      <protection locked="0"/>
    </xf>
    <xf numFmtId="0" fontId="7" fillId="0" borderId="59" xfId="1" applyFont="1" applyBorder="1" applyAlignment="1">
      <alignment horizontal="center" vertical="center"/>
    </xf>
    <xf numFmtId="0" fontId="10" fillId="0" borderId="58" xfId="1" applyFont="1" applyBorder="1" applyAlignment="1">
      <alignment horizontal="center" vertical="center"/>
    </xf>
    <xf numFmtId="0" fontId="10" fillId="0" borderId="59" xfId="1" applyFont="1" applyBorder="1" applyAlignment="1">
      <alignment horizontal="center" vertical="center"/>
    </xf>
    <xf numFmtId="0" fontId="10" fillId="0" borderId="51" xfId="2" applyFont="1" applyBorder="1" applyAlignment="1">
      <alignment horizontal="center" vertical="center" wrapText="1"/>
    </xf>
    <xf numFmtId="0" fontId="10" fillId="0" borderId="0" xfId="2" applyFont="1" applyAlignment="1">
      <alignment horizontal="center" vertical="center" wrapText="1"/>
    </xf>
    <xf numFmtId="0" fontId="14" fillId="0" borderId="0" xfId="1" applyFont="1" applyAlignment="1">
      <alignment horizontal="center" vertical="center"/>
    </xf>
    <xf numFmtId="0" fontId="10" fillId="0" borderId="0" xfId="1" applyFont="1" applyAlignment="1">
      <alignment horizontal="center" vertical="center" shrinkToFit="1"/>
    </xf>
    <xf numFmtId="10" fontId="10" fillId="0" borderId="0" xfId="1" applyNumberFormat="1" applyFont="1" applyAlignment="1">
      <alignment horizontal="center" vertical="center" shrinkToFit="1"/>
    </xf>
    <xf numFmtId="178" fontId="10" fillId="0" borderId="0" xfId="1" applyNumberFormat="1" applyFont="1" applyAlignment="1">
      <alignment horizontal="center" vertical="center" shrinkToFit="1"/>
    </xf>
    <xf numFmtId="179" fontId="10" fillId="0" borderId="0" xfId="1" applyNumberFormat="1" applyFont="1" applyAlignment="1">
      <alignment horizontal="center" vertical="center" shrinkToFit="1"/>
    </xf>
    <xf numFmtId="178" fontId="11" fillId="2" borderId="7" xfId="1" applyNumberFormat="1" applyFont="1" applyFill="1" applyBorder="1" applyAlignment="1" applyProtection="1">
      <alignment horizontal="center" shrinkToFit="1"/>
      <protection locked="0"/>
    </xf>
    <xf numFmtId="178" fontId="11" fillId="2" borderId="24" xfId="1" applyNumberFormat="1" applyFont="1" applyFill="1" applyBorder="1" applyAlignment="1" applyProtection="1">
      <alignment horizontal="center" shrinkToFit="1"/>
      <protection locked="0"/>
    </xf>
    <xf numFmtId="178" fontId="11" fillId="2" borderId="32" xfId="1" applyNumberFormat="1" applyFont="1" applyFill="1" applyBorder="1" applyAlignment="1" applyProtection="1">
      <alignment horizontal="center" shrinkToFit="1"/>
      <protection locked="0"/>
    </xf>
    <xf numFmtId="0" fontId="5" fillId="2" borderId="16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5" fillId="2" borderId="6" xfId="1" applyFont="1" applyFill="1" applyBorder="1" applyAlignment="1" applyProtection="1">
      <alignment horizontal="center" vertical="center"/>
      <protection locked="0"/>
    </xf>
    <xf numFmtId="0" fontId="5" fillId="2" borderId="7" xfId="1" applyFont="1" applyFill="1" applyBorder="1" applyAlignment="1" applyProtection="1">
      <alignment horizontal="center" vertical="center"/>
      <protection locked="0"/>
    </xf>
    <xf numFmtId="0" fontId="9" fillId="0" borderId="0" xfId="1" applyFont="1" applyAlignment="1">
      <alignment horizontal="center" vertical="center"/>
    </xf>
    <xf numFmtId="0" fontId="9" fillId="0" borderId="59" xfId="1" applyFont="1" applyBorder="1" applyAlignment="1">
      <alignment horizontal="center" vertical="center"/>
    </xf>
    <xf numFmtId="0" fontId="9" fillId="0" borderId="58" xfId="1" applyFont="1" applyBorder="1" applyAlignment="1">
      <alignment horizontal="center" vertical="center"/>
    </xf>
    <xf numFmtId="0" fontId="10" fillId="0" borderId="55" xfId="1" applyFont="1" applyBorder="1" applyAlignment="1">
      <alignment horizontal="center" vertical="center" shrinkToFit="1"/>
    </xf>
    <xf numFmtId="10" fontId="10" fillId="0" borderId="56" xfId="1" applyNumberFormat="1" applyFont="1" applyBorder="1" applyAlignment="1">
      <alignment horizontal="center" vertical="center" shrinkToFit="1"/>
    </xf>
    <xf numFmtId="0" fontId="10" fillId="0" borderId="56" xfId="1" applyFont="1" applyBorder="1" applyAlignment="1">
      <alignment horizontal="center" vertical="center" shrinkToFit="1"/>
    </xf>
    <xf numFmtId="178" fontId="10" fillId="0" borderId="57" xfId="1" applyNumberFormat="1" applyFont="1" applyBorder="1" applyAlignment="1">
      <alignment horizontal="center" vertical="center" shrinkToFit="1"/>
    </xf>
    <xf numFmtId="176" fontId="9" fillId="0" borderId="12" xfId="1" applyNumberFormat="1" applyFont="1" applyBorder="1" applyAlignment="1">
      <alignment horizontal="center" vertical="center" wrapText="1"/>
    </xf>
    <xf numFmtId="180" fontId="9" fillId="0" borderId="13" xfId="1" applyNumberFormat="1" applyFont="1" applyBorder="1" applyAlignment="1">
      <alignment horizontal="center" vertical="center" shrinkToFit="1"/>
    </xf>
    <xf numFmtId="0" fontId="10" fillId="2" borderId="24" xfId="1" applyFont="1" applyFill="1" applyBorder="1" applyAlignment="1">
      <alignment horizontal="center" vertical="center"/>
    </xf>
    <xf numFmtId="0" fontId="10" fillId="2" borderId="32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 shrinkToFit="1"/>
    </xf>
    <xf numFmtId="10" fontId="9" fillId="0" borderId="0" xfId="1" applyNumberFormat="1" applyFont="1" applyAlignment="1">
      <alignment horizontal="center" vertical="center" shrinkToFit="1"/>
    </xf>
    <xf numFmtId="0" fontId="2" fillId="0" borderId="0" xfId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5" fillId="0" borderId="13" xfId="1" applyFont="1" applyBorder="1" applyAlignment="1">
      <alignment horizontal="center" vertical="center" wrapText="1"/>
    </xf>
    <xf numFmtId="0" fontId="10" fillId="2" borderId="7" xfId="1" applyFont="1" applyFill="1" applyBorder="1" applyAlignment="1">
      <alignment horizontal="center" vertical="center"/>
    </xf>
    <xf numFmtId="0" fontId="11" fillId="2" borderId="16" xfId="3" applyFill="1" applyBorder="1" applyAlignment="1" applyProtection="1">
      <alignment horizontal="center" vertical="center"/>
      <protection locked="0"/>
    </xf>
    <xf numFmtId="0" fontId="11" fillId="2" borderId="23" xfId="3" applyFill="1" applyBorder="1" applyAlignment="1" applyProtection="1">
      <alignment horizontal="center" vertical="center"/>
      <protection locked="0"/>
    </xf>
    <xf numFmtId="0" fontId="9" fillId="0" borderId="61" xfId="1" applyFont="1" applyBorder="1" applyAlignment="1">
      <alignment horizontal="center" vertical="center" wrapText="1"/>
    </xf>
    <xf numFmtId="0" fontId="9" fillId="0" borderId="62" xfId="1" applyFont="1" applyBorder="1" applyAlignment="1">
      <alignment horizontal="center" vertical="center" wrapText="1"/>
    </xf>
    <xf numFmtId="176" fontId="9" fillId="0" borderId="63" xfId="1" applyNumberFormat="1" applyFont="1" applyBorder="1" applyAlignment="1">
      <alignment horizontal="center" vertical="center" wrapText="1"/>
    </xf>
    <xf numFmtId="0" fontId="10" fillId="2" borderId="23" xfId="1" applyFont="1" applyFill="1" applyBorder="1" applyAlignment="1" applyProtection="1">
      <alignment horizontal="center" vertical="center"/>
      <protection locked="0"/>
    </xf>
    <xf numFmtId="0" fontId="10" fillId="0" borderId="31" xfId="1" applyFont="1" applyBorder="1" applyAlignment="1">
      <alignment horizontal="center" vertical="center"/>
    </xf>
    <xf numFmtId="0" fontId="14" fillId="0" borderId="29" xfId="1" applyFont="1" applyBorder="1" applyAlignment="1">
      <alignment horizontal="center" vertical="center"/>
    </xf>
    <xf numFmtId="0" fontId="14" fillId="0" borderId="30" xfId="1" applyFont="1" applyBorder="1" applyAlignment="1">
      <alignment horizontal="center" vertical="center"/>
    </xf>
    <xf numFmtId="0" fontId="9" fillId="0" borderId="41" xfId="1" applyFont="1" applyBorder="1" applyAlignment="1">
      <alignment horizontal="center" vertical="center" wrapText="1"/>
    </xf>
    <xf numFmtId="176" fontId="9" fillId="0" borderId="64" xfId="1" applyNumberFormat="1" applyFont="1" applyBorder="1" applyAlignment="1">
      <alignment horizontal="center" vertical="center" wrapText="1"/>
    </xf>
    <xf numFmtId="178" fontId="11" fillId="2" borderId="15" xfId="1" applyNumberFormat="1" applyFont="1" applyFill="1" applyBorder="1" applyAlignment="1" applyProtection="1">
      <alignment horizontal="center" shrinkToFit="1"/>
      <protection locked="0"/>
    </xf>
    <xf numFmtId="178" fontId="11" fillId="2" borderId="22" xfId="1" applyNumberFormat="1" applyFont="1" applyFill="1" applyBorder="1" applyAlignment="1" applyProtection="1">
      <alignment horizontal="center" shrinkToFit="1"/>
      <protection locked="0"/>
    </xf>
    <xf numFmtId="178" fontId="10" fillId="0" borderId="49" xfId="1" applyNumberFormat="1" applyFont="1" applyBorder="1" applyAlignment="1">
      <alignment horizontal="center" vertical="center" shrinkToFit="1"/>
    </xf>
    <xf numFmtId="0" fontId="5" fillId="0" borderId="7" xfId="1" applyFont="1" applyBorder="1" applyAlignment="1">
      <alignment horizontal="center" vertical="center"/>
    </xf>
    <xf numFmtId="0" fontId="5" fillId="0" borderId="24" xfId="1" applyFont="1" applyBorder="1" applyAlignment="1">
      <alignment horizontal="center" vertical="center"/>
    </xf>
    <xf numFmtId="178" fontId="11" fillId="2" borderId="30" xfId="1" applyNumberFormat="1" applyFont="1" applyFill="1" applyBorder="1" applyAlignment="1" applyProtection="1">
      <alignment horizontal="center" shrinkToFit="1"/>
      <protection locked="0"/>
    </xf>
    <xf numFmtId="0" fontId="5" fillId="0" borderId="32" xfId="1" applyFont="1" applyBorder="1" applyAlignment="1">
      <alignment horizontal="center" vertical="center"/>
    </xf>
    <xf numFmtId="0" fontId="5" fillId="0" borderId="57" xfId="1" applyFont="1" applyBorder="1" applyAlignment="1">
      <alignment horizontal="center" vertical="center"/>
    </xf>
    <xf numFmtId="0" fontId="9" fillId="0" borderId="64" xfId="1" applyFont="1" applyBorder="1" applyAlignment="1">
      <alignment horizontal="center" vertical="center" wrapText="1"/>
    </xf>
    <xf numFmtId="0" fontId="5" fillId="0" borderId="63" xfId="1" applyFont="1" applyBorder="1" applyAlignment="1">
      <alignment horizontal="center" vertical="center" wrapText="1"/>
    </xf>
    <xf numFmtId="0" fontId="5" fillId="0" borderId="47" xfId="1" applyFont="1" applyBorder="1" applyAlignment="1">
      <alignment horizontal="center" vertical="center"/>
    </xf>
    <xf numFmtId="0" fontId="10" fillId="2" borderId="16" xfId="1" applyFont="1" applyFill="1" applyBorder="1" applyAlignment="1" applyProtection="1">
      <alignment horizontal="center" vertical="center"/>
      <protection locked="0"/>
    </xf>
    <xf numFmtId="0" fontId="10" fillId="2" borderId="31" xfId="1" applyFont="1" applyFill="1" applyBorder="1" applyAlignment="1" applyProtection="1">
      <alignment horizontal="center" vertical="center"/>
      <protection locked="0"/>
    </xf>
    <xf numFmtId="0" fontId="10" fillId="0" borderId="8" xfId="1" applyFont="1" applyBorder="1" applyAlignment="1">
      <alignment horizontal="center" vertical="center"/>
    </xf>
    <xf numFmtId="0" fontId="10" fillId="0" borderId="34" xfId="1" applyFont="1" applyBorder="1" applyAlignment="1">
      <alignment horizontal="center" vertical="center"/>
    </xf>
    <xf numFmtId="0" fontId="10" fillId="2" borderId="9" xfId="2" applyFont="1" applyFill="1" applyBorder="1" applyAlignment="1" applyProtection="1">
      <alignment horizontal="center" vertical="center" wrapText="1"/>
      <protection locked="0"/>
    </xf>
    <xf numFmtId="0" fontId="10" fillId="0" borderId="10" xfId="1" applyFont="1" applyBorder="1" applyAlignment="1">
      <alignment horizontal="center" vertical="center"/>
    </xf>
    <xf numFmtId="0" fontId="10" fillId="2" borderId="11" xfId="1" applyFont="1" applyFill="1" applyBorder="1" applyAlignment="1" applyProtection="1">
      <alignment horizontal="center" vertical="center"/>
      <protection locked="0"/>
    </xf>
    <xf numFmtId="0" fontId="11" fillId="2" borderId="12" xfId="3" applyFill="1" applyBorder="1" applyAlignment="1" applyProtection="1">
      <alignment horizontal="center" vertical="center"/>
      <protection locked="0"/>
    </xf>
    <xf numFmtId="0" fontId="11" fillId="2" borderId="52" xfId="3" applyFill="1" applyBorder="1" applyAlignment="1" applyProtection="1">
      <alignment horizontal="center" vertical="center"/>
      <protection locked="0"/>
    </xf>
    <xf numFmtId="0" fontId="10" fillId="0" borderId="11" xfId="1" applyFont="1" applyBorder="1" applyAlignment="1">
      <alignment horizontal="center" vertical="center" shrinkToFit="1"/>
    </xf>
    <xf numFmtId="177" fontId="10" fillId="0" borderId="12" xfId="1" applyNumberFormat="1" applyFont="1" applyBorder="1" applyAlignment="1">
      <alignment horizontal="center" vertical="center" shrinkToFit="1"/>
    </xf>
    <xf numFmtId="0" fontId="10" fillId="0" borderId="12" xfId="1" applyFont="1" applyBorder="1" applyAlignment="1">
      <alignment horizontal="center" vertical="center" shrinkToFit="1"/>
    </xf>
    <xf numFmtId="10" fontId="10" fillId="0" borderId="12" xfId="1" applyNumberFormat="1" applyFont="1" applyBorder="1" applyAlignment="1" applyProtection="1">
      <alignment horizontal="center" vertical="center" shrinkToFit="1"/>
      <protection hidden="1"/>
    </xf>
    <xf numFmtId="178" fontId="11" fillId="2" borderId="13" xfId="1" applyNumberFormat="1" applyFont="1" applyFill="1" applyBorder="1" applyAlignment="1" applyProtection="1">
      <alignment horizontal="center" shrinkToFit="1"/>
      <protection locked="0"/>
    </xf>
    <xf numFmtId="0" fontId="5" fillId="0" borderId="13" xfId="1" applyFont="1" applyBorder="1" applyAlignment="1">
      <alignment horizontal="center" vertical="center"/>
    </xf>
    <xf numFmtId="0" fontId="10" fillId="0" borderId="66" xfId="1" applyFont="1" applyBorder="1" applyAlignment="1">
      <alignment horizontal="center" vertical="center"/>
    </xf>
    <xf numFmtId="0" fontId="10" fillId="0" borderId="66" xfId="2" applyFont="1" applyBorder="1" applyAlignment="1">
      <alignment horizontal="center" vertical="center" wrapText="1"/>
    </xf>
    <xf numFmtId="0" fontId="10" fillId="0" borderId="67" xfId="1" applyFont="1" applyBorder="1" applyAlignment="1">
      <alignment horizontal="center" vertical="center"/>
    </xf>
    <xf numFmtId="0" fontId="10" fillId="0" borderId="55" xfId="1" applyFont="1" applyBorder="1" applyAlignment="1">
      <alignment horizontal="center" vertical="center"/>
    </xf>
    <xf numFmtId="0" fontId="14" fillId="0" borderId="56" xfId="1" applyFont="1" applyBorder="1" applyAlignment="1">
      <alignment horizontal="center" vertical="center"/>
    </xf>
    <xf numFmtId="0" fontId="14" fillId="0" borderId="65" xfId="1" applyFont="1" applyBorder="1" applyAlignment="1">
      <alignment horizontal="center" vertical="center"/>
    </xf>
    <xf numFmtId="0" fontId="9" fillId="0" borderId="66" xfId="1" applyFont="1" applyBorder="1" applyAlignment="1">
      <alignment horizontal="centerContinuous" vertical="center" wrapText="1"/>
    </xf>
    <xf numFmtId="0" fontId="9" fillId="0" borderId="68" xfId="1" applyFont="1" applyBorder="1" applyAlignment="1">
      <alignment horizontal="centerContinuous" vertical="center" wrapText="1"/>
    </xf>
    <xf numFmtId="0" fontId="9" fillId="0" borderId="67" xfId="1" applyFont="1" applyBorder="1" applyAlignment="1">
      <alignment horizontal="centerContinuous" vertical="center" wrapText="1"/>
    </xf>
    <xf numFmtId="0" fontId="10" fillId="0" borderId="55" xfId="2" applyFont="1" applyBorder="1" applyAlignment="1">
      <alignment horizontal="center" vertical="center" wrapText="1"/>
    </xf>
    <xf numFmtId="0" fontId="10" fillId="0" borderId="56" xfId="1" applyFont="1" applyBorder="1" applyAlignment="1">
      <alignment horizontal="center" vertical="center"/>
    </xf>
    <xf numFmtId="0" fontId="10" fillId="0" borderId="57" xfId="1" applyFont="1" applyBorder="1" applyAlignment="1">
      <alignment horizontal="center" vertical="center"/>
    </xf>
    <xf numFmtId="178" fontId="10" fillId="0" borderId="56" xfId="1" applyNumberFormat="1" applyFont="1" applyBorder="1" applyAlignment="1">
      <alignment horizontal="center" vertical="center" shrinkToFit="1"/>
    </xf>
    <xf numFmtId="0" fontId="9" fillId="0" borderId="41" xfId="1" applyFont="1" applyBorder="1" applyAlignment="1">
      <alignment horizontal="centerContinuous" vertical="center" wrapText="1"/>
    </xf>
    <xf numFmtId="0" fontId="10" fillId="0" borderId="65" xfId="1" applyFont="1" applyBorder="1" applyAlignment="1">
      <alignment horizontal="center" vertical="center"/>
    </xf>
    <xf numFmtId="0" fontId="9" fillId="0" borderId="66" xfId="1" applyFont="1" applyBorder="1" applyAlignment="1">
      <alignment horizontal="center" vertical="center" wrapText="1"/>
    </xf>
    <xf numFmtId="178" fontId="10" fillId="0" borderId="55" xfId="1" applyNumberFormat="1" applyFont="1" applyBorder="1" applyAlignment="1">
      <alignment horizontal="center" vertical="center" shrinkToFit="1"/>
    </xf>
    <xf numFmtId="0" fontId="9" fillId="0" borderId="65" xfId="1" applyFont="1" applyBorder="1" applyAlignment="1">
      <alignment horizontal="center" vertical="center" wrapText="1"/>
    </xf>
    <xf numFmtId="0" fontId="17" fillId="0" borderId="1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7" fillId="5" borderId="2" xfId="2" applyFont="1" applyFill="1" applyBorder="1" applyAlignment="1" applyProtection="1">
      <alignment horizontal="center" vertical="center" wrapText="1"/>
      <protection locked="0"/>
    </xf>
    <xf numFmtId="0" fontId="17" fillId="5" borderId="1" xfId="1" applyFont="1" applyFill="1" applyBorder="1" applyAlignment="1">
      <alignment horizontal="center" vertical="center"/>
    </xf>
    <xf numFmtId="0" fontId="17" fillId="5" borderId="3" xfId="1" applyFont="1" applyFill="1" applyBorder="1" applyAlignment="1">
      <alignment horizontal="center" vertical="center"/>
    </xf>
    <xf numFmtId="0" fontId="17" fillId="2" borderId="33" xfId="1" applyFont="1" applyFill="1" applyBorder="1" applyAlignment="1">
      <alignment horizontal="center" vertical="center"/>
    </xf>
    <xf numFmtId="0" fontId="18" fillId="2" borderId="38" xfId="3" applyFont="1" applyFill="1" applyBorder="1" applyAlignment="1" applyProtection="1">
      <alignment horizontal="center" vertical="center"/>
      <protection locked="0"/>
    </xf>
    <xf numFmtId="0" fontId="18" fillId="2" borderId="39" xfId="3" applyFont="1" applyFill="1" applyBorder="1" applyAlignment="1" applyProtection="1">
      <alignment horizontal="center" vertical="center"/>
      <protection locked="0"/>
    </xf>
    <xf numFmtId="0" fontId="17" fillId="0" borderId="17" xfId="1" applyFont="1" applyBorder="1" applyAlignment="1">
      <alignment horizontal="center" vertical="center"/>
    </xf>
    <xf numFmtId="0" fontId="17" fillId="0" borderId="18" xfId="1" applyFont="1" applyBorder="1" applyAlignment="1">
      <alignment horizontal="center" vertical="center"/>
    </xf>
    <xf numFmtId="0" fontId="17" fillId="5" borderId="18" xfId="2" applyFont="1" applyFill="1" applyBorder="1" applyAlignment="1" applyProtection="1">
      <alignment horizontal="center" vertical="center" wrapText="1"/>
      <protection locked="0"/>
    </xf>
    <xf numFmtId="0" fontId="17" fillId="5" borderId="17" xfId="1" applyFont="1" applyFill="1" applyBorder="1" applyAlignment="1">
      <alignment horizontal="center" vertical="center"/>
    </xf>
    <xf numFmtId="0" fontId="17" fillId="5" borderId="19" xfId="1" applyFont="1" applyFill="1" applyBorder="1" applyAlignment="1">
      <alignment horizontal="center" vertical="center"/>
    </xf>
    <xf numFmtId="0" fontId="17" fillId="2" borderId="35" xfId="1" applyFont="1" applyFill="1" applyBorder="1" applyAlignment="1">
      <alignment horizontal="center" vertical="center"/>
    </xf>
    <xf numFmtId="0" fontId="18" fillId="2" borderId="21" xfId="3" applyFont="1" applyFill="1" applyBorder="1" applyAlignment="1" applyProtection="1">
      <alignment horizontal="center" vertical="center"/>
      <protection locked="0"/>
    </xf>
    <xf numFmtId="0" fontId="18" fillId="2" borderId="22" xfId="3" applyFont="1" applyFill="1" applyBorder="1" applyAlignment="1" applyProtection="1">
      <alignment horizontal="center" vertical="center"/>
      <protection locked="0"/>
    </xf>
    <xf numFmtId="0" fontId="18" fillId="5" borderId="23" xfId="1" applyFont="1" applyFill="1" applyBorder="1" applyAlignment="1" applyProtection="1">
      <alignment horizontal="center" shrinkToFit="1"/>
      <protection locked="0"/>
    </xf>
    <xf numFmtId="0" fontId="17" fillId="5" borderId="21" xfId="1" applyFont="1" applyFill="1" applyBorder="1" applyAlignment="1">
      <alignment horizontal="center" vertical="center" shrinkToFit="1"/>
    </xf>
    <xf numFmtId="177" fontId="17" fillId="5" borderId="21" xfId="1" applyNumberFormat="1" applyFont="1" applyFill="1" applyBorder="1" applyAlignment="1">
      <alignment horizontal="center" vertical="center" shrinkToFit="1"/>
    </xf>
    <xf numFmtId="10" fontId="17" fillId="5" borderId="21" xfId="1" applyNumberFormat="1" applyFont="1" applyFill="1" applyBorder="1" applyAlignment="1" applyProtection="1">
      <alignment horizontal="center" vertical="center" shrinkToFit="1"/>
      <protection hidden="1"/>
    </xf>
    <xf numFmtId="0" fontId="17" fillId="5" borderId="21" xfId="1" applyFont="1" applyFill="1" applyBorder="1" applyAlignment="1" applyProtection="1">
      <alignment horizontal="center" vertical="center" shrinkToFit="1"/>
      <protection hidden="1"/>
    </xf>
    <xf numFmtId="178" fontId="18" fillId="5" borderId="21" xfId="1" applyNumberFormat="1" applyFont="1" applyFill="1" applyBorder="1" applyAlignment="1" applyProtection="1">
      <alignment horizontal="center" shrinkToFit="1"/>
      <protection locked="0"/>
    </xf>
    <xf numFmtId="178" fontId="18" fillId="5" borderId="24" xfId="1" applyNumberFormat="1" applyFont="1" applyFill="1" applyBorder="1" applyAlignment="1" applyProtection="1">
      <alignment horizontal="center" shrinkToFit="1"/>
      <protection locked="0"/>
    </xf>
    <xf numFmtId="0" fontId="17" fillId="0" borderId="8" xfId="1" applyFont="1" applyBorder="1" applyAlignment="1">
      <alignment horizontal="center" vertical="center"/>
    </xf>
    <xf numFmtId="0" fontId="17" fillId="0" borderId="9" xfId="1" applyFont="1" applyBorder="1" applyAlignment="1">
      <alignment horizontal="center" vertical="center"/>
    </xf>
    <xf numFmtId="0" fontId="17" fillId="5" borderId="9" xfId="2" applyFont="1" applyFill="1" applyBorder="1" applyAlignment="1" applyProtection="1">
      <alignment horizontal="center" vertical="center" wrapText="1"/>
      <protection locked="0"/>
    </xf>
    <xf numFmtId="0" fontId="17" fillId="5" borderId="8" xfId="1" applyFont="1" applyFill="1" applyBorder="1" applyAlignment="1">
      <alignment horizontal="center" vertical="center"/>
    </xf>
    <xf numFmtId="0" fontId="17" fillId="5" borderId="10" xfId="1" applyFont="1" applyFill="1" applyBorder="1" applyAlignment="1">
      <alignment horizontal="center" vertical="center"/>
    </xf>
    <xf numFmtId="0" fontId="17" fillId="2" borderId="34" xfId="1" applyFont="1" applyFill="1" applyBorder="1" applyAlignment="1">
      <alignment horizontal="center" vertical="center"/>
    </xf>
    <xf numFmtId="0" fontId="18" fillId="2" borderId="12" xfId="3" applyFont="1" applyFill="1" applyBorder="1" applyAlignment="1" applyProtection="1">
      <alignment horizontal="center" vertical="center"/>
      <protection locked="0"/>
    </xf>
    <xf numFmtId="0" fontId="18" fillId="2" borderId="52" xfId="3" applyFont="1" applyFill="1" applyBorder="1" applyAlignment="1" applyProtection="1">
      <alignment horizontal="center" vertical="center"/>
      <protection locked="0"/>
    </xf>
    <xf numFmtId="0" fontId="18" fillId="5" borderId="11" xfId="1" applyFont="1" applyFill="1" applyBorder="1" applyAlignment="1" applyProtection="1">
      <alignment horizontal="center" shrinkToFit="1"/>
      <protection locked="0"/>
    </xf>
    <xf numFmtId="0" fontId="17" fillId="5" borderId="12" xfId="1" applyFont="1" applyFill="1" applyBorder="1" applyAlignment="1">
      <alignment horizontal="center" vertical="center" shrinkToFit="1"/>
    </xf>
    <xf numFmtId="177" fontId="17" fillId="5" borderId="12" xfId="1" applyNumberFormat="1" applyFont="1" applyFill="1" applyBorder="1" applyAlignment="1">
      <alignment horizontal="center" vertical="center" shrinkToFit="1"/>
    </xf>
    <xf numFmtId="10" fontId="17" fillId="5" borderId="12" xfId="1" applyNumberFormat="1" applyFont="1" applyFill="1" applyBorder="1" applyAlignment="1" applyProtection="1">
      <alignment horizontal="center" vertical="center" shrinkToFit="1"/>
      <protection hidden="1"/>
    </xf>
    <xf numFmtId="0" fontId="17" fillId="5" borderId="12" xfId="1" applyFont="1" applyFill="1" applyBorder="1" applyAlignment="1" applyProtection="1">
      <alignment horizontal="center" vertical="center" shrinkToFit="1"/>
      <protection hidden="1"/>
    </xf>
    <xf numFmtId="178" fontId="18" fillId="5" borderId="12" xfId="1" applyNumberFormat="1" applyFont="1" applyFill="1" applyBorder="1" applyAlignment="1" applyProtection="1">
      <alignment horizontal="center" shrinkToFit="1"/>
      <protection locked="0"/>
    </xf>
    <xf numFmtId="178" fontId="18" fillId="5" borderId="13" xfId="1" applyNumberFormat="1" applyFont="1" applyFill="1" applyBorder="1" applyAlignment="1" applyProtection="1">
      <alignment horizontal="center" shrinkToFit="1"/>
      <protection locked="0"/>
    </xf>
    <xf numFmtId="0" fontId="3" fillId="0" borderId="0" xfId="1" applyFont="1" applyAlignment="1">
      <alignment horizontal="center" vertical="center"/>
    </xf>
    <xf numFmtId="0" fontId="10" fillId="2" borderId="53" xfId="1" applyFont="1" applyFill="1" applyBorder="1" applyAlignment="1" applyProtection="1">
      <alignment horizontal="center" vertical="center"/>
      <protection locked="0"/>
    </xf>
    <xf numFmtId="0" fontId="11" fillId="2" borderId="38" xfId="3" applyFill="1" applyBorder="1" applyAlignment="1" applyProtection="1">
      <alignment horizontal="center" vertical="center"/>
      <protection locked="0"/>
    </xf>
    <xf numFmtId="0" fontId="11" fillId="2" borderId="39" xfId="3" applyFill="1" applyBorder="1" applyAlignment="1" applyProtection="1">
      <alignment horizontal="center" vertical="center"/>
      <protection locked="0"/>
    </xf>
    <xf numFmtId="0" fontId="9" fillId="0" borderId="55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178" fontId="10" fillId="0" borderId="65" xfId="1" applyNumberFormat="1" applyFont="1" applyBorder="1" applyAlignment="1">
      <alignment horizontal="center" vertical="center" shrinkToFit="1"/>
    </xf>
    <xf numFmtId="180" fontId="9" fillId="0" borderId="61" xfId="1" applyNumberFormat="1" applyFont="1" applyBorder="1" applyAlignment="1">
      <alignment horizontal="center" vertical="center" wrapText="1" shrinkToFit="1"/>
    </xf>
    <xf numFmtId="176" fontId="9" fillId="0" borderId="62" xfId="1" applyNumberFormat="1" applyFont="1" applyBorder="1" applyAlignment="1">
      <alignment horizontal="center" vertical="center" wrapText="1"/>
    </xf>
    <xf numFmtId="180" fontId="9" fillId="0" borderId="62" xfId="1" applyNumberFormat="1" applyFont="1" applyBorder="1" applyAlignment="1">
      <alignment horizontal="center" vertical="center" wrapText="1" shrinkToFit="1"/>
    </xf>
    <xf numFmtId="180" fontId="9" fillId="0" borderId="63" xfId="1" applyNumberFormat="1" applyFont="1" applyBorder="1" applyAlignment="1">
      <alignment horizontal="center" vertical="center" wrapText="1" shrinkToFit="1"/>
    </xf>
    <xf numFmtId="0" fontId="18" fillId="5" borderId="16" xfId="1" applyFont="1" applyFill="1" applyBorder="1" applyAlignment="1" applyProtection="1">
      <alignment horizontal="center" shrinkToFit="1"/>
      <protection locked="0"/>
    </xf>
    <xf numFmtId="0" fontId="17" fillId="5" borderId="6" xfId="1" applyFont="1" applyFill="1" applyBorder="1" applyAlignment="1">
      <alignment horizontal="center" vertical="center" shrinkToFit="1"/>
    </xf>
    <xf numFmtId="177" fontId="17" fillId="5" borderId="6" xfId="1" applyNumberFormat="1" applyFont="1" applyFill="1" applyBorder="1" applyAlignment="1">
      <alignment horizontal="center" vertical="center" shrinkToFit="1"/>
    </xf>
    <xf numFmtId="10" fontId="17" fillId="5" borderId="6" xfId="1" applyNumberFormat="1" applyFont="1" applyFill="1" applyBorder="1" applyAlignment="1" applyProtection="1">
      <alignment horizontal="center" vertical="center" shrinkToFit="1"/>
      <protection hidden="1"/>
    </xf>
    <xf numFmtId="0" fontId="17" fillId="5" borderId="6" xfId="1" applyFont="1" applyFill="1" applyBorder="1" applyAlignment="1" applyProtection="1">
      <alignment horizontal="center" vertical="center" shrinkToFit="1"/>
      <protection hidden="1"/>
    </xf>
    <xf numFmtId="178" fontId="18" fillId="5" borderId="6" xfId="1" applyNumberFormat="1" applyFont="1" applyFill="1" applyBorder="1" applyAlignment="1" applyProtection="1">
      <alignment horizontal="center" shrinkToFit="1"/>
      <protection locked="0"/>
    </xf>
    <xf numFmtId="178" fontId="18" fillId="5" borderId="7" xfId="1" applyNumberFormat="1" applyFont="1" applyFill="1" applyBorder="1" applyAlignment="1" applyProtection="1">
      <alignment horizontal="center" shrinkToFit="1"/>
      <protection locked="0"/>
    </xf>
    <xf numFmtId="180" fontId="9" fillId="0" borderId="64" xfId="1" applyNumberFormat="1" applyFont="1" applyBorder="1" applyAlignment="1">
      <alignment horizontal="center" vertical="center" wrapText="1" shrinkToFit="1"/>
    </xf>
    <xf numFmtId="0" fontId="18" fillId="5" borderId="15" xfId="1" applyFont="1" applyFill="1" applyBorder="1" applyAlignment="1" applyProtection="1">
      <alignment horizontal="center" shrinkToFit="1"/>
      <protection locked="0"/>
    </xf>
    <xf numFmtId="0" fontId="18" fillId="5" borderId="22" xfId="1" applyFont="1" applyFill="1" applyBorder="1" applyAlignment="1" applyProtection="1">
      <alignment horizontal="center" shrinkToFit="1"/>
      <protection locked="0"/>
    </xf>
    <xf numFmtId="0" fontId="18" fillId="5" borderId="52" xfId="1" applyFont="1" applyFill="1" applyBorder="1" applyAlignment="1" applyProtection="1">
      <alignment horizontal="center" shrinkToFit="1"/>
      <protection locked="0"/>
    </xf>
    <xf numFmtId="178" fontId="18" fillId="5" borderId="16" xfId="1" applyNumberFormat="1" applyFont="1" applyFill="1" applyBorder="1" applyAlignment="1" applyProtection="1">
      <alignment horizontal="center" shrinkToFit="1"/>
      <protection locked="0"/>
    </xf>
    <xf numFmtId="178" fontId="18" fillId="5" borderId="23" xfId="1" applyNumberFormat="1" applyFont="1" applyFill="1" applyBorder="1" applyAlignment="1" applyProtection="1">
      <alignment horizontal="center" shrinkToFit="1"/>
      <protection locked="0"/>
    </xf>
    <xf numFmtId="178" fontId="18" fillId="5" borderId="11" xfId="1" applyNumberFormat="1" applyFont="1" applyFill="1" applyBorder="1" applyAlignment="1" applyProtection="1">
      <alignment horizontal="center" shrinkToFit="1"/>
      <protection locked="0"/>
    </xf>
    <xf numFmtId="0" fontId="18" fillId="5" borderId="7" xfId="1" applyFont="1" applyFill="1" applyBorder="1" applyAlignment="1" applyProtection="1">
      <alignment horizontal="center" shrinkToFit="1"/>
      <protection locked="0"/>
    </xf>
    <xf numFmtId="0" fontId="18" fillId="5" borderId="24" xfId="1" applyFont="1" applyFill="1" applyBorder="1" applyAlignment="1" applyProtection="1">
      <alignment horizontal="center" shrinkToFit="1"/>
      <protection locked="0"/>
    </xf>
    <xf numFmtId="0" fontId="18" fillId="5" borderId="13" xfId="1" applyFont="1" applyFill="1" applyBorder="1" applyAlignment="1" applyProtection="1">
      <alignment horizontal="center" shrinkToFit="1"/>
      <protection locked="0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0" fontId="9" fillId="0" borderId="57" xfId="1" applyFont="1" applyBorder="1" applyAlignment="1">
      <alignment vertical="center" wrapText="1"/>
    </xf>
    <xf numFmtId="0" fontId="5" fillId="2" borderId="7" xfId="1" applyFont="1" applyFill="1" applyBorder="1" applyAlignment="1" applyProtection="1">
      <alignment vertical="center"/>
      <protection locked="0"/>
    </xf>
    <xf numFmtId="0" fontId="5" fillId="2" borderId="24" xfId="1" applyFont="1" applyFill="1" applyBorder="1" applyAlignment="1" applyProtection="1">
      <alignment vertical="center"/>
      <protection locked="0"/>
    </xf>
    <xf numFmtId="0" fontId="5" fillId="2" borderId="32" xfId="1" applyFont="1" applyFill="1" applyBorder="1" applyAlignment="1" applyProtection="1">
      <alignment vertical="center"/>
      <protection locked="0"/>
    </xf>
    <xf numFmtId="180" fontId="9" fillId="0" borderId="40" xfId="1" applyNumberFormat="1" applyFont="1" applyBorder="1" applyAlignment="1">
      <alignment vertical="center" wrapText="1" shrinkToFit="1"/>
    </xf>
    <xf numFmtId="178" fontId="18" fillId="5" borderId="2" xfId="1" applyNumberFormat="1" applyFont="1" applyFill="1" applyBorder="1" applyAlignment="1" applyProtection="1">
      <alignment shrinkToFit="1"/>
      <protection locked="0"/>
    </xf>
    <xf numFmtId="178" fontId="18" fillId="5" borderId="18" xfId="1" applyNumberFormat="1" applyFont="1" applyFill="1" applyBorder="1" applyAlignment="1" applyProtection="1">
      <alignment shrinkToFit="1"/>
      <protection locked="0"/>
    </xf>
    <xf numFmtId="178" fontId="10" fillId="0" borderId="66" xfId="1" applyNumberFormat="1" applyFont="1" applyBorder="1" applyAlignment="1">
      <alignment vertical="center" shrinkToFit="1"/>
    </xf>
    <xf numFmtId="180" fontId="9" fillId="0" borderId="43" xfId="1" applyNumberFormat="1" applyFont="1" applyBorder="1" applyAlignment="1">
      <alignment horizontal="center" vertical="center" wrapText="1" shrinkToFit="1"/>
    </xf>
    <xf numFmtId="0" fontId="18" fillId="5" borderId="1" xfId="1" applyFont="1" applyFill="1" applyBorder="1" applyAlignment="1" applyProtection="1">
      <alignment horizontal="center" shrinkToFit="1"/>
      <protection locked="0"/>
    </xf>
    <xf numFmtId="0" fontId="18" fillId="5" borderId="17" xfId="1" applyFont="1" applyFill="1" applyBorder="1" applyAlignment="1" applyProtection="1">
      <alignment horizontal="center" shrinkToFit="1"/>
      <protection locked="0"/>
    </xf>
    <xf numFmtId="0" fontId="18" fillId="5" borderId="8" xfId="1" applyFont="1" applyFill="1" applyBorder="1" applyAlignment="1" applyProtection="1">
      <alignment horizontal="center" shrinkToFit="1"/>
      <protection locked="0"/>
    </xf>
    <xf numFmtId="178" fontId="10" fillId="0" borderId="58" xfId="1" applyNumberFormat="1" applyFont="1" applyBorder="1" applyAlignment="1">
      <alignment horizontal="center" vertical="center" shrinkToFit="1"/>
    </xf>
    <xf numFmtId="180" fontId="9" fillId="0" borderId="69" xfId="1" applyNumberFormat="1" applyFont="1" applyBorder="1" applyAlignment="1">
      <alignment horizontal="center" vertical="center" wrapText="1" shrinkToFit="1"/>
    </xf>
    <xf numFmtId="0" fontId="9" fillId="0" borderId="70" xfId="1" applyFont="1" applyBorder="1" applyAlignment="1">
      <alignment horizontal="center" vertical="center" wrapText="1"/>
    </xf>
    <xf numFmtId="176" fontId="9" fillId="0" borderId="70" xfId="1" applyNumberFormat="1" applyFont="1" applyBorder="1" applyAlignment="1">
      <alignment horizontal="center" vertical="center" wrapText="1"/>
    </xf>
    <xf numFmtId="180" fontId="9" fillId="0" borderId="70" xfId="1" applyNumberFormat="1" applyFont="1" applyBorder="1" applyAlignment="1">
      <alignment horizontal="center" vertical="center" wrapText="1" shrinkToFit="1"/>
    </xf>
    <xf numFmtId="180" fontId="9" fillId="0" borderId="71" xfId="1" applyNumberFormat="1" applyFont="1" applyBorder="1" applyAlignment="1">
      <alignment horizontal="center" vertical="center" wrapText="1" shrinkToFit="1"/>
    </xf>
    <xf numFmtId="180" fontId="9" fillId="0" borderId="72" xfId="1" applyNumberFormat="1" applyFont="1" applyBorder="1" applyAlignment="1">
      <alignment vertical="center" wrapText="1" shrinkToFit="1"/>
    </xf>
    <xf numFmtId="180" fontId="9" fillId="0" borderId="60" xfId="1" applyNumberFormat="1" applyFont="1" applyBorder="1" applyAlignment="1">
      <alignment horizontal="center" vertical="center" wrapText="1" shrinkToFit="1"/>
    </xf>
    <xf numFmtId="0" fontId="10" fillId="0" borderId="73" xfId="1" applyFont="1" applyBorder="1" applyAlignment="1">
      <alignment horizontal="center" vertical="center"/>
    </xf>
    <xf numFmtId="0" fontId="10" fillId="0" borderId="33" xfId="1" applyFont="1" applyBorder="1" applyAlignment="1">
      <alignment horizontal="center" vertical="center"/>
    </xf>
    <xf numFmtId="0" fontId="10" fillId="2" borderId="74" xfId="2" applyFont="1" applyFill="1" applyBorder="1" applyAlignment="1" applyProtection="1">
      <alignment horizontal="center" vertical="center" wrapText="1"/>
      <protection locked="0"/>
    </xf>
    <xf numFmtId="0" fontId="10" fillId="0" borderId="53" xfId="1" applyFont="1" applyBorder="1" applyAlignment="1">
      <alignment horizontal="center" vertical="center" shrinkToFit="1"/>
    </xf>
    <xf numFmtId="177" fontId="10" fillId="0" borderId="38" xfId="1" applyNumberFormat="1" applyFont="1" applyBorder="1" applyAlignment="1">
      <alignment horizontal="center" vertical="center" shrinkToFit="1"/>
    </xf>
    <xf numFmtId="0" fontId="10" fillId="0" borderId="38" xfId="1" applyFont="1" applyBorder="1" applyAlignment="1">
      <alignment horizontal="center" vertical="center" shrinkToFit="1"/>
    </xf>
    <xf numFmtId="10" fontId="10" fillId="0" borderId="38" xfId="1" applyNumberFormat="1" applyFont="1" applyBorder="1" applyAlignment="1" applyProtection="1">
      <alignment horizontal="center" vertical="center" shrinkToFit="1"/>
      <protection hidden="1"/>
    </xf>
    <xf numFmtId="178" fontId="11" fillId="2" borderId="39" xfId="1" applyNumberFormat="1" applyFont="1" applyFill="1" applyBorder="1" applyAlignment="1" applyProtection="1">
      <alignment horizontal="center" shrinkToFit="1"/>
      <protection locked="0"/>
    </xf>
    <xf numFmtId="0" fontId="5" fillId="0" borderId="54" xfId="1" applyFont="1" applyBorder="1" applyAlignment="1">
      <alignment horizontal="center" vertical="center"/>
    </xf>
    <xf numFmtId="0" fontId="10" fillId="0" borderId="75" xfId="1" applyFont="1" applyBorder="1" applyAlignment="1">
      <alignment horizontal="center" vertical="center"/>
    </xf>
    <xf numFmtId="178" fontId="11" fillId="2" borderId="54" xfId="1" applyNumberFormat="1" applyFont="1" applyFill="1" applyBorder="1" applyAlignment="1" applyProtection="1">
      <alignment horizontal="center" shrinkToFit="1"/>
      <protection locked="0"/>
    </xf>
    <xf numFmtId="0" fontId="10" fillId="0" borderId="74" xfId="1" applyFont="1" applyBorder="1" applyAlignment="1">
      <alignment horizontal="center" vertical="center"/>
    </xf>
    <xf numFmtId="0" fontId="10" fillId="3" borderId="74" xfId="2" applyFont="1" applyFill="1" applyBorder="1" applyAlignment="1" applyProtection="1">
      <alignment horizontal="center" vertical="center" wrapText="1"/>
      <protection locked="0"/>
    </xf>
    <xf numFmtId="0" fontId="11" fillId="2" borderId="53" xfId="3" applyFill="1" applyBorder="1" applyAlignment="1" applyProtection="1">
      <alignment horizontal="center" vertical="center"/>
      <protection locked="0"/>
    </xf>
    <xf numFmtId="0" fontId="10" fillId="2" borderId="54" xfId="1" applyFont="1" applyFill="1" applyBorder="1" applyAlignment="1">
      <alignment horizontal="center" vertical="center"/>
    </xf>
    <xf numFmtId="0" fontId="17" fillId="0" borderId="73" xfId="1" applyFont="1" applyBorder="1" applyAlignment="1">
      <alignment horizontal="center" vertical="center"/>
    </xf>
    <xf numFmtId="0" fontId="17" fillId="0" borderId="74" xfId="1" applyFont="1" applyBorder="1" applyAlignment="1">
      <alignment horizontal="center" vertical="center"/>
    </xf>
    <xf numFmtId="0" fontId="17" fillId="5" borderId="74" xfId="2" applyFont="1" applyFill="1" applyBorder="1" applyAlignment="1" applyProtection="1">
      <alignment horizontal="center" vertical="center" wrapText="1"/>
      <protection locked="0"/>
    </xf>
    <xf numFmtId="0" fontId="17" fillId="5" borderId="73" xfId="1" applyFont="1" applyFill="1" applyBorder="1" applyAlignment="1">
      <alignment horizontal="center" vertical="center"/>
    </xf>
    <xf numFmtId="0" fontId="17" fillId="5" borderId="75" xfId="1" applyFont="1" applyFill="1" applyBorder="1" applyAlignment="1">
      <alignment horizontal="center" vertical="center"/>
    </xf>
    <xf numFmtId="0" fontId="18" fillId="5" borderId="53" xfId="1" applyFont="1" applyFill="1" applyBorder="1" applyAlignment="1" applyProtection="1">
      <alignment horizontal="center" shrinkToFit="1"/>
      <protection locked="0"/>
    </xf>
    <xf numFmtId="0" fontId="17" fillId="5" borderId="38" xfId="1" applyFont="1" applyFill="1" applyBorder="1" applyAlignment="1">
      <alignment horizontal="center" vertical="center" shrinkToFit="1"/>
    </xf>
    <xf numFmtId="177" fontId="17" fillId="5" borderId="38" xfId="1" applyNumberFormat="1" applyFont="1" applyFill="1" applyBorder="1" applyAlignment="1">
      <alignment horizontal="center" vertical="center" shrinkToFit="1"/>
    </xf>
    <xf numFmtId="10" fontId="17" fillId="5" borderId="38" xfId="1" applyNumberFormat="1" applyFont="1" applyFill="1" applyBorder="1" applyAlignment="1" applyProtection="1">
      <alignment horizontal="center" vertical="center" shrinkToFit="1"/>
      <protection hidden="1"/>
    </xf>
    <xf numFmtId="0" fontId="17" fillId="5" borderId="38" xfId="1" applyFont="1" applyFill="1" applyBorder="1" applyAlignment="1" applyProtection="1">
      <alignment horizontal="center" vertical="center" shrinkToFit="1"/>
      <protection hidden="1"/>
    </xf>
    <xf numFmtId="178" fontId="18" fillId="5" borderId="38" xfId="1" applyNumberFormat="1" applyFont="1" applyFill="1" applyBorder="1" applyAlignment="1" applyProtection="1">
      <alignment horizontal="center" shrinkToFit="1"/>
      <protection locked="0"/>
    </xf>
    <xf numFmtId="0" fontId="18" fillId="5" borderId="39" xfId="1" applyFont="1" applyFill="1" applyBorder="1" applyAlignment="1" applyProtection="1">
      <alignment horizontal="center" shrinkToFit="1"/>
      <protection locked="0"/>
    </xf>
    <xf numFmtId="178" fontId="18" fillId="5" borderId="74" xfId="1" applyNumberFormat="1" applyFont="1" applyFill="1" applyBorder="1" applyAlignment="1" applyProtection="1">
      <alignment shrinkToFit="1"/>
      <protection locked="0"/>
    </xf>
    <xf numFmtId="0" fontId="18" fillId="5" borderId="73" xfId="1" applyFont="1" applyFill="1" applyBorder="1" applyAlignment="1" applyProtection="1">
      <alignment horizontal="center" shrinkToFit="1"/>
      <protection locked="0"/>
    </xf>
    <xf numFmtId="0" fontId="11" fillId="2" borderId="37" xfId="3" applyFill="1" applyBorder="1" applyAlignment="1" applyProtection="1">
      <alignment horizontal="center" vertical="center"/>
      <protection locked="0"/>
    </xf>
    <xf numFmtId="0" fontId="10" fillId="2" borderId="39" xfId="1" applyFont="1" applyFill="1" applyBorder="1" applyAlignment="1">
      <alignment horizontal="center" vertical="center"/>
    </xf>
    <xf numFmtId="0" fontId="5" fillId="2" borderId="54" xfId="1" applyFont="1" applyFill="1" applyBorder="1" applyAlignment="1" applyProtection="1">
      <alignment vertical="center"/>
      <protection locked="0"/>
    </xf>
    <xf numFmtId="178" fontId="18" fillId="5" borderId="53" xfId="1" applyNumberFormat="1" applyFont="1" applyFill="1" applyBorder="1" applyAlignment="1" applyProtection="1">
      <alignment horizontal="center" shrinkToFit="1"/>
      <protection locked="0"/>
    </xf>
    <xf numFmtId="0" fontId="18" fillId="5" borderId="54" xfId="1" applyFont="1" applyFill="1" applyBorder="1" applyAlignment="1" applyProtection="1">
      <alignment horizontal="center" shrinkToFit="1"/>
      <protection locked="0"/>
    </xf>
    <xf numFmtId="0" fontId="19" fillId="0" borderId="25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0" fontId="9" fillId="0" borderId="8" xfId="1" applyFont="1" applyBorder="1" applyAlignment="1">
      <alignment horizontal="center" vertical="center" wrapText="1"/>
    </xf>
    <xf numFmtId="0" fontId="9" fillId="0" borderId="43" xfId="1" applyFont="1" applyBorder="1" applyAlignment="1">
      <alignment horizontal="center" vertical="center" wrapText="1"/>
    </xf>
    <xf numFmtId="0" fontId="9" fillId="0" borderId="44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center" vertical="center" wrapText="1"/>
    </xf>
    <xf numFmtId="0" fontId="9" fillId="0" borderId="3" xfId="1" applyFont="1" applyBorder="1" applyAlignment="1">
      <alignment horizontal="center" vertical="center" wrapText="1"/>
    </xf>
    <xf numFmtId="0" fontId="9" fillId="0" borderId="10" xfId="1" applyFont="1" applyBorder="1" applyAlignment="1">
      <alignment horizontal="center" vertical="center" wrapText="1"/>
    </xf>
    <xf numFmtId="0" fontId="9" fillId="0" borderId="40" xfId="1" applyFont="1" applyBorder="1" applyAlignment="1">
      <alignment horizontal="center" vertical="center"/>
    </xf>
    <xf numFmtId="0" fontId="9" fillId="0" borderId="41" xfId="1" applyFont="1" applyBorder="1" applyAlignment="1">
      <alignment horizontal="center" vertical="center"/>
    </xf>
    <xf numFmtId="0" fontId="9" fillId="0" borderId="42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9" fillId="0" borderId="16" xfId="1" applyFont="1" applyBorder="1" applyAlignment="1">
      <alignment horizontal="center" vertical="center" wrapText="1"/>
    </xf>
    <xf numFmtId="0" fontId="9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0" fontId="13" fillId="0" borderId="48" xfId="1" applyFont="1" applyBorder="1" applyAlignment="1">
      <alignment horizontal="center" vertical="center"/>
    </xf>
    <xf numFmtId="0" fontId="9" fillId="0" borderId="40" xfId="1" applyFont="1" applyBorder="1" applyAlignment="1">
      <alignment horizontal="center" vertical="center" wrapText="1"/>
    </xf>
    <xf numFmtId="0" fontId="9" fillId="0" borderId="41" xfId="1" applyFont="1" applyBorder="1" applyAlignment="1">
      <alignment horizontal="center" vertical="center" wrapText="1"/>
    </xf>
    <xf numFmtId="0" fontId="9" fillId="0" borderId="60" xfId="1" applyFont="1" applyBorder="1" applyAlignment="1">
      <alignment horizontal="center" vertical="center" wrapText="1"/>
    </xf>
    <xf numFmtId="0" fontId="9" fillId="0" borderId="34" xfId="1" applyFont="1" applyBorder="1" applyAlignment="1">
      <alignment horizontal="center" vertical="center" wrapText="1"/>
    </xf>
    <xf numFmtId="0" fontId="9" fillId="0" borderId="4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/>
    </xf>
    <xf numFmtId="0" fontId="9" fillId="0" borderId="3" xfId="1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 wrapText="1"/>
    </xf>
    <xf numFmtId="0" fontId="9" fillId="0" borderId="42" xfId="1" applyFont="1" applyBorder="1" applyAlignment="1">
      <alignment horizontal="center" vertical="center" wrapText="1"/>
    </xf>
    <xf numFmtId="0" fontId="9" fillId="0" borderId="11" xfId="1" applyFont="1" applyBorder="1" applyAlignment="1">
      <alignment horizontal="center" vertical="center" wrapText="1"/>
    </xf>
    <xf numFmtId="0" fontId="9" fillId="0" borderId="12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3" fillId="4" borderId="0" xfId="1" applyFont="1" applyFill="1" applyAlignment="1">
      <alignment horizontal="center" vertical="center"/>
    </xf>
  </cellXfs>
  <cellStyles count="7">
    <cellStyle name="百分比 2" xfId="6" xr:uid="{AE475A6B-0E40-435F-971B-FDA91B73FBA1}"/>
    <cellStyle name="常规" xfId="0" builtinId="0"/>
    <cellStyle name="常规 10" xfId="1" xr:uid="{F723920F-F75D-4F81-934C-9FABB1331B70}"/>
    <cellStyle name="常规 16" xfId="3" xr:uid="{98CBDDE8-0486-4B0F-B668-45F0435B91F6}"/>
    <cellStyle name="常规 16 4_第二批分班名单" xfId="4" xr:uid="{F0205C33-20CC-4D67-A29D-E760F2F4A337}"/>
    <cellStyle name="常规 2 10" xfId="5" xr:uid="{24750E53-BF1F-4FD0-9F33-27E174DA375D}"/>
    <cellStyle name="常规_八06.10" xfId="2" xr:uid="{C2496726-88D3-4A45-BFCE-302E12B892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20B3-7540-4807-B18D-92F4E3B087FB}">
  <sheetPr>
    <tabColor theme="4" tint="-0.249977111117893"/>
  </sheetPr>
  <dimension ref="A1:DD484"/>
  <sheetViews>
    <sheetView topLeftCell="A371" zoomScaleNormal="100" zoomScaleSheetLayoutView="100" workbookViewId="0">
      <selection activeCell="A405" sqref="A405:XFD405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4.75" style="1" customWidth="1"/>
    <col min="7" max="22" width="5.125" style="1" customWidth="1"/>
    <col min="23" max="23" width="5.125" style="327" customWidth="1"/>
    <col min="24" max="24" width="5.125" style="1" customWidth="1"/>
    <col min="25" max="108" width="9" style="24"/>
    <col min="109" max="16384" width="9" style="1"/>
  </cols>
  <sheetData>
    <row r="1" spans="2:108" ht="17.25" customHeight="1" x14ac:dyDescent="0.2">
      <c r="B1" s="384" t="s">
        <v>100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297"/>
    </row>
    <row r="2" spans="2:108" s="5" customFormat="1" ht="15" customHeight="1" thickBot="1" x14ac:dyDescent="0.25">
      <c r="B2" s="2" t="s">
        <v>0</v>
      </c>
      <c r="C2" s="2"/>
      <c r="W2" s="26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</row>
    <row r="3" spans="2:108" s="6" customFormat="1" ht="13.5" customHeight="1" thickBot="1" x14ac:dyDescent="0.25">
      <c r="B3" s="385" t="s">
        <v>1</v>
      </c>
      <c r="C3" s="387" t="s">
        <v>77</v>
      </c>
      <c r="D3" s="389" t="s">
        <v>2</v>
      </c>
      <c r="E3" s="385" t="s">
        <v>3</v>
      </c>
      <c r="F3" s="391" t="s">
        <v>111</v>
      </c>
      <c r="G3" s="213"/>
      <c r="H3" s="254" t="s">
        <v>5</v>
      </c>
      <c r="I3" s="254"/>
      <c r="J3" s="254"/>
      <c r="K3" s="254"/>
      <c r="L3" s="254"/>
      <c r="M3" s="254"/>
      <c r="N3" s="247" t="s">
        <v>6</v>
      </c>
      <c r="O3" s="248"/>
      <c r="P3" s="248"/>
      <c r="Q3" s="248"/>
      <c r="R3" s="248"/>
      <c r="S3" s="248"/>
      <c r="T3" s="248"/>
      <c r="U3" s="248"/>
      <c r="V3" s="248"/>
      <c r="W3" s="248"/>
      <c r="X3" s="249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</row>
    <row r="4" spans="2:108" s="6" customFormat="1" ht="40.5" customHeight="1" thickBot="1" x14ac:dyDescent="0.25">
      <c r="B4" s="386"/>
      <c r="C4" s="388"/>
      <c r="D4" s="390"/>
      <c r="E4" s="386"/>
      <c r="F4" s="392"/>
      <c r="G4" s="256" t="s">
        <v>122</v>
      </c>
      <c r="H4" s="153" t="s">
        <v>124</v>
      </c>
      <c r="I4" s="153" t="s">
        <v>126</v>
      </c>
      <c r="J4" s="153" t="s">
        <v>128</v>
      </c>
      <c r="K4" s="153" t="s">
        <v>157</v>
      </c>
      <c r="L4" s="153" t="s">
        <v>159</v>
      </c>
      <c r="M4" s="258" t="s">
        <v>161</v>
      </c>
      <c r="N4" s="304" t="s">
        <v>106</v>
      </c>
      <c r="O4" s="207" t="s">
        <v>18</v>
      </c>
      <c r="P4" s="207" t="s">
        <v>19</v>
      </c>
      <c r="Q4" s="207" t="s">
        <v>110</v>
      </c>
      <c r="R4" s="207" t="s">
        <v>20</v>
      </c>
      <c r="S4" s="305" t="s">
        <v>21</v>
      </c>
      <c r="T4" s="305" t="s">
        <v>109</v>
      </c>
      <c r="U4" s="306" t="s">
        <v>22</v>
      </c>
      <c r="V4" s="315" t="s">
        <v>110</v>
      </c>
      <c r="W4" s="333" t="s">
        <v>134</v>
      </c>
      <c r="X4" s="337" t="s">
        <v>111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</row>
    <row r="5" spans="2:108" ht="14.25" customHeight="1" x14ac:dyDescent="0.35">
      <c r="B5" s="259" t="s">
        <v>64</v>
      </c>
      <c r="C5" s="260"/>
      <c r="D5" s="261"/>
      <c r="E5" s="262"/>
      <c r="F5" s="263"/>
      <c r="G5" s="264"/>
      <c r="H5" s="265"/>
      <c r="I5" s="265"/>
      <c r="J5" s="265"/>
      <c r="K5" s="265"/>
      <c r="L5" s="265"/>
      <c r="M5" s="266"/>
      <c r="N5" s="308"/>
      <c r="O5" s="309"/>
      <c r="P5" s="310"/>
      <c r="Q5" s="309"/>
      <c r="R5" s="309"/>
      <c r="S5" s="311"/>
      <c r="T5" s="312"/>
      <c r="U5" s="313"/>
      <c r="V5" s="316"/>
      <c r="W5" s="334">
        <f>Q5*-3+T5*-1+V5*-1</f>
        <v>0</v>
      </c>
      <c r="X5" s="338"/>
      <c r="Y5" s="201">
        <v>1</v>
      </c>
      <c r="CZ5" s="1"/>
      <c r="DA5" s="1"/>
      <c r="DB5" s="1"/>
      <c r="DC5" s="1"/>
      <c r="DD5" s="1"/>
    </row>
    <row r="6" spans="2:108" ht="14.25" customHeight="1" x14ac:dyDescent="0.35">
      <c r="B6" s="364" t="s">
        <v>242</v>
      </c>
      <c r="C6" s="365"/>
      <c r="D6" s="366"/>
      <c r="E6" s="367"/>
      <c r="F6" s="368"/>
      <c r="G6" s="264"/>
      <c r="H6" s="265"/>
      <c r="I6" s="265"/>
      <c r="J6" s="265"/>
      <c r="K6" s="265"/>
      <c r="L6" s="265"/>
      <c r="M6" s="266"/>
      <c r="N6" s="369"/>
      <c r="O6" s="370"/>
      <c r="P6" s="371"/>
      <c r="Q6" s="370"/>
      <c r="R6" s="370"/>
      <c r="S6" s="372"/>
      <c r="T6" s="373"/>
      <c r="U6" s="374"/>
      <c r="V6" s="375"/>
      <c r="W6" s="376"/>
      <c r="X6" s="377"/>
      <c r="Y6" s="201">
        <v>2</v>
      </c>
      <c r="CZ6" s="1"/>
      <c r="DA6" s="1"/>
      <c r="DB6" s="1"/>
      <c r="DC6" s="1"/>
      <c r="DD6" s="1"/>
    </row>
    <row r="7" spans="2:108" ht="14.25" customHeight="1" x14ac:dyDescent="0.35">
      <c r="B7" s="364" t="s">
        <v>144</v>
      </c>
      <c r="C7" s="365"/>
      <c r="D7" s="366"/>
      <c r="E7" s="367"/>
      <c r="F7" s="368"/>
      <c r="G7" s="264"/>
      <c r="H7" s="265"/>
      <c r="I7" s="265"/>
      <c r="J7" s="265"/>
      <c r="K7" s="265"/>
      <c r="L7" s="265"/>
      <c r="M7" s="266"/>
      <c r="N7" s="369"/>
      <c r="O7" s="370"/>
      <c r="P7" s="371"/>
      <c r="Q7" s="370"/>
      <c r="R7" s="370"/>
      <c r="S7" s="372"/>
      <c r="T7" s="373"/>
      <c r="U7" s="374"/>
      <c r="V7" s="375"/>
      <c r="W7" s="376"/>
      <c r="X7" s="377"/>
      <c r="Y7" s="201">
        <v>3</v>
      </c>
      <c r="CZ7" s="1"/>
      <c r="DA7" s="1"/>
      <c r="DB7" s="1"/>
      <c r="DC7" s="1"/>
      <c r="DD7" s="1"/>
    </row>
    <row r="8" spans="2:108" ht="14.25" customHeight="1" x14ac:dyDescent="0.35">
      <c r="B8" s="364" t="s">
        <v>67</v>
      </c>
      <c r="C8" s="365"/>
      <c r="D8" s="366"/>
      <c r="E8" s="367"/>
      <c r="F8" s="368"/>
      <c r="G8" s="264"/>
      <c r="H8" s="265"/>
      <c r="I8" s="265"/>
      <c r="J8" s="265"/>
      <c r="K8" s="265"/>
      <c r="L8" s="265"/>
      <c r="M8" s="266"/>
      <c r="N8" s="369"/>
      <c r="O8" s="370"/>
      <c r="P8" s="371"/>
      <c r="Q8" s="370"/>
      <c r="R8" s="370"/>
      <c r="S8" s="372"/>
      <c r="T8" s="373"/>
      <c r="U8" s="374"/>
      <c r="V8" s="375"/>
      <c r="W8" s="376"/>
      <c r="X8" s="377"/>
      <c r="Y8" s="201">
        <v>4</v>
      </c>
      <c r="CZ8" s="1"/>
      <c r="DA8" s="1"/>
      <c r="DB8" s="1"/>
      <c r="DC8" s="1"/>
      <c r="DD8" s="1"/>
    </row>
    <row r="9" spans="2:108" ht="14.25" customHeight="1" x14ac:dyDescent="0.35">
      <c r="B9" s="364" t="s">
        <v>68</v>
      </c>
      <c r="C9" s="365"/>
      <c r="D9" s="366"/>
      <c r="E9" s="367"/>
      <c r="F9" s="368"/>
      <c r="G9" s="264"/>
      <c r="H9" s="265"/>
      <c r="I9" s="265"/>
      <c r="J9" s="265"/>
      <c r="K9" s="265"/>
      <c r="L9" s="265"/>
      <c r="M9" s="266"/>
      <c r="N9" s="369"/>
      <c r="O9" s="370"/>
      <c r="P9" s="371"/>
      <c r="Q9" s="370"/>
      <c r="R9" s="370"/>
      <c r="S9" s="372"/>
      <c r="T9" s="373"/>
      <c r="U9" s="374"/>
      <c r="V9" s="375"/>
      <c r="W9" s="376"/>
      <c r="X9" s="377"/>
      <c r="Y9" s="201">
        <v>5</v>
      </c>
      <c r="CZ9" s="1"/>
      <c r="DA9" s="1"/>
      <c r="DB9" s="1"/>
      <c r="DC9" s="1"/>
      <c r="DD9" s="1"/>
    </row>
    <row r="10" spans="2:108" ht="14.25" customHeight="1" x14ac:dyDescent="0.35">
      <c r="B10" s="364" t="s">
        <v>69</v>
      </c>
      <c r="C10" s="365"/>
      <c r="D10" s="366"/>
      <c r="E10" s="367"/>
      <c r="F10" s="368"/>
      <c r="G10" s="264"/>
      <c r="H10" s="265"/>
      <c r="I10" s="265"/>
      <c r="J10" s="265"/>
      <c r="K10" s="265"/>
      <c r="L10" s="265"/>
      <c r="M10" s="266"/>
      <c r="N10" s="369"/>
      <c r="O10" s="370"/>
      <c r="P10" s="371"/>
      <c r="Q10" s="370"/>
      <c r="R10" s="370"/>
      <c r="S10" s="372"/>
      <c r="T10" s="373"/>
      <c r="U10" s="374"/>
      <c r="V10" s="375"/>
      <c r="W10" s="376"/>
      <c r="X10" s="377"/>
      <c r="Y10" s="201">
        <v>6</v>
      </c>
      <c r="CZ10" s="1"/>
      <c r="DA10" s="1"/>
      <c r="DB10" s="1"/>
      <c r="DC10" s="1"/>
      <c r="DD10" s="1"/>
    </row>
    <row r="11" spans="2:108" ht="14.25" customHeight="1" x14ac:dyDescent="0.35">
      <c r="B11" s="364" t="s">
        <v>70</v>
      </c>
      <c r="C11" s="365"/>
      <c r="D11" s="366"/>
      <c r="E11" s="367"/>
      <c r="F11" s="368"/>
      <c r="G11" s="264"/>
      <c r="H11" s="265"/>
      <c r="I11" s="265"/>
      <c r="J11" s="265"/>
      <c r="K11" s="265"/>
      <c r="L11" s="265"/>
      <c r="M11" s="266"/>
      <c r="N11" s="369"/>
      <c r="O11" s="370"/>
      <c r="P11" s="371"/>
      <c r="Q11" s="370"/>
      <c r="R11" s="370"/>
      <c r="S11" s="372"/>
      <c r="T11" s="373"/>
      <c r="U11" s="374"/>
      <c r="V11" s="375"/>
      <c r="W11" s="376"/>
      <c r="X11" s="377"/>
      <c r="Y11" s="201">
        <v>7</v>
      </c>
      <c r="CZ11" s="1"/>
      <c r="DA11" s="1"/>
      <c r="DB11" s="1"/>
      <c r="DC11" s="1"/>
      <c r="DD11" s="1"/>
    </row>
    <row r="12" spans="2:108" ht="14.25" customHeight="1" x14ac:dyDescent="0.35">
      <c r="B12" s="364" t="s">
        <v>71</v>
      </c>
      <c r="C12" s="365"/>
      <c r="D12" s="366"/>
      <c r="E12" s="367"/>
      <c r="F12" s="368"/>
      <c r="G12" s="264"/>
      <c r="H12" s="265"/>
      <c r="I12" s="265"/>
      <c r="J12" s="265"/>
      <c r="K12" s="265"/>
      <c r="L12" s="265"/>
      <c r="M12" s="266"/>
      <c r="N12" s="369"/>
      <c r="O12" s="370"/>
      <c r="P12" s="371"/>
      <c r="Q12" s="370"/>
      <c r="R12" s="370"/>
      <c r="S12" s="372"/>
      <c r="T12" s="373"/>
      <c r="U12" s="374"/>
      <c r="V12" s="375"/>
      <c r="W12" s="376"/>
      <c r="X12" s="377"/>
      <c r="Y12" s="201">
        <v>8</v>
      </c>
      <c r="CZ12" s="1"/>
      <c r="DA12" s="1"/>
      <c r="DB12" s="1"/>
      <c r="DC12" s="1"/>
      <c r="DD12" s="1"/>
    </row>
    <row r="13" spans="2:108" ht="14.25" customHeight="1" x14ac:dyDescent="0.35">
      <c r="B13" s="364" t="s">
        <v>243</v>
      </c>
      <c r="C13" s="365"/>
      <c r="D13" s="366"/>
      <c r="E13" s="367"/>
      <c r="F13" s="368"/>
      <c r="G13" s="264"/>
      <c r="H13" s="265"/>
      <c r="I13" s="265"/>
      <c r="J13" s="265"/>
      <c r="K13" s="265"/>
      <c r="L13" s="265"/>
      <c r="M13" s="266"/>
      <c r="N13" s="369"/>
      <c r="O13" s="370"/>
      <c r="P13" s="371"/>
      <c r="Q13" s="370"/>
      <c r="R13" s="370"/>
      <c r="S13" s="372"/>
      <c r="T13" s="373"/>
      <c r="U13" s="374"/>
      <c r="V13" s="375"/>
      <c r="W13" s="376"/>
      <c r="X13" s="377"/>
      <c r="Y13" s="201">
        <v>9</v>
      </c>
      <c r="CZ13" s="1"/>
      <c r="DA13" s="1"/>
      <c r="DB13" s="1"/>
      <c r="DC13" s="1"/>
      <c r="DD13" s="1"/>
    </row>
    <row r="14" spans="2:108" ht="14.25" customHeight="1" x14ac:dyDescent="0.35">
      <c r="B14" s="364" t="s">
        <v>244</v>
      </c>
      <c r="C14" s="365"/>
      <c r="D14" s="366"/>
      <c r="E14" s="367"/>
      <c r="F14" s="368"/>
      <c r="G14" s="264"/>
      <c r="H14" s="265"/>
      <c r="I14" s="265"/>
      <c r="J14" s="265"/>
      <c r="K14" s="265"/>
      <c r="L14" s="265"/>
      <c r="M14" s="266"/>
      <c r="N14" s="369"/>
      <c r="O14" s="370"/>
      <c r="P14" s="371"/>
      <c r="Q14" s="370"/>
      <c r="R14" s="370"/>
      <c r="S14" s="372"/>
      <c r="T14" s="373"/>
      <c r="U14" s="374"/>
      <c r="V14" s="375"/>
      <c r="W14" s="376"/>
      <c r="X14" s="377"/>
      <c r="Y14" s="201">
        <v>10</v>
      </c>
      <c r="CZ14" s="1"/>
      <c r="DA14" s="1"/>
      <c r="DB14" s="1"/>
      <c r="DC14" s="1"/>
      <c r="DD14" s="1"/>
    </row>
    <row r="15" spans="2:108" ht="14.25" customHeight="1" x14ac:dyDescent="0.35">
      <c r="B15" s="364" t="s">
        <v>245</v>
      </c>
      <c r="C15" s="365"/>
      <c r="D15" s="366"/>
      <c r="E15" s="367"/>
      <c r="F15" s="368"/>
      <c r="G15" s="264"/>
      <c r="H15" s="265"/>
      <c r="I15" s="265"/>
      <c r="J15" s="265"/>
      <c r="K15" s="265"/>
      <c r="L15" s="265"/>
      <c r="M15" s="266"/>
      <c r="N15" s="369"/>
      <c r="O15" s="370"/>
      <c r="P15" s="371"/>
      <c r="Q15" s="370"/>
      <c r="R15" s="370"/>
      <c r="S15" s="372"/>
      <c r="T15" s="373"/>
      <c r="U15" s="374"/>
      <c r="V15" s="375"/>
      <c r="W15" s="376"/>
      <c r="X15" s="377"/>
      <c r="Y15" s="201">
        <v>11</v>
      </c>
      <c r="CZ15" s="1"/>
      <c r="DA15" s="1"/>
      <c r="DB15" s="1"/>
      <c r="DC15" s="1"/>
      <c r="DD15" s="1"/>
    </row>
    <row r="16" spans="2:108" ht="14.25" customHeight="1" x14ac:dyDescent="0.35">
      <c r="B16" s="364" t="s">
        <v>246</v>
      </c>
      <c r="C16" s="365"/>
      <c r="D16" s="366"/>
      <c r="E16" s="367"/>
      <c r="F16" s="368"/>
      <c r="G16" s="264"/>
      <c r="H16" s="265"/>
      <c r="I16" s="265"/>
      <c r="J16" s="265"/>
      <c r="K16" s="265"/>
      <c r="L16" s="265"/>
      <c r="M16" s="266"/>
      <c r="N16" s="369"/>
      <c r="O16" s="370"/>
      <c r="P16" s="371"/>
      <c r="Q16" s="370"/>
      <c r="R16" s="370"/>
      <c r="S16" s="372"/>
      <c r="T16" s="373"/>
      <c r="U16" s="374"/>
      <c r="V16" s="375"/>
      <c r="W16" s="376"/>
      <c r="X16" s="377"/>
      <c r="Y16" s="201">
        <v>12</v>
      </c>
      <c r="CZ16" s="1"/>
      <c r="DA16" s="1"/>
      <c r="DB16" s="1"/>
      <c r="DC16" s="1"/>
      <c r="DD16" s="1"/>
    </row>
    <row r="17" spans="2:108" ht="14.25" customHeight="1" x14ac:dyDescent="0.35">
      <c r="B17" s="364" t="s">
        <v>247</v>
      </c>
      <c r="C17" s="365"/>
      <c r="D17" s="366"/>
      <c r="E17" s="367"/>
      <c r="F17" s="368"/>
      <c r="G17" s="264"/>
      <c r="H17" s="265"/>
      <c r="I17" s="265"/>
      <c r="J17" s="265"/>
      <c r="K17" s="265"/>
      <c r="L17" s="265"/>
      <c r="M17" s="266"/>
      <c r="N17" s="369"/>
      <c r="O17" s="370"/>
      <c r="P17" s="371"/>
      <c r="Q17" s="370"/>
      <c r="R17" s="370"/>
      <c r="S17" s="372"/>
      <c r="T17" s="373"/>
      <c r="U17" s="374"/>
      <c r="V17" s="375"/>
      <c r="W17" s="376"/>
      <c r="X17" s="377"/>
      <c r="Y17" s="201">
        <v>13</v>
      </c>
      <c r="CZ17" s="1"/>
      <c r="DA17" s="1"/>
      <c r="DB17" s="1"/>
      <c r="DC17" s="1"/>
      <c r="DD17" s="1"/>
    </row>
    <row r="18" spans="2:108" ht="14.25" customHeight="1" x14ac:dyDescent="0.35">
      <c r="B18" s="364" t="s">
        <v>248</v>
      </c>
      <c r="C18" s="365"/>
      <c r="D18" s="366"/>
      <c r="E18" s="367"/>
      <c r="F18" s="368"/>
      <c r="G18" s="264"/>
      <c r="H18" s="265"/>
      <c r="I18" s="265"/>
      <c r="J18" s="265"/>
      <c r="K18" s="265"/>
      <c r="L18" s="265"/>
      <c r="M18" s="266"/>
      <c r="N18" s="369"/>
      <c r="O18" s="370"/>
      <c r="P18" s="371"/>
      <c r="Q18" s="370"/>
      <c r="R18" s="370"/>
      <c r="S18" s="372"/>
      <c r="T18" s="373"/>
      <c r="U18" s="374"/>
      <c r="V18" s="375"/>
      <c r="W18" s="376"/>
      <c r="X18" s="377"/>
      <c r="Y18" s="201">
        <v>14</v>
      </c>
      <c r="CZ18" s="1"/>
      <c r="DA18" s="1"/>
      <c r="DB18" s="1"/>
      <c r="DC18" s="1"/>
      <c r="DD18" s="1"/>
    </row>
    <row r="19" spans="2:108" ht="14.25" customHeight="1" x14ac:dyDescent="0.35">
      <c r="B19" s="364" t="s">
        <v>249</v>
      </c>
      <c r="C19" s="365"/>
      <c r="D19" s="366"/>
      <c r="E19" s="367"/>
      <c r="F19" s="368"/>
      <c r="G19" s="264"/>
      <c r="H19" s="265"/>
      <c r="I19" s="265"/>
      <c r="J19" s="265"/>
      <c r="K19" s="265"/>
      <c r="L19" s="265"/>
      <c r="M19" s="266"/>
      <c r="N19" s="369"/>
      <c r="O19" s="370"/>
      <c r="P19" s="371"/>
      <c r="Q19" s="370"/>
      <c r="R19" s="370"/>
      <c r="S19" s="372"/>
      <c r="T19" s="373"/>
      <c r="U19" s="374"/>
      <c r="V19" s="375"/>
      <c r="W19" s="376"/>
      <c r="X19" s="377"/>
      <c r="Y19" s="201">
        <v>15</v>
      </c>
      <c r="CZ19" s="1"/>
      <c r="DA19" s="1"/>
      <c r="DB19" s="1"/>
      <c r="DC19" s="1"/>
      <c r="DD19" s="1"/>
    </row>
    <row r="20" spans="2:108" ht="14.25" customHeight="1" x14ac:dyDescent="0.35">
      <c r="B20" s="364" t="s">
        <v>250</v>
      </c>
      <c r="C20" s="365"/>
      <c r="D20" s="366"/>
      <c r="E20" s="367"/>
      <c r="F20" s="368"/>
      <c r="G20" s="264"/>
      <c r="H20" s="265"/>
      <c r="I20" s="265"/>
      <c r="J20" s="265"/>
      <c r="K20" s="265"/>
      <c r="L20" s="265"/>
      <c r="M20" s="266"/>
      <c r="N20" s="369"/>
      <c r="O20" s="370"/>
      <c r="P20" s="371"/>
      <c r="Q20" s="370"/>
      <c r="R20" s="370"/>
      <c r="S20" s="372"/>
      <c r="T20" s="373"/>
      <c r="U20" s="374"/>
      <c r="V20" s="375"/>
      <c r="W20" s="376"/>
      <c r="X20" s="377"/>
      <c r="Y20" s="201">
        <v>16</v>
      </c>
      <c r="CZ20" s="1"/>
      <c r="DA20" s="1"/>
      <c r="DB20" s="1"/>
      <c r="DC20" s="1"/>
      <c r="DD20" s="1"/>
    </row>
    <row r="21" spans="2:108" ht="14.25" customHeight="1" x14ac:dyDescent="0.35">
      <c r="B21" s="364" t="s">
        <v>251</v>
      </c>
      <c r="C21" s="365"/>
      <c r="D21" s="366"/>
      <c r="E21" s="367"/>
      <c r="F21" s="368"/>
      <c r="G21" s="264"/>
      <c r="H21" s="265"/>
      <c r="I21" s="265"/>
      <c r="J21" s="265"/>
      <c r="K21" s="265"/>
      <c r="L21" s="265"/>
      <c r="M21" s="266"/>
      <c r="N21" s="369"/>
      <c r="O21" s="370"/>
      <c r="P21" s="371"/>
      <c r="Q21" s="370"/>
      <c r="R21" s="370"/>
      <c r="S21" s="372"/>
      <c r="T21" s="373"/>
      <c r="U21" s="374"/>
      <c r="V21" s="375"/>
      <c r="W21" s="376"/>
      <c r="X21" s="377"/>
      <c r="Y21" s="201">
        <v>17</v>
      </c>
      <c r="CZ21" s="1"/>
      <c r="DA21" s="1"/>
      <c r="DB21" s="1"/>
      <c r="DC21" s="1"/>
      <c r="DD21" s="1"/>
    </row>
    <row r="22" spans="2:108" ht="14.25" customHeight="1" x14ac:dyDescent="0.35">
      <c r="B22" s="364" t="s">
        <v>252</v>
      </c>
      <c r="C22" s="365"/>
      <c r="D22" s="366"/>
      <c r="E22" s="367"/>
      <c r="F22" s="368"/>
      <c r="G22" s="264"/>
      <c r="H22" s="265"/>
      <c r="I22" s="265"/>
      <c r="J22" s="265"/>
      <c r="K22" s="265"/>
      <c r="L22" s="265"/>
      <c r="M22" s="266"/>
      <c r="N22" s="369"/>
      <c r="O22" s="370"/>
      <c r="P22" s="371"/>
      <c r="Q22" s="370"/>
      <c r="R22" s="370"/>
      <c r="S22" s="372"/>
      <c r="T22" s="373"/>
      <c r="U22" s="374"/>
      <c r="V22" s="375"/>
      <c r="W22" s="376"/>
      <c r="X22" s="377"/>
      <c r="Y22" s="201">
        <v>18</v>
      </c>
      <c r="CZ22" s="1"/>
      <c r="DA22" s="1"/>
      <c r="DB22" s="1"/>
      <c r="DC22" s="1"/>
      <c r="DD22" s="1"/>
    </row>
    <row r="23" spans="2:108" ht="14.25" customHeight="1" x14ac:dyDescent="0.35">
      <c r="B23" s="364" t="s">
        <v>253</v>
      </c>
      <c r="C23" s="365"/>
      <c r="D23" s="366"/>
      <c r="E23" s="367"/>
      <c r="F23" s="368"/>
      <c r="G23" s="264"/>
      <c r="H23" s="265"/>
      <c r="I23" s="265"/>
      <c r="J23" s="265"/>
      <c r="K23" s="265"/>
      <c r="L23" s="265"/>
      <c r="M23" s="266"/>
      <c r="N23" s="369"/>
      <c r="O23" s="370"/>
      <c r="P23" s="371"/>
      <c r="Q23" s="370"/>
      <c r="R23" s="370"/>
      <c r="S23" s="372"/>
      <c r="T23" s="373"/>
      <c r="U23" s="374"/>
      <c r="V23" s="375"/>
      <c r="W23" s="376"/>
      <c r="X23" s="377"/>
      <c r="Y23" s="201">
        <v>19</v>
      </c>
      <c r="CZ23" s="1"/>
      <c r="DA23" s="1"/>
      <c r="DB23" s="1"/>
      <c r="DC23" s="1"/>
      <c r="DD23" s="1"/>
    </row>
    <row r="24" spans="2:108" ht="14.25" customHeight="1" x14ac:dyDescent="0.35">
      <c r="B24" s="364" t="s">
        <v>254</v>
      </c>
      <c r="C24" s="365"/>
      <c r="D24" s="366"/>
      <c r="E24" s="367"/>
      <c r="F24" s="368"/>
      <c r="G24" s="264"/>
      <c r="H24" s="265"/>
      <c r="I24" s="265"/>
      <c r="J24" s="265"/>
      <c r="K24" s="265"/>
      <c r="L24" s="265"/>
      <c r="M24" s="266"/>
      <c r="N24" s="369"/>
      <c r="O24" s="370"/>
      <c r="P24" s="371"/>
      <c r="Q24" s="370"/>
      <c r="R24" s="370"/>
      <c r="S24" s="372"/>
      <c r="T24" s="373"/>
      <c r="U24" s="374"/>
      <c r="V24" s="375"/>
      <c r="W24" s="376"/>
      <c r="X24" s="377"/>
      <c r="Y24" s="201">
        <v>20</v>
      </c>
      <c r="CZ24" s="1"/>
      <c r="DA24" s="1"/>
      <c r="DB24" s="1"/>
      <c r="DC24" s="1"/>
      <c r="DD24" s="1"/>
    </row>
    <row r="25" spans="2:108" ht="14.25" customHeight="1" x14ac:dyDescent="0.35">
      <c r="B25" s="364" t="s">
        <v>255</v>
      </c>
      <c r="C25" s="365"/>
      <c r="D25" s="366"/>
      <c r="E25" s="367"/>
      <c r="F25" s="368"/>
      <c r="G25" s="264"/>
      <c r="H25" s="265"/>
      <c r="I25" s="265"/>
      <c r="J25" s="265"/>
      <c r="K25" s="265"/>
      <c r="L25" s="265"/>
      <c r="M25" s="266"/>
      <c r="N25" s="369"/>
      <c r="O25" s="370"/>
      <c r="P25" s="371"/>
      <c r="Q25" s="370"/>
      <c r="R25" s="370"/>
      <c r="S25" s="372"/>
      <c r="T25" s="373"/>
      <c r="U25" s="374"/>
      <c r="V25" s="375"/>
      <c r="W25" s="376"/>
      <c r="X25" s="377"/>
      <c r="Y25" s="201">
        <v>21</v>
      </c>
      <c r="CZ25" s="1"/>
      <c r="DA25" s="1"/>
      <c r="DB25" s="1"/>
      <c r="DC25" s="1"/>
      <c r="DD25" s="1"/>
    </row>
    <row r="26" spans="2:108" ht="14.25" customHeight="1" x14ac:dyDescent="0.35">
      <c r="B26" s="364" t="s">
        <v>256</v>
      </c>
      <c r="C26" s="365"/>
      <c r="D26" s="366"/>
      <c r="E26" s="367"/>
      <c r="F26" s="368"/>
      <c r="G26" s="264"/>
      <c r="H26" s="265"/>
      <c r="I26" s="265"/>
      <c r="J26" s="265"/>
      <c r="K26" s="265"/>
      <c r="L26" s="265"/>
      <c r="M26" s="266"/>
      <c r="N26" s="369"/>
      <c r="O26" s="370"/>
      <c r="P26" s="371"/>
      <c r="Q26" s="370"/>
      <c r="R26" s="370"/>
      <c r="S26" s="372"/>
      <c r="T26" s="373"/>
      <c r="U26" s="374"/>
      <c r="V26" s="375"/>
      <c r="W26" s="376"/>
      <c r="X26" s="377"/>
      <c r="Y26" s="201">
        <v>22</v>
      </c>
      <c r="CZ26" s="1"/>
      <c r="DA26" s="1"/>
      <c r="DB26" s="1"/>
      <c r="DC26" s="1"/>
      <c r="DD26" s="1"/>
    </row>
    <row r="27" spans="2:108" ht="14.25" customHeight="1" x14ac:dyDescent="0.35">
      <c r="B27" s="364" t="s">
        <v>257</v>
      </c>
      <c r="C27" s="365"/>
      <c r="D27" s="366"/>
      <c r="E27" s="367"/>
      <c r="F27" s="368"/>
      <c r="G27" s="264"/>
      <c r="H27" s="265"/>
      <c r="I27" s="265"/>
      <c r="J27" s="265"/>
      <c r="K27" s="265"/>
      <c r="L27" s="265"/>
      <c r="M27" s="266"/>
      <c r="N27" s="369"/>
      <c r="O27" s="370"/>
      <c r="P27" s="371"/>
      <c r="Q27" s="370"/>
      <c r="R27" s="370"/>
      <c r="S27" s="372"/>
      <c r="T27" s="373"/>
      <c r="U27" s="374"/>
      <c r="V27" s="375"/>
      <c r="W27" s="376"/>
      <c r="X27" s="377"/>
      <c r="Y27" s="201">
        <v>23</v>
      </c>
      <c r="CZ27" s="1"/>
      <c r="DA27" s="1"/>
      <c r="DB27" s="1"/>
      <c r="DC27" s="1"/>
      <c r="DD27" s="1"/>
    </row>
    <row r="28" spans="2:108" ht="14.25" customHeight="1" x14ac:dyDescent="0.35">
      <c r="B28" s="364" t="s">
        <v>258</v>
      </c>
      <c r="C28" s="365"/>
      <c r="D28" s="366"/>
      <c r="E28" s="367"/>
      <c r="F28" s="368"/>
      <c r="G28" s="264"/>
      <c r="H28" s="265"/>
      <c r="I28" s="265"/>
      <c r="J28" s="265"/>
      <c r="K28" s="265"/>
      <c r="L28" s="265"/>
      <c r="M28" s="266"/>
      <c r="N28" s="369"/>
      <c r="O28" s="370"/>
      <c r="P28" s="371"/>
      <c r="Q28" s="370"/>
      <c r="R28" s="370"/>
      <c r="S28" s="372"/>
      <c r="T28" s="373"/>
      <c r="U28" s="374"/>
      <c r="V28" s="375"/>
      <c r="W28" s="376"/>
      <c r="X28" s="377"/>
      <c r="Y28" s="201">
        <v>24</v>
      </c>
      <c r="CZ28" s="1"/>
      <c r="DA28" s="1"/>
      <c r="DB28" s="1"/>
      <c r="DC28" s="1"/>
      <c r="DD28" s="1"/>
    </row>
    <row r="29" spans="2:108" ht="14.25" customHeight="1" x14ac:dyDescent="0.35">
      <c r="B29" s="364" t="s">
        <v>259</v>
      </c>
      <c r="C29" s="365"/>
      <c r="D29" s="366"/>
      <c r="E29" s="367"/>
      <c r="F29" s="368"/>
      <c r="G29" s="264"/>
      <c r="H29" s="265"/>
      <c r="I29" s="265"/>
      <c r="J29" s="265"/>
      <c r="K29" s="265"/>
      <c r="L29" s="265"/>
      <c r="M29" s="266"/>
      <c r="N29" s="369"/>
      <c r="O29" s="370"/>
      <c r="P29" s="371"/>
      <c r="Q29" s="370"/>
      <c r="R29" s="370"/>
      <c r="S29" s="372"/>
      <c r="T29" s="373"/>
      <c r="U29" s="374"/>
      <c r="V29" s="375"/>
      <c r="W29" s="376"/>
      <c r="X29" s="377"/>
      <c r="Y29" s="201">
        <v>25</v>
      </c>
      <c r="CZ29" s="1"/>
      <c r="DA29" s="1"/>
      <c r="DB29" s="1"/>
      <c r="DC29" s="1"/>
      <c r="DD29" s="1"/>
    </row>
    <row r="30" spans="2:108" ht="14.25" customHeight="1" x14ac:dyDescent="0.35">
      <c r="B30" s="364" t="s">
        <v>260</v>
      </c>
      <c r="C30" s="365"/>
      <c r="D30" s="366"/>
      <c r="E30" s="367"/>
      <c r="F30" s="368"/>
      <c r="G30" s="264"/>
      <c r="H30" s="265"/>
      <c r="I30" s="265"/>
      <c r="J30" s="265"/>
      <c r="K30" s="265"/>
      <c r="L30" s="265"/>
      <c r="M30" s="266"/>
      <c r="N30" s="369"/>
      <c r="O30" s="370"/>
      <c r="P30" s="371"/>
      <c r="Q30" s="370"/>
      <c r="R30" s="370"/>
      <c r="S30" s="372"/>
      <c r="T30" s="373"/>
      <c r="U30" s="374"/>
      <c r="V30" s="375"/>
      <c r="W30" s="376"/>
      <c r="X30" s="377"/>
      <c r="Y30" s="201">
        <v>26</v>
      </c>
      <c r="CZ30" s="1"/>
      <c r="DA30" s="1"/>
      <c r="DB30" s="1"/>
      <c r="DC30" s="1"/>
      <c r="DD30" s="1"/>
    </row>
    <row r="31" spans="2:108" ht="14.25" customHeight="1" x14ac:dyDescent="0.35">
      <c r="B31" s="364" t="s">
        <v>261</v>
      </c>
      <c r="C31" s="365"/>
      <c r="D31" s="366"/>
      <c r="E31" s="367"/>
      <c r="F31" s="368"/>
      <c r="G31" s="264"/>
      <c r="H31" s="265"/>
      <c r="I31" s="265"/>
      <c r="J31" s="265"/>
      <c r="K31" s="265"/>
      <c r="L31" s="265"/>
      <c r="M31" s="266"/>
      <c r="N31" s="369"/>
      <c r="O31" s="370"/>
      <c r="P31" s="371"/>
      <c r="Q31" s="370"/>
      <c r="R31" s="370"/>
      <c r="S31" s="372"/>
      <c r="T31" s="373"/>
      <c r="U31" s="374"/>
      <c r="V31" s="375"/>
      <c r="W31" s="376"/>
      <c r="X31" s="377"/>
      <c r="Y31" s="201">
        <v>27</v>
      </c>
      <c r="CZ31" s="1"/>
      <c r="DA31" s="1"/>
      <c r="DB31" s="1"/>
      <c r="DC31" s="1"/>
      <c r="DD31" s="1"/>
    </row>
    <row r="32" spans="2:108" ht="14.25" customHeight="1" x14ac:dyDescent="0.35">
      <c r="B32" s="364" t="s">
        <v>262</v>
      </c>
      <c r="C32" s="365"/>
      <c r="D32" s="366"/>
      <c r="E32" s="367"/>
      <c r="F32" s="368"/>
      <c r="G32" s="264"/>
      <c r="H32" s="265"/>
      <c r="I32" s="265"/>
      <c r="J32" s="265"/>
      <c r="K32" s="265"/>
      <c r="L32" s="265"/>
      <c r="M32" s="266"/>
      <c r="N32" s="369"/>
      <c r="O32" s="370"/>
      <c r="P32" s="371"/>
      <c r="Q32" s="370"/>
      <c r="R32" s="370"/>
      <c r="S32" s="372"/>
      <c r="T32" s="373"/>
      <c r="U32" s="374"/>
      <c r="V32" s="375"/>
      <c r="W32" s="376"/>
      <c r="X32" s="377"/>
      <c r="Y32" s="201">
        <v>28</v>
      </c>
      <c r="CZ32" s="1"/>
      <c r="DA32" s="1"/>
      <c r="DB32" s="1"/>
      <c r="DC32" s="1"/>
      <c r="DD32" s="1"/>
    </row>
    <row r="33" spans="2:108" ht="14.25" customHeight="1" x14ac:dyDescent="0.35">
      <c r="B33" s="364" t="s">
        <v>263</v>
      </c>
      <c r="C33" s="365"/>
      <c r="D33" s="366"/>
      <c r="E33" s="367"/>
      <c r="F33" s="368"/>
      <c r="G33" s="264"/>
      <c r="H33" s="265"/>
      <c r="I33" s="265"/>
      <c r="J33" s="265"/>
      <c r="K33" s="265"/>
      <c r="L33" s="265"/>
      <c r="M33" s="266"/>
      <c r="N33" s="369"/>
      <c r="O33" s="370"/>
      <c r="P33" s="371"/>
      <c r="Q33" s="370"/>
      <c r="R33" s="370"/>
      <c r="S33" s="372"/>
      <c r="T33" s="373"/>
      <c r="U33" s="374"/>
      <c r="V33" s="375"/>
      <c r="W33" s="376"/>
      <c r="X33" s="377"/>
      <c r="Y33" s="201">
        <v>29</v>
      </c>
      <c r="CZ33" s="1"/>
      <c r="DA33" s="1"/>
      <c r="DB33" s="1"/>
      <c r="DC33" s="1"/>
      <c r="DD33" s="1"/>
    </row>
    <row r="34" spans="2:108" ht="14.25" customHeight="1" x14ac:dyDescent="0.35">
      <c r="B34" s="364" t="s">
        <v>264</v>
      </c>
      <c r="C34" s="365"/>
      <c r="D34" s="366"/>
      <c r="E34" s="367"/>
      <c r="F34" s="368"/>
      <c r="G34" s="264"/>
      <c r="H34" s="265"/>
      <c r="I34" s="265"/>
      <c r="J34" s="265"/>
      <c r="K34" s="265"/>
      <c r="L34" s="265"/>
      <c r="M34" s="266"/>
      <c r="N34" s="369"/>
      <c r="O34" s="370"/>
      <c r="P34" s="371"/>
      <c r="Q34" s="370"/>
      <c r="R34" s="370"/>
      <c r="S34" s="372"/>
      <c r="T34" s="373"/>
      <c r="U34" s="374"/>
      <c r="V34" s="375"/>
      <c r="W34" s="376"/>
      <c r="X34" s="377"/>
      <c r="Y34" s="201">
        <v>30</v>
      </c>
      <c r="CZ34" s="1"/>
      <c r="DA34" s="1"/>
      <c r="DB34" s="1"/>
      <c r="DC34" s="1"/>
      <c r="DD34" s="1"/>
    </row>
    <row r="35" spans="2:108" ht="14.25" customHeight="1" x14ac:dyDescent="0.35">
      <c r="B35" s="364" t="s">
        <v>265</v>
      </c>
      <c r="C35" s="365"/>
      <c r="D35" s="366"/>
      <c r="E35" s="367"/>
      <c r="F35" s="368"/>
      <c r="G35" s="264"/>
      <c r="H35" s="265"/>
      <c r="I35" s="265"/>
      <c r="J35" s="265"/>
      <c r="K35" s="265"/>
      <c r="L35" s="265"/>
      <c r="M35" s="266"/>
      <c r="N35" s="369"/>
      <c r="O35" s="370"/>
      <c r="P35" s="371"/>
      <c r="Q35" s="370"/>
      <c r="R35" s="370"/>
      <c r="S35" s="372"/>
      <c r="T35" s="373"/>
      <c r="U35" s="374"/>
      <c r="V35" s="375"/>
      <c r="W35" s="376"/>
      <c r="X35" s="377"/>
      <c r="Y35" s="201">
        <v>31</v>
      </c>
      <c r="CZ35" s="1"/>
      <c r="DA35" s="1"/>
      <c r="DB35" s="1"/>
      <c r="DC35" s="1"/>
      <c r="DD35" s="1"/>
    </row>
    <row r="36" spans="2:108" ht="14.25" customHeight="1" x14ac:dyDescent="0.35">
      <c r="B36" s="364" t="s">
        <v>266</v>
      </c>
      <c r="C36" s="365"/>
      <c r="D36" s="366"/>
      <c r="E36" s="367"/>
      <c r="F36" s="368"/>
      <c r="G36" s="264"/>
      <c r="H36" s="265"/>
      <c r="I36" s="265"/>
      <c r="J36" s="265"/>
      <c r="K36" s="265"/>
      <c r="L36" s="265"/>
      <c r="M36" s="266"/>
      <c r="N36" s="369"/>
      <c r="O36" s="370"/>
      <c r="P36" s="371"/>
      <c r="Q36" s="370"/>
      <c r="R36" s="370"/>
      <c r="S36" s="372"/>
      <c r="T36" s="373"/>
      <c r="U36" s="374"/>
      <c r="V36" s="375"/>
      <c r="W36" s="376"/>
      <c r="X36" s="377"/>
      <c r="Y36" s="201">
        <v>32</v>
      </c>
      <c r="CZ36" s="1"/>
      <c r="DA36" s="1"/>
      <c r="DB36" s="1"/>
      <c r="DC36" s="1"/>
      <c r="DD36" s="1"/>
    </row>
    <row r="37" spans="2:108" ht="14.25" customHeight="1" x14ac:dyDescent="0.35">
      <c r="B37" s="364" t="s">
        <v>267</v>
      </c>
      <c r="C37" s="365"/>
      <c r="D37" s="366"/>
      <c r="E37" s="367"/>
      <c r="F37" s="368"/>
      <c r="G37" s="264"/>
      <c r="H37" s="265"/>
      <c r="I37" s="265"/>
      <c r="J37" s="265"/>
      <c r="K37" s="265"/>
      <c r="L37" s="265"/>
      <c r="M37" s="266"/>
      <c r="N37" s="369"/>
      <c r="O37" s="370"/>
      <c r="P37" s="371"/>
      <c r="Q37" s="370"/>
      <c r="R37" s="370"/>
      <c r="S37" s="372"/>
      <c r="T37" s="373"/>
      <c r="U37" s="374"/>
      <c r="V37" s="375"/>
      <c r="W37" s="376"/>
      <c r="X37" s="377"/>
      <c r="Y37" s="201">
        <v>33</v>
      </c>
      <c r="CZ37" s="1"/>
      <c r="DA37" s="1"/>
      <c r="DB37" s="1"/>
      <c r="DC37" s="1"/>
      <c r="DD37" s="1"/>
    </row>
    <row r="38" spans="2:108" ht="14.25" customHeight="1" x14ac:dyDescent="0.35">
      <c r="B38" s="364" t="s">
        <v>268</v>
      </c>
      <c r="C38" s="268"/>
      <c r="D38" s="269"/>
      <c r="E38" s="270"/>
      <c r="F38" s="271"/>
      <c r="G38" s="272"/>
      <c r="H38" s="273"/>
      <c r="I38" s="273"/>
      <c r="J38" s="273"/>
      <c r="K38" s="273"/>
      <c r="L38" s="273"/>
      <c r="M38" s="274"/>
      <c r="N38" s="275"/>
      <c r="O38" s="276"/>
      <c r="P38" s="277"/>
      <c r="Q38" s="276"/>
      <c r="R38" s="276"/>
      <c r="S38" s="278"/>
      <c r="T38" s="279"/>
      <c r="U38" s="280"/>
      <c r="V38" s="317"/>
      <c r="W38" s="335">
        <f>Q38*-3+T38*-1+V38*-1</f>
        <v>0</v>
      </c>
      <c r="X38" s="339"/>
      <c r="Y38" s="201">
        <v>34</v>
      </c>
      <c r="CZ38" s="1"/>
      <c r="DA38" s="1"/>
      <c r="DB38" s="1"/>
      <c r="DC38" s="1"/>
      <c r="DD38" s="1"/>
    </row>
    <row r="39" spans="2:108" ht="14.25" customHeight="1" x14ac:dyDescent="0.35">
      <c r="B39" s="364" t="s">
        <v>269</v>
      </c>
      <c r="C39" s="268"/>
      <c r="D39" s="269"/>
      <c r="E39" s="270"/>
      <c r="F39" s="271"/>
      <c r="G39" s="272"/>
      <c r="H39" s="273"/>
      <c r="I39" s="273"/>
      <c r="J39" s="273"/>
      <c r="K39" s="273"/>
      <c r="L39" s="273"/>
      <c r="M39" s="274"/>
      <c r="N39" s="275"/>
      <c r="O39" s="276"/>
      <c r="P39" s="277"/>
      <c r="Q39" s="276"/>
      <c r="R39" s="276"/>
      <c r="S39" s="278"/>
      <c r="T39" s="279"/>
      <c r="U39" s="280"/>
      <c r="V39" s="317"/>
      <c r="W39" s="335">
        <f t="shared" ref="W39:W44" si="0">Q39*-3+T39*-1+V39*-1</f>
        <v>0</v>
      </c>
      <c r="X39" s="339"/>
      <c r="Y39" s="201">
        <v>35</v>
      </c>
      <c r="CZ39" s="1"/>
      <c r="DA39" s="1"/>
      <c r="DB39" s="1"/>
      <c r="DC39" s="1"/>
      <c r="DD39" s="1"/>
    </row>
    <row r="40" spans="2:108" ht="14.25" customHeight="1" x14ac:dyDescent="0.35">
      <c r="B40" s="364" t="s">
        <v>270</v>
      </c>
      <c r="C40" s="268"/>
      <c r="D40" s="269"/>
      <c r="E40" s="270"/>
      <c r="F40" s="271"/>
      <c r="G40" s="272"/>
      <c r="H40" s="273"/>
      <c r="I40" s="273"/>
      <c r="J40" s="273"/>
      <c r="K40" s="273"/>
      <c r="L40" s="273"/>
      <c r="M40" s="274"/>
      <c r="N40" s="275"/>
      <c r="O40" s="276"/>
      <c r="P40" s="277"/>
      <c r="Q40" s="276"/>
      <c r="R40" s="276"/>
      <c r="S40" s="278"/>
      <c r="T40" s="279"/>
      <c r="U40" s="280"/>
      <c r="V40" s="317"/>
      <c r="W40" s="335">
        <f t="shared" si="0"/>
        <v>0</v>
      </c>
      <c r="X40" s="339"/>
      <c r="Y40" s="201">
        <v>36</v>
      </c>
      <c r="CZ40" s="1"/>
      <c r="DA40" s="1"/>
      <c r="DB40" s="1"/>
      <c r="DC40" s="1"/>
      <c r="DD40" s="1"/>
    </row>
    <row r="41" spans="2:108" ht="14.25" customHeight="1" x14ac:dyDescent="0.35">
      <c r="B41" s="364" t="s">
        <v>271</v>
      </c>
      <c r="C41" s="268"/>
      <c r="D41" s="269"/>
      <c r="E41" s="270"/>
      <c r="F41" s="271"/>
      <c r="G41" s="272"/>
      <c r="H41" s="273"/>
      <c r="I41" s="273"/>
      <c r="J41" s="273"/>
      <c r="K41" s="273"/>
      <c r="L41" s="273"/>
      <c r="M41" s="274"/>
      <c r="N41" s="275"/>
      <c r="O41" s="276"/>
      <c r="P41" s="277"/>
      <c r="Q41" s="276"/>
      <c r="R41" s="276"/>
      <c r="S41" s="278"/>
      <c r="T41" s="279"/>
      <c r="U41" s="280"/>
      <c r="V41" s="317"/>
      <c r="W41" s="335">
        <f t="shared" si="0"/>
        <v>0</v>
      </c>
      <c r="X41" s="339"/>
      <c r="Y41" s="201">
        <v>37</v>
      </c>
      <c r="CZ41" s="1"/>
      <c r="DA41" s="1"/>
      <c r="DB41" s="1"/>
      <c r="DC41" s="1"/>
      <c r="DD41" s="1"/>
    </row>
    <row r="42" spans="2:108" ht="14.25" customHeight="1" x14ac:dyDescent="0.35">
      <c r="B42" s="364" t="s">
        <v>272</v>
      </c>
      <c r="C42" s="268"/>
      <c r="D42" s="269"/>
      <c r="E42" s="270"/>
      <c r="F42" s="271"/>
      <c r="G42" s="272"/>
      <c r="H42" s="273"/>
      <c r="I42" s="273"/>
      <c r="J42" s="273"/>
      <c r="K42" s="273"/>
      <c r="L42" s="273"/>
      <c r="M42" s="274"/>
      <c r="N42" s="275"/>
      <c r="O42" s="276"/>
      <c r="P42" s="277"/>
      <c r="Q42" s="276"/>
      <c r="R42" s="276"/>
      <c r="S42" s="278"/>
      <c r="T42" s="279"/>
      <c r="U42" s="280"/>
      <c r="V42" s="317"/>
      <c r="W42" s="335">
        <f t="shared" si="0"/>
        <v>0</v>
      </c>
      <c r="X42" s="339"/>
      <c r="Y42" s="201">
        <v>38</v>
      </c>
      <c r="CZ42" s="1"/>
      <c r="DA42" s="1"/>
      <c r="DB42" s="1"/>
      <c r="DC42" s="1"/>
      <c r="DD42" s="1"/>
    </row>
    <row r="43" spans="2:108" ht="14.25" customHeight="1" x14ac:dyDescent="0.35">
      <c r="B43" s="364" t="s">
        <v>273</v>
      </c>
      <c r="C43" s="268"/>
      <c r="D43" s="269"/>
      <c r="E43" s="270"/>
      <c r="F43" s="271"/>
      <c r="G43" s="272"/>
      <c r="H43" s="273"/>
      <c r="I43" s="273"/>
      <c r="J43" s="273"/>
      <c r="K43" s="273"/>
      <c r="L43" s="273"/>
      <c r="M43" s="274"/>
      <c r="N43" s="275"/>
      <c r="O43" s="276"/>
      <c r="P43" s="277"/>
      <c r="Q43" s="276"/>
      <c r="R43" s="276"/>
      <c r="S43" s="278"/>
      <c r="T43" s="279"/>
      <c r="U43" s="280"/>
      <c r="V43" s="317"/>
      <c r="W43" s="335">
        <f t="shared" si="0"/>
        <v>0</v>
      </c>
      <c r="X43" s="339"/>
      <c r="Y43" s="201">
        <v>39</v>
      </c>
      <c r="CZ43" s="1"/>
      <c r="DA43" s="1"/>
      <c r="DB43" s="1"/>
      <c r="DC43" s="1"/>
      <c r="DD43" s="1"/>
    </row>
    <row r="44" spans="2:108" ht="14.25" customHeight="1" thickBot="1" x14ac:dyDescent="0.4">
      <c r="B44" s="364" t="s">
        <v>274</v>
      </c>
      <c r="C44" s="283"/>
      <c r="D44" s="284"/>
      <c r="E44" s="285"/>
      <c r="F44" s="286"/>
      <c r="G44" s="287"/>
      <c r="H44" s="288"/>
      <c r="I44" s="288"/>
      <c r="J44" s="288"/>
      <c r="K44" s="288"/>
      <c r="L44" s="288"/>
      <c r="M44" s="289"/>
      <c r="N44" s="290"/>
      <c r="O44" s="291"/>
      <c r="P44" s="292"/>
      <c r="Q44" s="291"/>
      <c r="R44" s="291"/>
      <c r="S44" s="293"/>
      <c r="T44" s="294"/>
      <c r="U44" s="295"/>
      <c r="V44" s="318"/>
      <c r="W44" s="335">
        <f t="shared" si="0"/>
        <v>0</v>
      </c>
      <c r="X44" s="340"/>
      <c r="Y44" s="201">
        <v>40</v>
      </c>
      <c r="CZ44" s="1"/>
      <c r="DA44" s="1"/>
      <c r="DB44" s="1"/>
      <c r="DC44" s="1"/>
      <c r="DD44" s="1"/>
    </row>
    <row r="45" spans="2:108" ht="14.25" customHeight="1" thickBot="1" x14ac:dyDescent="0.25">
      <c r="B45" s="171"/>
      <c r="C45" s="241"/>
      <c r="D45" s="250"/>
      <c r="E45" s="251"/>
      <c r="F45" s="252"/>
      <c r="G45" s="255"/>
      <c r="H45" s="245"/>
      <c r="I45" s="245"/>
      <c r="J45" s="245"/>
      <c r="K45" s="245"/>
      <c r="L45" s="245"/>
      <c r="M45" s="246"/>
      <c r="N45" s="257"/>
      <c r="O45" s="192">
        <f>SUM(O5:O44)</f>
        <v>0</v>
      </c>
      <c r="P45" s="191" t="e">
        <f>AVERAGE(P5:P44)</f>
        <v>#DIV/0!</v>
      </c>
      <c r="Q45" s="191"/>
      <c r="R45" s="192">
        <f>SUM(R5:R44)</f>
        <v>0</v>
      </c>
      <c r="S45" s="191" t="e">
        <f>AVERAGE(S5:S44)</f>
        <v>#DIV/0!</v>
      </c>
      <c r="T45" s="191"/>
      <c r="U45" s="253" t="e">
        <f>AVERAGE(U5:U44)</f>
        <v>#DIV/0!</v>
      </c>
      <c r="V45" s="303"/>
      <c r="W45" s="336"/>
      <c r="X45" s="341"/>
      <c r="Y45" s="201"/>
      <c r="CZ45" s="1"/>
      <c r="DA45" s="1"/>
      <c r="DB45" s="1"/>
      <c r="DC45" s="1"/>
      <c r="DD45" s="1"/>
    </row>
    <row r="46" spans="2:108" ht="14.25" customHeight="1" x14ac:dyDescent="0.2">
      <c r="B46" s="15"/>
      <c r="C46" s="15"/>
      <c r="D46" s="174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325"/>
      <c r="X46" s="175"/>
    </row>
    <row r="47" spans="2:108" ht="14.25" customHeight="1" x14ac:dyDescent="0.2">
      <c r="B47" s="15"/>
      <c r="C47" s="15"/>
      <c r="D47" s="174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5"/>
      <c r="U47" s="175"/>
      <c r="V47" s="175"/>
      <c r="W47" s="325"/>
      <c r="X47" s="175"/>
    </row>
    <row r="48" spans="2:108" ht="14.25" customHeight="1" x14ac:dyDescent="0.2">
      <c r="B48" s="15"/>
      <c r="C48" s="15"/>
      <c r="D48" s="174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5"/>
      <c r="U48" s="175"/>
      <c r="V48" s="175"/>
      <c r="W48" s="325"/>
      <c r="X48" s="175"/>
    </row>
    <row r="49" spans="1:108" ht="14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326"/>
      <c r="X49" s="15"/>
    </row>
    <row r="50" spans="1:108" ht="50.25" customHeight="1" thickBot="1" x14ac:dyDescent="0.25">
      <c r="B50" s="17" t="s">
        <v>23</v>
      </c>
      <c r="C50" s="17"/>
    </row>
    <row r="51" spans="1:108" ht="18" customHeight="1" thickBot="1" x14ac:dyDescent="0.25">
      <c r="A51" s="6"/>
      <c r="B51" s="385" t="s">
        <v>1</v>
      </c>
      <c r="C51" s="387" t="s">
        <v>77</v>
      </c>
      <c r="D51" s="389" t="s">
        <v>2</v>
      </c>
      <c r="E51" s="385" t="s">
        <v>3</v>
      </c>
      <c r="F51" s="391" t="s">
        <v>111</v>
      </c>
      <c r="G51" s="213"/>
      <c r="H51" s="254" t="s">
        <v>5</v>
      </c>
      <c r="I51" s="254"/>
      <c r="J51" s="254"/>
      <c r="K51" s="254"/>
      <c r="L51" s="254"/>
      <c r="M51" s="254"/>
      <c r="N51" s="247" t="s">
        <v>6</v>
      </c>
      <c r="O51" s="248"/>
      <c r="P51" s="248"/>
      <c r="Q51" s="248"/>
      <c r="R51" s="248"/>
      <c r="S51" s="248"/>
      <c r="T51" s="248"/>
      <c r="U51" s="248"/>
      <c r="V51" s="248"/>
      <c r="W51" s="248"/>
      <c r="X51" s="249"/>
      <c r="CX51" s="1"/>
      <c r="CY51" s="1"/>
      <c r="CZ51" s="1"/>
      <c r="DA51" s="1"/>
      <c r="DB51" s="1"/>
      <c r="DC51" s="1"/>
      <c r="DD51" s="1"/>
    </row>
    <row r="52" spans="1:108" s="6" customFormat="1" ht="36" customHeight="1" thickBot="1" x14ac:dyDescent="0.25">
      <c r="B52" s="386"/>
      <c r="C52" s="388"/>
      <c r="D52" s="390"/>
      <c r="E52" s="386"/>
      <c r="F52" s="392"/>
      <c r="G52" s="256" t="s">
        <v>122</v>
      </c>
      <c r="H52" s="153" t="s">
        <v>124</v>
      </c>
      <c r="I52" s="153" t="s">
        <v>126</v>
      </c>
      <c r="J52" s="153" t="s">
        <v>128</v>
      </c>
      <c r="K52" s="153" t="s">
        <v>157</v>
      </c>
      <c r="L52" s="153" t="s">
        <v>159</v>
      </c>
      <c r="M52" s="258" t="s">
        <v>161</v>
      </c>
      <c r="N52" s="304" t="s">
        <v>106</v>
      </c>
      <c r="O52" s="207" t="s">
        <v>18</v>
      </c>
      <c r="P52" s="207" t="s">
        <v>19</v>
      </c>
      <c r="Q52" s="207" t="s">
        <v>110</v>
      </c>
      <c r="R52" s="207" t="s">
        <v>20</v>
      </c>
      <c r="S52" s="305" t="s">
        <v>21</v>
      </c>
      <c r="T52" s="305" t="s">
        <v>109</v>
      </c>
      <c r="U52" s="306" t="s">
        <v>22</v>
      </c>
      <c r="V52" s="315" t="s">
        <v>110</v>
      </c>
      <c r="W52" s="333" t="s">
        <v>3</v>
      </c>
      <c r="X52" s="337" t="s">
        <v>133</v>
      </c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  <c r="CF52" s="29"/>
      <c r="CG52" s="29"/>
      <c r="CH52" s="29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  <c r="CW52" s="29"/>
    </row>
    <row r="53" spans="1:108" s="6" customFormat="1" ht="17.25" customHeight="1" x14ac:dyDescent="0.35">
      <c r="A53" s="1"/>
      <c r="B53" s="259" t="s">
        <v>75</v>
      </c>
      <c r="C53" s="260"/>
      <c r="D53" s="261"/>
      <c r="E53" s="262"/>
      <c r="F53" s="263"/>
      <c r="G53" s="264"/>
      <c r="H53" s="265"/>
      <c r="I53" s="265"/>
      <c r="J53" s="265"/>
      <c r="K53" s="265"/>
      <c r="L53" s="265"/>
      <c r="M53" s="266"/>
      <c r="N53" s="308"/>
      <c r="O53" s="309"/>
      <c r="P53" s="310"/>
      <c r="Q53" s="309"/>
      <c r="R53" s="309"/>
      <c r="S53" s="311"/>
      <c r="T53" s="312"/>
      <c r="U53" s="313"/>
      <c r="V53" s="316"/>
      <c r="W53" s="334">
        <f>Q53*-3+T53*-1+V53*-1</f>
        <v>0</v>
      </c>
      <c r="X53" s="338"/>
      <c r="Y53" s="29">
        <v>1</v>
      </c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  <c r="CF53" s="29"/>
      <c r="CG53" s="29"/>
      <c r="CH53" s="29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  <c r="CW53" s="29"/>
    </row>
    <row r="54" spans="1:108" s="6" customFormat="1" ht="17.25" customHeight="1" x14ac:dyDescent="0.35">
      <c r="A54" s="1"/>
      <c r="B54" s="364" t="s">
        <v>76</v>
      </c>
      <c r="C54" s="365"/>
      <c r="D54" s="366"/>
      <c r="E54" s="367"/>
      <c r="F54" s="368"/>
      <c r="G54" s="264"/>
      <c r="H54" s="265"/>
      <c r="I54" s="265"/>
      <c r="J54" s="265"/>
      <c r="K54" s="265"/>
      <c r="L54" s="265"/>
      <c r="M54" s="266"/>
      <c r="N54" s="369"/>
      <c r="O54" s="370"/>
      <c r="P54" s="371"/>
      <c r="Q54" s="370"/>
      <c r="R54" s="370"/>
      <c r="S54" s="372"/>
      <c r="T54" s="373"/>
      <c r="U54" s="374"/>
      <c r="V54" s="375"/>
      <c r="W54" s="376"/>
      <c r="X54" s="377"/>
      <c r="Y54" s="29">
        <v>2</v>
      </c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  <c r="CF54" s="29"/>
      <c r="CG54" s="29"/>
      <c r="CH54" s="29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  <c r="CW54" s="29"/>
    </row>
    <row r="55" spans="1:108" s="6" customFormat="1" ht="17.25" customHeight="1" x14ac:dyDescent="0.35">
      <c r="A55" s="1"/>
      <c r="B55" s="364" t="s">
        <v>66</v>
      </c>
      <c r="C55" s="365"/>
      <c r="D55" s="366"/>
      <c r="E55" s="367"/>
      <c r="F55" s="368"/>
      <c r="G55" s="264"/>
      <c r="H55" s="265"/>
      <c r="I55" s="265"/>
      <c r="J55" s="265"/>
      <c r="K55" s="265"/>
      <c r="L55" s="265"/>
      <c r="M55" s="266"/>
      <c r="N55" s="369"/>
      <c r="O55" s="370"/>
      <c r="P55" s="371"/>
      <c r="Q55" s="370"/>
      <c r="R55" s="370"/>
      <c r="S55" s="372"/>
      <c r="T55" s="373"/>
      <c r="U55" s="374"/>
      <c r="V55" s="375"/>
      <c r="W55" s="376"/>
      <c r="X55" s="377"/>
      <c r="Y55" s="29">
        <v>3</v>
      </c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  <c r="CF55" s="29"/>
      <c r="CG55" s="29"/>
      <c r="CH55" s="29"/>
      <c r="CI55" s="29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  <c r="CW55" s="29"/>
    </row>
    <row r="56" spans="1:108" s="6" customFormat="1" ht="17.25" customHeight="1" x14ac:dyDescent="0.35">
      <c r="A56" s="1"/>
      <c r="B56" s="364" t="s">
        <v>67</v>
      </c>
      <c r="C56" s="365"/>
      <c r="D56" s="366"/>
      <c r="E56" s="367"/>
      <c r="F56" s="368"/>
      <c r="G56" s="264"/>
      <c r="H56" s="265"/>
      <c r="I56" s="265"/>
      <c r="J56" s="265"/>
      <c r="K56" s="265"/>
      <c r="L56" s="265"/>
      <c r="M56" s="266"/>
      <c r="N56" s="369"/>
      <c r="O56" s="370"/>
      <c r="P56" s="371"/>
      <c r="Q56" s="370"/>
      <c r="R56" s="370"/>
      <c r="S56" s="372"/>
      <c r="T56" s="373"/>
      <c r="U56" s="374"/>
      <c r="V56" s="375"/>
      <c r="W56" s="376"/>
      <c r="X56" s="377"/>
      <c r="Y56" s="29">
        <v>4</v>
      </c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  <c r="CF56" s="29"/>
      <c r="CG56" s="29"/>
      <c r="CH56" s="29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  <c r="CW56" s="29"/>
    </row>
    <row r="57" spans="1:108" s="6" customFormat="1" ht="17.25" customHeight="1" x14ac:dyDescent="0.35">
      <c r="A57" s="1"/>
      <c r="B57" s="364" t="s">
        <v>68</v>
      </c>
      <c r="C57" s="365"/>
      <c r="D57" s="366"/>
      <c r="E57" s="367"/>
      <c r="F57" s="368"/>
      <c r="G57" s="264"/>
      <c r="H57" s="265"/>
      <c r="I57" s="265"/>
      <c r="J57" s="265"/>
      <c r="K57" s="265"/>
      <c r="L57" s="265"/>
      <c r="M57" s="266"/>
      <c r="N57" s="369"/>
      <c r="O57" s="370"/>
      <c r="P57" s="371"/>
      <c r="Q57" s="370"/>
      <c r="R57" s="370"/>
      <c r="S57" s="372"/>
      <c r="T57" s="373"/>
      <c r="U57" s="374"/>
      <c r="V57" s="375"/>
      <c r="W57" s="376"/>
      <c r="X57" s="377"/>
      <c r="Y57" s="29">
        <v>5</v>
      </c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  <c r="CF57" s="29"/>
      <c r="CG57" s="29"/>
      <c r="CH57" s="29"/>
      <c r="CI57" s="29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  <c r="CW57" s="29"/>
    </row>
    <row r="58" spans="1:108" s="6" customFormat="1" ht="17.25" customHeight="1" x14ac:dyDescent="0.35">
      <c r="A58" s="1"/>
      <c r="B58" s="364" t="s">
        <v>69</v>
      </c>
      <c r="C58" s="365"/>
      <c r="D58" s="366"/>
      <c r="E58" s="367"/>
      <c r="F58" s="368"/>
      <c r="G58" s="264"/>
      <c r="H58" s="265"/>
      <c r="I58" s="265"/>
      <c r="J58" s="265"/>
      <c r="K58" s="265"/>
      <c r="L58" s="265"/>
      <c r="M58" s="266"/>
      <c r="N58" s="369"/>
      <c r="O58" s="370"/>
      <c r="P58" s="371"/>
      <c r="Q58" s="370"/>
      <c r="R58" s="370"/>
      <c r="S58" s="372"/>
      <c r="T58" s="373"/>
      <c r="U58" s="374"/>
      <c r="V58" s="375"/>
      <c r="W58" s="376"/>
      <c r="X58" s="377"/>
      <c r="Y58" s="29">
        <v>6</v>
      </c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  <c r="CF58" s="29"/>
      <c r="CG58" s="29"/>
      <c r="CH58" s="29"/>
      <c r="CI58" s="29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  <c r="CW58" s="29"/>
    </row>
    <row r="59" spans="1:108" s="6" customFormat="1" ht="17.25" customHeight="1" x14ac:dyDescent="0.35">
      <c r="A59" s="1"/>
      <c r="B59" s="364" t="s">
        <v>70</v>
      </c>
      <c r="C59" s="365"/>
      <c r="D59" s="366"/>
      <c r="E59" s="367"/>
      <c r="F59" s="368"/>
      <c r="G59" s="264"/>
      <c r="H59" s="265"/>
      <c r="I59" s="265"/>
      <c r="J59" s="265"/>
      <c r="K59" s="265"/>
      <c r="L59" s="265"/>
      <c r="M59" s="266"/>
      <c r="N59" s="369"/>
      <c r="O59" s="370"/>
      <c r="P59" s="371"/>
      <c r="Q59" s="370"/>
      <c r="R59" s="370"/>
      <c r="S59" s="372"/>
      <c r="T59" s="373"/>
      <c r="U59" s="374"/>
      <c r="V59" s="375"/>
      <c r="W59" s="376"/>
      <c r="X59" s="377"/>
      <c r="Y59" s="29">
        <v>7</v>
      </c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</row>
    <row r="60" spans="1:108" s="6" customFormat="1" ht="17.25" customHeight="1" x14ac:dyDescent="0.35">
      <c r="A60" s="1"/>
      <c r="B60" s="364" t="s">
        <v>71</v>
      </c>
      <c r="C60" s="365"/>
      <c r="D60" s="366"/>
      <c r="E60" s="367"/>
      <c r="F60" s="368"/>
      <c r="G60" s="264"/>
      <c r="H60" s="265"/>
      <c r="I60" s="265"/>
      <c r="J60" s="265"/>
      <c r="K60" s="265"/>
      <c r="L60" s="265"/>
      <c r="M60" s="266"/>
      <c r="N60" s="369"/>
      <c r="O60" s="370"/>
      <c r="P60" s="371"/>
      <c r="Q60" s="370"/>
      <c r="R60" s="370"/>
      <c r="S60" s="372"/>
      <c r="T60" s="373"/>
      <c r="U60" s="374"/>
      <c r="V60" s="375"/>
      <c r="W60" s="376"/>
      <c r="X60" s="377"/>
      <c r="Y60" s="29">
        <v>8</v>
      </c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  <c r="CF60" s="29"/>
      <c r="CG60" s="29"/>
      <c r="CH60" s="29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  <c r="CW60" s="29"/>
    </row>
    <row r="61" spans="1:108" s="6" customFormat="1" ht="17.25" customHeight="1" x14ac:dyDescent="0.35">
      <c r="A61" s="1"/>
      <c r="B61" s="364" t="s">
        <v>243</v>
      </c>
      <c r="C61" s="365"/>
      <c r="D61" s="366"/>
      <c r="E61" s="367"/>
      <c r="F61" s="368"/>
      <c r="G61" s="264"/>
      <c r="H61" s="265"/>
      <c r="I61" s="265"/>
      <c r="J61" s="265"/>
      <c r="K61" s="265"/>
      <c r="L61" s="265"/>
      <c r="M61" s="266"/>
      <c r="N61" s="369"/>
      <c r="O61" s="370"/>
      <c r="P61" s="371"/>
      <c r="Q61" s="370"/>
      <c r="R61" s="370"/>
      <c r="S61" s="372"/>
      <c r="T61" s="373"/>
      <c r="U61" s="374"/>
      <c r="V61" s="375"/>
      <c r="W61" s="376"/>
      <c r="X61" s="377"/>
      <c r="Y61" s="29">
        <v>9</v>
      </c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  <c r="CF61" s="29"/>
      <c r="CG61" s="29"/>
      <c r="CH61" s="29"/>
      <c r="CI61" s="29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  <c r="CW61" s="29"/>
    </row>
    <row r="62" spans="1:108" s="6" customFormat="1" ht="17.25" customHeight="1" x14ac:dyDescent="0.35">
      <c r="A62" s="1"/>
      <c r="B62" s="364" t="s">
        <v>244</v>
      </c>
      <c r="C62" s="365"/>
      <c r="D62" s="366"/>
      <c r="E62" s="367"/>
      <c r="F62" s="368"/>
      <c r="G62" s="264"/>
      <c r="H62" s="265"/>
      <c r="I62" s="265"/>
      <c r="J62" s="265"/>
      <c r="K62" s="265"/>
      <c r="L62" s="265"/>
      <c r="M62" s="266"/>
      <c r="N62" s="369"/>
      <c r="O62" s="370"/>
      <c r="P62" s="371"/>
      <c r="Q62" s="370"/>
      <c r="R62" s="370"/>
      <c r="S62" s="372"/>
      <c r="T62" s="373"/>
      <c r="U62" s="374"/>
      <c r="V62" s="375"/>
      <c r="W62" s="376"/>
      <c r="X62" s="377"/>
      <c r="Y62" s="29">
        <v>10</v>
      </c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  <c r="CW62" s="29"/>
    </row>
    <row r="63" spans="1:108" s="6" customFormat="1" ht="17.25" customHeight="1" x14ac:dyDescent="0.35">
      <c r="A63" s="1"/>
      <c r="B63" s="364" t="s">
        <v>245</v>
      </c>
      <c r="C63" s="365"/>
      <c r="D63" s="366"/>
      <c r="E63" s="367"/>
      <c r="F63" s="368"/>
      <c r="G63" s="264"/>
      <c r="H63" s="265"/>
      <c r="I63" s="265"/>
      <c r="J63" s="265"/>
      <c r="K63" s="265"/>
      <c r="L63" s="265"/>
      <c r="M63" s="266"/>
      <c r="N63" s="369"/>
      <c r="O63" s="370"/>
      <c r="P63" s="371"/>
      <c r="Q63" s="370"/>
      <c r="R63" s="370"/>
      <c r="S63" s="372"/>
      <c r="T63" s="373"/>
      <c r="U63" s="374"/>
      <c r="V63" s="375"/>
      <c r="W63" s="376"/>
      <c r="X63" s="377"/>
      <c r="Y63" s="29">
        <v>11</v>
      </c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  <c r="CF63" s="29"/>
      <c r="CG63" s="29"/>
      <c r="CH63" s="29"/>
      <c r="CI63" s="29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  <c r="CW63" s="29"/>
    </row>
    <row r="64" spans="1:108" s="6" customFormat="1" ht="17.25" customHeight="1" x14ac:dyDescent="0.35">
      <c r="A64" s="1"/>
      <c r="B64" s="364" t="s">
        <v>246</v>
      </c>
      <c r="C64" s="365"/>
      <c r="D64" s="366"/>
      <c r="E64" s="367"/>
      <c r="F64" s="368"/>
      <c r="G64" s="264"/>
      <c r="H64" s="265"/>
      <c r="I64" s="265"/>
      <c r="J64" s="265"/>
      <c r="K64" s="265"/>
      <c r="L64" s="265"/>
      <c r="M64" s="266"/>
      <c r="N64" s="369"/>
      <c r="O64" s="370"/>
      <c r="P64" s="371"/>
      <c r="Q64" s="370"/>
      <c r="R64" s="370"/>
      <c r="S64" s="372"/>
      <c r="T64" s="373"/>
      <c r="U64" s="374"/>
      <c r="V64" s="375"/>
      <c r="W64" s="376"/>
      <c r="X64" s="377"/>
      <c r="Y64" s="29">
        <v>12</v>
      </c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  <c r="CW64" s="29"/>
    </row>
    <row r="65" spans="1:101" s="6" customFormat="1" ht="17.25" customHeight="1" x14ac:dyDescent="0.35">
      <c r="A65" s="1"/>
      <c r="B65" s="364" t="s">
        <v>247</v>
      </c>
      <c r="C65" s="365"/>
      <c r="D65" s="366"/>
      <c r="E65" s="367"/>
      <c r="F65" s="368"/>
      <c r="G65" s="264"/>
      <c r="H65" s="265"/>
      <c r="I65" s="265"/>
      <c r="J65" s="265"/>
      <c r="K65" s="265"/>
      <c r="L65" s="265"/>
      <c r="M65" s="266"/>
      <c r="N65" s="369"/>
      <c r="O65" s="370"/>
      <c r="P65" s="371"/>
      <c r="Q65" s="370"/>
      <c r="R65" s="370"/>
      <c r="S65" s="372"/>
      <c r="T65" s="373"/>
      <c r="U65" s="374"/>
      <c r="V65" s="375"/>
      <c r="W65" s="376"/>
      <c r="X65" s="377"/>
      <c r="Y65" s="29">
        <v>13</v>
      </c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  <c r="CF65" s="29"/>
      <c r="CG65" s="29"/>
      <c r="CH65" s="29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  <c r="CW65" s="29"/>
    </row>
    <row r="66" spans="1:101" s="6" customFormat="1" ht="17.25" customHeight="1" x14ac:dyDescent="0.35">
      <c r="A66" s="1"/>
      <c r="B66" s="364" t="s">
        <v>248</v>
      </c>
      <c r="C66" s="365"/>
      <c r="D66" s="366"/>
      <c r="E66" s="367"/>
      <c r="F66" s="368"/>
      <c r="G66" s="264"/>
      <c r="H66" s="265"/>
      <c r="I66" s="265"/>
      <c r="J66" s="265"/>
      <c r="K66" s="265"/>
      <c r="L66" s="265"/>
      <c r="M66" s="266"/>
      <c r="N66" s="369"/>
      <c r="O66" s="370"/>
      <c r="P66" s="371"/>
      <c r="Q66" s="370"/>
      <c r="R66" s="370"/>
      <c r="S66" s="372"/>
      <c r="T66" s="373"/>
      <c r="U66" s="374"/>
      <c r="V66" s="375"/>
      <c r="W66" s="376"/>
      <c r="X66" s="377"/>
      <c r="Y66" s="29">
        <v>14</v>
      </c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  <c r="CF66" s="29"/>
      <c r="CG66" s="29"/>
      <c r="CH66" s="29"/>
      <c r="CI66" s="29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  <c r="CW66" s="29"/>
    </row>
    <row r="67" spans="1:101" s="6" customFormat="1" ht="17.25" customHeight="1" x14ac:dyDescent="0.35">
      <c r="A67" s="1"/>
      <c r="B67" s="364" t="s">
        <v>249</v>
      </c>
      <c r="C67" s="365"/>
      <c r="D67" s="366"/>
      <c r="E67" s="367"/>
      <c r="F67" s="368"/>
      <c r="G67" s="264"/>
      <c r="H67" s="265"/>
      <c r="I67" s="265"/>
      <c r="J67" s="265"/>
      <c r="K67" s="265"/>
      <c r="L67" s="265"/>
      <c r="M67" s="266"/>
      <c r="N67" s="369"/>
      <c r="O67" s="370"/>
      <c r="P67" s="371"/>
      <c r="Q67" s="370"/>
      <c r="R67" s="370"/>
      <c r="S67" s="372"/>
      <c r="T67" s="373"/>
      <c r="U67" s="374"/>
      <c r="V67" s="375"/>
      <c r="W67" s="376"/>
      <c r="X67" s="377"/>
      <c r="Y67" s="29">
        <v>15</v>
      </c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</row>
    <row r="68" spans="1:101" s="6" customFormat="1" ht="17.25" customHeight="1" x14ac:dyDescent="0.35">
      <c r="A68" s="1"/>
      <c r="B68" s="364" t="s">
        <v>250</v>
      </c>
      <c r="C68" s="365"/>
      <c r="D68" s="366"/>
      <c r="E68" s="367"/>
      <c r="F68" s="368"/>
      <c r="G68" s="264"/>
      <c r="H68" s="265"/>
      <c r="I68" s="265"/>
      <c r="J68" s="265"/>
      <c r="K68" s="265"/>
      <c r="L68" s="265"/>
      <c r="M68" s="266"/>
      <c r="N68" s="369"/>
      <c r="O68" s="370"/>
      <c r="P68" s="371"/>
      <c r="Q68" s="370"/>
      <c r="R68" s="370"/>
      <c r="S68" s="372"/>
      <c r="T68" s="373"/>
      <c r="U68" s="374"/>
      <c r="V68" s="375"/>
      <c r="W68" s="376"/>
      <c r="X68" s="377"/>
      <c r="Y68" s="29">
        <v>16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</row>
    <row r="69" spans="1:101" s="6" customFormat="1" ht="17.25" customHeight="1" x14ac:dyDescent="0.35">
      <c r="A69" s="1"/>
      <c r="B69" s="364" t="s">
        <v>251</v>
      </c>
      <c r="C69" s="365"/>
      <c r="D69" s="366"/>
      <c r="E69" s="367"/>
      <c r="F69" s="368"/>
      <c r="G69" s="264"/>
      <c r="H69" s="265"/>
      <c r="I69" s="265"/>
      <c r="J69" s="265"/>
      <c r="K69" s="265"/>
      <c r="L69" s="265"/>
      <c r="M69" s="266"/>
      <c r="N69" s="369"/>
      <c r="O69" s="370"/>
      <c r="P69" s="371"/>
      <c r="Q69" s="370"/>
      <c r="R69" s="370"/>
      <c r="S69" s="372"/>
      <c r="T69" s="373"/>
      <c r="U69" s="374"/>
      <c r="V69" s="375"/>
      <c r="W69" s="376"/>
      <c r="X69" s="377"/>
      <c r="Y69" s="29">
        <v>17</v>
      </c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</row>
    <row r="70" spans="1:101" s="6" customFormat="1" ht="17.25" customHeight="1" x14ac:dyDescent="0.35">
      <c r="A70" s="1"/>
      <c r="B70" s="364" t="s">
        <v>252</v>
      </c>
      <c r="C70" s="365"/>
      <c r="D70" s="366"/>
      <c r="E70" s="367"/>
      <c r="F70" s="368"/>
      <c r="G70" s="264"/>
      <c r="H70" s="265"/>
      <c r="I70" s="265"/>
      <c r="J70" s="265"/>
      <c r="K70" s="265"/>
      <c r="L70" s="265"/>
      <c r="M70" s="266"/>
      <c r="N70" s="369"/>
      <c r="O70" s="370"/>
      <c r="P70" s="371"/>
      <c r="Q70" s="370"/>
      <c r="R70" s="370"/>
      <c r="S70" s="372"/>
      <c r="T70" s="373"/>
      <c r="U70" s="374"/>
      <c r="V70" s="375"/>
      <c r="W70" s="376"/>
      <c r="X70" s="377"/>
      <c r="Y70" s="29">
        <v>18</v>
      </c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  <c r="CF70" s="29"/>
      <c r="CG70" s="29"/>
      <c r="CH70" s="29"/>
      <c r="CI70" s="29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  <c r="CW70" s="29"/>
    </row>
    <row r="71" spans="1:101" s="6" customFormat="1" ht="17.25" customHeight="1" x14ac:dyDescent="0.35">
      <c r="A71" s="1"/>
      <c r="B71" s="364" t="s">
        <v>253</v>
      </c>
      <c r="C71" s="365"/>
      <c r="D71" s="366"/>
      <c r="E71" s="367"/>
      <c r="F71" s="368"/>
      <c r="G71" s="264"/>
      <c r="H71" s="265"/>
      <c r="I71" s="265"/>
      <c r="J71" s="265"/>
      <c r="K71" s="265"/>
      <c r="L71" s="265"/>
      <c r="M71" s="266"/>
      <c r="N71" s="369"/>
      <c r="O71" s="370"/>
      <c r="P71" s="371"/>
      <c r="Q71" s="370"/>
      <c r="R71" s="370"/>
      <c r="S71" s="372"/>
      <c r="T71" s="373"/>
      <c r="U71" s="374"/>
      <c r="V71" s="375"/>
      <c r="W71" s="376"/>
      <c r="X71" s="377"/>
      <c r="Y71" s="29">
        <v>19</v>
      </c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  <c r="CF71" s="29"/>
      <c r="CG71" s="29"/>
      <c r="CH71" s="29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  <c r="CW71" s="29"/>
    </row>
    <row r="72" spans="1:101" s="6" customFormat="1" ht="17.25" customHeight="1" x14ac:dyDescent="0.35">
      <c r="A72" s="1"/>
      <c r="B72" s="364" t="s">
        <v>254</v>
      </c>
      <c r="C72" s="365"/>
      <c r="D72" s="366"/>
      <c r="E72" s="367"/>
      <c r="F72" s="368"/>
      <c r="G72" s="264"/>
      <c r="H72" s="265"/>
      <c r="I72" s="265"/>
      <c r="J72" s="265"/>
      <c r="K72" s="265"/>
      <c r="L72" s="265"/>
      <c r="M72" s="266"/>
      <c r="N72" s="369"/>
      <c r="O72" s="370"/>
      <c r="P72" s="371"/>
      <c r="Q72" s="370"/>
      <c r="R72" s="370"/>
      <c r="S72" s="372"/>
      <c r="T72" s="373"/>
      <c r="U72" s="374"/>
      <c r="V72" s="375"/>
      <c r="W72" s="376"/>
      <c r="X72" s="377"/>
      <c r="Y72" s="29">
        <v>20</v>
      </c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  <c r="CF72" s="29"/>
      <c r="CG72" s="29"/>
      <c r="CH72" s="29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  <c r="CW72" s="29"/>
    </row>
    <row r="73" spans="1:101" s="6" customFormat="1" ht="17.25" customHeight="1" x14ac:dyDescent="0.35">
      <c r="A73" s="1"/>
      <c r="B73" s="364" t="s">
        <v>255</v>
      </c>
      <c r="C73" s="365"/>
      <c r="D73" s="366"/>
      <c r="E73" s="367"/>
      <c r="F73" s="368"/>
      <c r="G73" s="264"/>
      <c r="H73" s="265"/>
      <c r="I73" s="265"/>
      <c r="J73" s="265"/>
      <c r="K73" s="265"/>
      <c r="L73" s="265"/>
      <c r="M73" s="266"/>
      <c r="N73" s="369"/>
      <c r="O73" s="370"/>
      <c r="P73" s="371"/>
      <c r="Q73" s="370"/>
      <c r="R73" s="370"/>
      <c r="S73" s="372"/>
      <c r="T73" s="373"/>
      <c r="U73" s="374"/>
      <c r="V73" s="375"/>
      <c r="W73" s="376"/>
      <c r="X73" s="377"/>
      <c r="Y73" s="29">
        <v>21</v>
      </c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  <c r="CW73" s="29"/>
    </row>
    <row r="74" spans="1:101" s="6" customFormat="1" ht="17.25" customHeight="1" x14ac:dyDescent="0.35">
      <c r="A74" s="1"/>
      <c r="B74" s="364" t="s">
        <v>256</v>
      </c>
      <c r="C74" s="365"/>
      <c r="D74" s="366"/>
      <c r="E74" s="367"/>
      <c r="F74" s="368"/>
      <c r="G74" s="264"/>
      <c r="H74" s="265"/>
      <c r="I74" s="265"/>
      <c r="J74" s="265"/>
      <c r="K74" s="265"/>
      <c r="L74" s="265"/>
      <c r="M74" s="266"/>
      <c r="N74" s="369"/>
      <c r="O74" s="370"/>
      <c r="P74" s="371"/>
      <c r="Q74" s="370"/>
      <c r="R74" s="370"/>
      <c r="S74" s="372"/>
      <c r="T74" s="373"/>
      <c r="U74" s="374"/>
      <c r="V74" s="375"/>
      <c r="W74" s="376"/>
      <c r="X74" s="377"/>
      <c r="Y74" s="29">
        <v>22</v>
      </c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  <c r="CF74" s="29"/>
      <c r="CG74" s="29"/>
      <c r="CH74" s="29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  <c r="CW74" s="29"/>
    </row>
    <row r="75" spans="1:101" s="6" customFormat="1" ht="17.25" customHeight="1" x14ac:dyDescent="0.35">
      <c r="A75" s="1"/>
      <c r="B75" s="364" t="s">
        <v>257</v>
      </c>
      <c r="C75" s="365"/>
      <c r="D75" s="366"/>
      <c r="E75" s="367"/>
      <c r="F75" s="368"/>
      <c r="G75" s="264"/>
      <c r="H75" s="265"/>
      <c r="I75" s="265"/>
      <c r="J75" s="265"/>
      <c r="K75" s="265"/>
      <c r="L75" s="265"/>
      <c r="M75" s="266"/>
      <c r="N75" s="369"/>
      <c r="O75" s="370"/>
      <c r="P75" s="371"/>
      <c r="Q75" s="370"/>
      <c r="R75" s="370"/>
      <c r="S75" s="372"/>
      <c r="T75" s="373"/>
      <c r="U75" s="374"/>
      <c r="V75" s="375"/>
      <c r="W75" s="376"/>
      <c r="X75" s="377"/>
      <c r="Y75" s="29">
        <v>23</v>
      </c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  <c r="CF75" s="29"/>
      <c r="CG75" s="29"/>
      <c r="CH75" s="29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  <c r="CW75" s="29"/>
    </row>
    <row r="76" spans="1:101" s="6" customFormat="1" ht="17.25" customHeight="1" x14ac:dyDescent="0.35">
      <c r="A76" s="1"/>
      <c r="B76" s="364" t="s">
        <v>258</v>
      </c>
      <c r="C76" s="365"/>
      <c r="D76" s="366"/>
      <c r="E76" s="367"/>
      <c r="F76" s="368"/>
      <c r="G76" s="264"/>
      <c r="H76" s="265"/>
      <c r="I76" s="265"/>
      <c r="J76" s="265"/>
      <c r="K76" s="265"/>
      <c r="L76" s="265"/>
      <c r="M76" s="266"/>
      <c r="N76" s="369"/>
      <c r="O76" s="370"/>
      <c r="P76" s="371"/>
      <c r="Q76" s="370"/>
      <c r="R76" s="370"/>
      <c r="S76" s="372"/>
      <c r="T76" s="373"/>
      <c r="U76" s="374"/>
      <c r="V76" s="375"/>
      <c r="W76" s="376"/>
      <c r="X76" s="377"/>
      <c r="Y76" s="29">
        <v>24</v>
      </c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  <c r="CW76" s="29"/>
    </row>
    <row r="77" spans="1:101" s="6" customFormat="1" ht="17.25" customHeight="1" x14ac:dyDescent="0.35">
      <c r="A77" s="1"/>
      <c r="B77" s="364" t="s">
        <v>259</v>
      </c>
      <c r="C77" s="365"/>
      <c r="D77" s="366"/>
      <c r="E77" s="367"/>
      <c r="F77" s="368"/>
      <c r="G77" s="264"/>
      <c r="H77" s="265"/>
      <c r="I77" s="265"/>
      <c r="J77" s="265"/>
      <c r="K77" s="265"/>
      <c r="L77" s="265"/>
      <c r="M77" s="266"/>
      <c r="N77" s="369"/>
      <c r="O77" s="370"/>
      <c r="P77" s="371"/>
      <c r="Q77" s="370"/>
      <c r="R77" s="370"/>
      <c r="S77" s="372"/>
      <c r="T77" s="373"/>
      <c r="U77" s="374"/>
      <c r="V77" s="375"/>
      <c r="W77" s="376"/>
      <c r="X77" s="377"/>
      <c r="Y77" s="29">
        <v>25</v>
      </c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  <c r="CF77" s="29"/>
      <c r="CG77" s="29"/>
      <c r="CH77" s="29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  <c r="CW77" s="29"/>
    </row>
    <row r="78" spans="1:101" s="6" customFormat="1" ht="17.25" customHeight="1" x14ac:dyDescent="0.35">
      <c r="A78" s="1"/>
      <c r="B78" s="364" t="s">
        <v>260</v>
      </c>
      <c r="C78" s="365"/>
      <c r="D78" s="366"/>
      <c r="E78" s="367"/>
      <c r="F78" s="368"/>
      <c r="G78" s="264"/>
      <c r="H78" s="265"/>
      <c r="I78" s="265"/>
      <c r="J78" s="265"/>
      <c r="K78" s="265"/>
      <c r="L78" s="265"/>
      <c r="M78" s="266"/>
      <c r="N78" s="369"/>
      <c r="O78" s="370"/>
      <c r="P78" s="371"/>
      <c r="Q78" s="370"/>
      <c r="R78" s="370"/>
      <c r="S78" s="372"/>
      <c r="T78" s="373"/>
      <c r="U78" s="374"/>
      <c r="V78" s="375"/>
      <c r="W78" s="376"/>
      <c r="X78" s="377"/>
      <c r="Y78" s="29">
        <v>26</v>
      </c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  <c r="CF78" s="29"/>
      <c r="CG78" s="29"/>
      <c r="CH78" s="29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  <c r="CW78" s="29"/>
    </row>
    <row r="79" spans="1:101" s="6" customFormat="1" ht="17.25" customHeight="1" x14ac:dyDescent="0.35">
      <c r="A79" s="1"/>
      <c r="B79" s="364" t="s">
        <v>261</v>
      </c>
      <c r="C79" s="365"/>
      <c r="D79" s="366"/>
      <c r="E79" s="367"/>
      <c r="F79" s="368"/>
      <c r="G79" s="264"/>
      <c r="H79" s="265"/>
      <c r="I79" s="265"/>
      <c r="J79" s="265"/>
      <c r="K79" s="265"/>
      <c r="L79" s="265"/>
      <c r="M79" s="266"/>
      <c r="N79" s="369"/>
      <c r="O79" s="370"/>
      <c r="P79" s="371"/>
      <c r="Q79" s="370"/>
      <c r="R79" s="370"/>
      <c r="S79" s="372"/>
      <c r="T79" s="373"/>
      <c r="U79" s="374"/>
      <c r="V79" s="375"/>
      <c r="W79" s="376"/>
      <c r="X79" s="377"/>
      <c r="Y79" s="29">
        <v>27</v>
      </c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</row>
    <row r="80" spans="1:101" s="6" customFormat="1" ht="17.25" customHeight="1" x14ac:dyDescent="0.35">
      <c r="A80" s="1"/>
      <c r="B80" s="364" t="s">
        <v>262</v>
      </c>
      <c r="C80" s="365"/>
      <c r="D80" s="366"/>
      <c r="E80" s="367"/>
      <c r="F80" s="368"/>
      <c r="G80" s="264"/>
      <c r="H80" s="265"/>
      <c r="I80" s="265"/>
      <c r="J80" s="265"/>
      <c r="K80" s="265"/>
      <c r="L80" s="265"/>
      <c r="M80" s="266"/>
      <c r="N80" s="369"/>
      <c r="O80" s="370"/>
      <c r="P80" s="371"/>
      <c r="Q80" s="370"/>
      <c r="R80" s="370"/>
      <c r="S80" s="372"/>
      <c r="T80" s="373"/>
      <c r="U80" s="374"/>
      <c r="V80" s="375"/>
      <c r="W80" s="376"/>
      <c r="X80" s="377"/>
      <c r="Y80" s="29">
        <v>28</v>
      </c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</row>
    <row r="81" spans="1:108" s="6" customFormat="1" ht="17.25" customHeight="1" x14ac:dyDescent="0.35">
      <c r="A81" s="1"/>
      <c r="B81" s="364" t="s">
        <v>263</v>
      </c>
      <c r="C81" s="365"/>
      <c r="D81" s="366"/>
      <c r="E81" s="367"/>
      <c r="F81" s="368"/>
      <c r="G81" s="264"/>
      <c r="H81" s="265"/>
      <c r="I81" s="265"/>
      <c r="J81" s="265"/>
      <c r="K81" s="265"/>
      <c r="L81" s="265"/>
      <c r="M81" s="266"/>
      <c r="N81" s="369"/>
      <c r="O81" s="370"/>
      <c r="P81" s="371"/>
      <c r="Q81" s="370"/>
      <c r="R81" s="370"/>
      <c r="S81" s="372"/>
      <c r="T81" s="373"/>
      <c r="U81" s="374"/>
      <c r="V81" s="375"/>
      <c r="W81" s="376"/>
      <c r="X81" s="377"/>
      <c r="Y81" s="29">
        <v>29</v>
      </c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</row>
    <row r="82" spans="1:108" s="6" customFormat="1" ht="17.25" customHeight="1" x14ac:dyDescent="0.35">
      <c r="A82" s="1"/>
      <c r="B82" s="364" t="s">
        <v>264</v>
      </c>
      <c r="C82" s="365"/>
      <c r="D82" s="366"/>
      <c r="E82" s="367"/>
      <c r="F82" s="368"/>
      <c r="G82" s="264"/>
      <c r="H82" s="265"/>
      <c r="I82" s="265"/>
      <c r="J82" s="265"/>
      <c r="K82" s="265"/>
      <c r="L82" s="265"/>
      <c r="M82" s="266"/>
      <c r="N82" s="369"/>
      <c r="O82" s="370"/>
      <c r="P82" s="371"/>
      <c r="Q82" s="370"/>
      <c r="R82" s="370"/>
      <c r="S82" s="372"/>
      <c r="T82" s="373"/>
      <c r="U82" s="374"/>
      <c r="V82" s="375"/>
      <c r="W82" s="376"/>
      <c r="X82" s="377"/>
      <c r="Y82" s="29">
        <v>30</v>
      </c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</row>
    <row r="83" spans="1:108" s="6" customFormat="1" ht="17.25" customHeight="1" x14ac:dyDescent="0.35">
      <c r="A83" s="1"/>
      <c r="B83" s="364" t="s">
        <v>265</v>
      </c>
      <c r="C83" s="365"/>
      <c r="D83" s="366"/>
      <c r="E83" s="367"/>
      <c r="F83" s="368"/>
      <c r="G83" s="264"/>
      <c r="H83" s="265"/>
      <c r="I83" s="265"/>
      <c r="J83" s="265"/>
      <c r="K83" s="265"/>
      <c r="L83" s="265"/>
      <c r="M83" s="266"/>
      <c r="N83" s="369"/>
      <c r="O83" s="370"/>
      <c r="P83" s="371"/>
      <c r="Q83" s="370"/>
      <c r="R83" s="370"/>
      <c r="S83" s="372"/>
      <c r="T83" s="373"/>
      <c r="U83" s="374"/>
      <c r="V83" s="375"/>
      <c r="W83" s="376"/>
      <c r="X83" s="377"/>
      <c r="Y83" s="29">
        <v>31</v>
      </c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</row>
    <row r="84" spans="1:108" s="6" customFormat="1" ht="17.25" customHeight="1" x14ac:dyDescent="0.35">
      <c r="A84" s="1"/>
      <c r="B84" s="364" t="s">
        <v>266</v>
      </c>
      <c r="C84" s="365"/>
      <c r="D84" s="366"/>
      <c r="E84" s="367"/>
      <c r="F84" s="368"/>
      <c r="G84" s="264"/>
      <c r="H84" s="265"/>
      <c r="I84" s="265"/>
      <c r="J84" s="265"/>
      <c r="K84" s="265"/>
      <c r="L84" s="265"/>
      <c r="M84" s="266"/>
      <c r="N84" s="369"/>
      <c r="O84" s="370"/>
      <c r="P84" s="371"/>
      <c r="Q84" s="370"/>
      <c r="R84" s="370"/>
      <c r="S84" s="372"/>
      <c r="T84" s="373"/>
      <c r="U84" s="374"/>
      <c r="V84" s="375"/>
      <c r="W84" s="376"/>
      <c r="X84" s="377"/>
      <c r="Y84" s="29">
        <v>32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</row>
    <row r="85" spans="1:108" s="6" customFormat="1" ht="17.25" customHeight="1" x14ac:dyDescent="0.35">
      <c r="A85" s="1"/>
      <c r="B85" s="364" t="s">
        <v>267</v>
      </c>
      <c r="C85" s="365"/>
      <c r="D85" s="366"/>
      <c r="E85" s="367"/>
      <c r="F85" s="368"/>
      <c r="G85" s="264"/>
      <c r="H85" s="265"/>
      <c r="I85" s="265"/>
      <c r="J85" s="265"/>
      <c r="K85" s="265"/>
      <c r="L85" s="265"/>
      <c r="M85" s="266"/>
      <c r="N85" s="369"/>
      <c r="O85" s="370"/>
      <c r="P85" s="371"/>
      <c r="Q85" s="370"/>
      <c r="R85" s="370"/>
      <c r="S85" s="372"/>
      <c r="T85" s="373"/>
      <c r="U85" s="374"/>
      <c r="V85" s="375"/>
      <c r="W85" s="376"/>
      <c r="X85" s="377"/>
      <c r="Y85" s="29">
        <v>33</v>
      </c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</row>
    <row r="86" spans="1:108" ht="15.75" customHeight="1" x14ac:dyDescent="0.35">
      <c r="B86" s="267" t="s">
        <v>268</v>
      </c>
      <c r="C86" s="268"/>
      <c r="D86" s="269"/>
      <c r="E86" s="270"/>
      <c r="F86" s="271"/>
      <c r="G86" s="272"/>
      <c r="H86" s="273"/>
      <c r="I86" s="273"/>
      <c r="J86" s="273"/>
      <c r="K86" s="273"/>
      <c r="L86" s="273"/>
      <c r="M86" s="274"/>
      <c r="N86" s="275"/>
      <c r="O86" s="276"/>
      <c r="P86" s="277"/>
      <c r="Q86" s="276"/>
      <c r="R86" s="276"/>
      <c r="S86" s="278"/>
      <c r="T86" s="279"/>
      <c r="U86" s="280"/>
      <c r="V86" s="317"/>
      <c r="W86" s="335">
        <f>Q86*-3+T86*-1+V86*-1</f>
        <v>0</v>
      </c>
      <c r="X86" s="339"/>
      <c r="Y86" s="29">
        <v>34</v>
      </c>
      <c r="CX86" s="1"/>
      <c r="CY86" s="1"/>
      <c r="CZ86" s="1"/>
      <c r="DA86" s="1"/>
      <c r="DB86" s="1"/>
      <c r="DC86" s="1"/>
      <c r="DD86" s="1"/>
    </row>
    <row r="87" spans="1:108" ht="15.75" customHeight="1" x14ac:dyDescent="0.35">
      <c r="B87" s="267" t="s">
        <v>269</v>
      </c>
      <c r="C87" s="268"/>
      <c r="D87" s="269"/>
      <c r="E87" s="270"/>
      <c r="F87" s="271"/>
      <c r="G87" s="272"/>
      <c r="H87" s="273"/>
      <c r="I87" s="273"/>
      <c r="J87" s="273"/>
      <c r="K87" s="273"/>
      <c r="L87" s="273"/>
      <c r="M87" s="274"/>
      <c r="N87" s="275"/>
      <c r="O87" s="276"/>
      <c r="P87" s="277"/>
      <c r="Q87" s="276"/>
      <c r="R87" s="276"/>
      <c r="S87" s="278"/>
      <c r="T87" s="279"/>
      <c r="U87" s="280"/>
      <c r="V87" s="317"/>
      <c r="W87" s="335">
        <f t="shared" ref="W87:W92" si="1">Q87*-3+T87*-1+V87*-1</f>
        <v>0</v>
      </c>
      <c r="X87" s="339"/>
      <c r="Y87" s="29">
        <v>35</v>
      </c>
      <c r="CX87" s="1"/>
      <c r="CY87" s="1"/>
      <c r="CZ87" s="1"/>
      <c r="DA87" s="1"/>
      <c r="DB87" s="1"/>
      <c r="DC87" s="1"/>
      <c r="DD87" s="1"/>
    </row>
    <row r="88" spans="1:108" ht="15.75" customHeight="1" x14ac:dyDescent="0.35">
      <c r="B88" s="267" t="s">
        <v>270</v>
      </c>
      <c r="C88" s="268"/>
      <c r="D88" s="269"/>
      <c r="E88" s="270"/>
      <c r="F88" s="271"/>
      <c r="G88" s="272"/>
      <c r="H88" s="273"/>
      <c r="I88" s="273"/>
      <c r="J88" s="273"/>
      <c r="K88" s="273"/>
      <c r="L88" s="273"/>
      <c r="M88" s="274"/>
      <c r="N88" s="275"/>
      <c r="O88" s="276"/>
      <c r="P88" s="277"/>
      <c r="Q88" s="276"/>
      <c r="R88" s="276"/>
      <c r="S88" s="278"/>
      <c r="T88" s="279"/>
      <c r="U88" s="280"/>
      <c r="V88" s="317"/>
      <c r="W88" s="335">
        <f t="shared" si="1"/>
        <v>0</v>
      </c>
      <c r="X88" s="339"/>
      <c r="Y88" s="29">
        <v>36</v>
      </c>
      <c r="CX88" s="1"/>
      <c r="CY88" s="1"/>
      <c r="CZ88" s="1"/>
      <c r="DA88" s="1"/>
      <c r="DB88" s="1"/>
      <c r="DC88" s="1"/>
      <c r="DD88" s="1"/>
    </row>
    <row r="89" spans="1:108" ht="15.75" customHeight="1" x14ac:dyDescent="0.35">
      <c r="B89" s="267" t="s">
        <v>271</v>
      </c>
      <c r="C89" s="268"/>
      <c r="D89" s="269"/>
      <c r="E89" s="270"/>
      <c r="F89" s="271"/>
      <c r="G89" s="272"/>
      <c r="H89" s="273"/>
      <c r="I89" s="273"/>
      <c r="J89" s="273"/>
      <c r="K89" s="273"/>
      <c r="L89" s="273"/>
      <c r="M89" s="274"/>
      <c r="N89" s="275"/>
      <c r="O89" s="276"/>
      <c r="P89" s="277"/>
      <c r="Q89" s="276"/>
      <c r="R89" s="276"/>
      <c r="S89" s="278"/>
      <c r="T89" s="279"/>
      <c r="U89" s="280"/>
      <c r="V89" s="317"/>
      <c r="W89" s="335">
        <f t="shared" si="1"/>
        <v>0</v>
      </c>
      <c r="X89" s="339"/>
      <c r="Y89" s="29">
        <v>37</v>
      </c>
      <c r="CX89" s="1"/>
      <c r="CY89" s="1"/>
      <c r="CZ89" s="1"/>
      <c r="DA89" s="1"/>
      <c r="DB89" s="1"/>
      <c r="DC89" s="1"/>
      <c r="DD89" s="1"/>
    </row>
    <row r="90" spans="1:108" ht="15.75" customHeight="1" x14ac:dyDescent="0.35">
      <c r="B90" s="267" t="s">
        <v>272</v>
      </c>
      <c r="C90" s="268"/>
      <c r="D90" s="269"/>
      <c r="E90" s="270"/>
      <c r="F90" s="271"/>
      <c r="G90" s="272"/>
      <c r="H90" s="273"/>
      <c r="I90" s="273"/>
      <c r="J90" s="273"/>
      <c r="K90" s="273"/>
      <c r="L90" s="273"/>
      <c r="M90" s="274"/>
      <c r="N90" s="275"/>
      <c r="O90" s="276"/>
      <c r="P90" s="277"/>
      <c r="Q90" s="276"/>
      <c r="R90" s="276"/>
      <c r="S90" s="278"/>
      <c r="T90" s="279"/>
      <c r="U90" s="280"/>
      <c r="V90" s="317"/>
      <c r="W90" s="335">
        <f t="shared" si="1"/>
        <v>0</v>
      </c>
      <c r="X90" s="339"/>
      <c r="Y90" s="29">
        <v>38</v>
      </c>
      <c r="CX90" s="1"/>
      <c r="CY90" s="1"/>
      <c r="CZ90" s="1"/>
      <c r="DA90" s="1"/>
      <c r="DB90" s="1"/>
      <c r="DC90" s="1"/>
      <c r="DD90" s="1"/>
    </row>
    <row r="91" spans="1:108" ht="15.75" customHeight="1" x14ac:dyDescent="0.35">
      <c r="B91" s="267" t="s">
        <v>273</v>
      </c>
      <c r="C91" s="268"/>
      <c r="D91" s="269"/>
      <c r="E91" s="270"/>
      <c r="F91" s="271"/>
      <c r="G91" s="272"/>
      <c r="H91" s="273"/>
      <c r="I91" s="273"/>
      <c r="J91" s="273"/>
      <c r="K91" s="273"/>
      <c r="L91" s="273"/>
      <c r="M91" s="274"/>
      <c r="N91" s="275"/>
      <c r="O91" s="276"/>
      <c r="P91" s="277"/>
      <c r="Q91" s="276"/>
      <c r="R91" s="276"/>
      <c r="S91" s="278"/>
      <c r="T91" s="279"/>
      <c r="U91" s="280"/>
      <c r="V91" s="317"/>
      <c r="W91" s="335">
        <f t="shared" si="1"/>
        <v>0</v>
      </c>
      <c r="X91" s="339"/>
      <c r="Y91" s="29">
        <v>39</v>
      </c>
      <c r="CX91" s="1"/>
      <c r="CY91" s="1"/>
      <c r="CZ91" s="1"/>
      <c r="DA91" s="1"/>
      <c r="DB91" s="1"/>
      <c r="DC91" s="1"/>
      <c r="DD91" s="1"/>
    </row>
    <row r="92" spans="1:108" ht="15.75" customHeight="1" thickBot="1" x14ac:dyDescent="0.4">
      <c r="B92" s="282" t="s">
        <v>274</v>
      </c>
      <c r="C92" s="283"/>
      <c r="D92" s="284"/>
      <c r="E92" s="285"/>
      <c r="F92" s="286"/>
      <c r="G92" s="287"/>
      <c r="H92" s="288"/>
      <c r="I92" s="288"/>
      <c r="J92" s="288"/>
      <c r="K92" s="288"/>
      <c r="L92" s="288"/>
      <c r="M92" s="289"/>
      <c r="N92" s="290"/>
      <c r="O92" s="291"/>
      <c r="P92" s="292"/>
      <c r="Q92" s="291"/>
      <c r="R92" s="291"/>
      <c r="S92" s="293"/>
      <c r="T92" s="294"/>
      <c r="U92" s="295"/>
      <c r="V92" s="318"/>
      <c r="W92" s="335">
        <f t="shared" si="1"/>
        <v>0</v>
      </c>
      <c r="X92" s="340"/>
      <c r="Y92" s="29">
        <v>40</v>
      </c>
      <c r="CX92" s="1"/>
      <c r="CY92" s="1"/>
      <c r="CZ92" s="1"/>
      <c r="DA92" s="1"/>
      <c r="DB92" s="1"/>
      <c r="DC92" s="1"/>
      <c r="DD92" s="1"/>
    </row>
    <row r="93" spans="1:108" ht="15.75" customHeight="1" thickBot="1" x14ac:dyDescent="0.25">
      <c r="B93" s="171"/>
      <c r="C93" s="241"/>
      <c r="D93" s="250"/>
      <c r="E93" s="251"/>
      <c r="F93" s="252"/>
      <c r="G93" s="255"/>
      <c r="H93" s="245"/>
      <c r="I93" s="245"/>
      <c r="J93" s="245"/>
      <c r="K93" s="245"/>
      <c r="L93" s="245"/>
      <c r="M93" s="246"/>
      <c r="N93" s="257"/>
      <c r="O93" s="192">
        <f>SUM(O53:O92)</f>
        <v>0</v>
      </c>
      <c r="P93" s="191" t="e">
        <f>AVERAGE(P53:P92)</f>
        <v>#DIV/0!</v>
      </c>
      <c r="Q93" s="191"/>
      <c r="R93" s="192">
        <f>SUM(R53:R92)</f>
        <v>0</v>
      </c>
      <c r="S93" s="191" t="e">
        <f>AVERAGE(S53:S92)</f>
        <v>#DIV/0!</v>
      </c>
      <c r="T93" s="191"/>
      <c r="U93" s="253" t="e">
        <f>AVERAGE(U53:U92)</f>
        <v>#DIV/0!</v>
      </c>
      <c r="V93" s="303"/>
      <c r="W93" s="336"/>
      <c r="X93" s="341"/>
      <c r="CX93" s="1"/>
      <c r="CY93" s="1"/>
      <c r="CZ93" s="1"/>
      <c r="DA93" s="1"/>
      <c r="DB93" s="1"/>
      <c r="DC93" s="1"/>
      <c r="DD93" s="1"/>
    </row>
    <row r="94" spans="1:108" ht="15.75" customHeight="1" x14ac:dyDescent="0.2">
      <c r="B94" s="15"/>
      <c r="C94" s="15"/>
      <c r="D94" s="174"/>
      <c r="E94" s="15"/>
      <c r="F94" s="15"/>
      <c r="G94" s="15"/>
      <c r="H94" s="175"/>
      <c r="I94" s="175"/>
      <c r="J94" s="175"/>
      <c r="K94" s="175"/>
      <c r="L94" s="175"/>
      <c r="M94" s="175"/>
      <c r="N94" s="175"/>
      <c r="O94" s="175"/>
      <c r="P94" s="175"/>
      <c r="Q94" s="175"/>
      <c r="R94" s="175"/>
      <c r="S94" s="175"/>
      <c r="T94" s="175"/>
      <c r="U94" s="175"/>
      <c r="V94" s="175"/>
      <c r="W94" s="325"/>
      <c r="X94" s="175"/>
    </row>
    <row r="95" spans="1:108" ht="15.75" customHeight="1" x14ac:dyDescent="0.2">
      <c r="B95" s="15"/>
      <c r="C95" s="15"/>
      <c r="D95" s="174"/>
      <c r="E95" s="15"/>
      <c r="F95" s="15"/>
      <c r="G95" s="1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325"/>
      <c r="X95" s="175"/>
    </row>
    <row r="96" spans="1:108" ht="15.75" customHeight="1" x14ac:dyDescent="0.2">
      <c r="B96" s="15"/>
      <c r="C96" s="15"/>
      <c r="D96" s="174"/>
      <c r="E96" s="15"/>
      <c r="F96" s="15"/>
      <c r="G96" s="15"/>
      <c r="H96" s="175"/>
      <c r="I96" s="175"/>
      <c r="J96" s="175"/>
      <c r="K96" s="175"/>
      <c r="L96" s="175"/>
      <c r="M96" s="175"/>
      <c r="N96" s="175"/>
      <c r="O96" s="175"/>
      <c r="P96" s="175"/>
      <c r="Q96" s="175"/>
      <c r="R96" s="175"/>
      <c r="S96" s="175"/>
      <c r="T96" s="175"/>
      <c r="U96" s="175"/>
      <c r="V96" s="175"/>
      <c r="W96" s="325"/>
      <c r="X96" s="175"/>
    </row>
    <row r="97" spans="1:108" ht="15.75" customHeight="1" x14ac:dyDescent="0.2"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326"/>
      <c r="X97" s="15"/>
    </row>
    <row r="98" spans="1:108" ht="58.5" customHeight="1" thickBot="1" x14ac:dyDescent="0.25">
      <c r="B98" s="17" t="s">
        <v>25</v>
      </c>
      <c r="C98" s="17"/>
    </row>
    <row r="99" spans="1:108" ht="15" customHeight="1" thickBot="1" x14ac:dyDescent="0.25">
      <c r="A99" s="6"/>
      <c r="B99" s="385" t="s">
        <v>1</v>
      </c>
      <c r="C99" s="387" t="s">
        <v>77</v>
      </c>
      <c r="D99" s="389" t="s">
        <v>2</v>
      </c>
      <c r="E99" s="385" t="s">
        <v>3</v>
      </c>
      <c r="F99" s="391" t="s">
        <v>111</v>
      </c>
      <c r="G99" s="213"/>
      <c r="H99" s="254" t="s">
        <v>5</v>
      </c>
      <c r="I99" s="254"/>
      <c r="J99" s="254"/>
      <c r="K99" s="254"/>
      <c r="L99" s="254"/>
      <c r="M99" s="254"/>
      <c r="N99" s="247" t="s">
        <v>6</v>
      </c>
      <c r="O99" s="248"/>
      <c r="P99" s="248"/>
      <c r="Q99" s="248"/>
      <c r="R99" s="248"/>
      <c r="S99" s="248"/>
      <c r="T99" s="248"/>
      <c r="U99" s="248"/>
      <c r="V99" s="248"/>
      <c r="W99" s="248"/>
      <c r="X99" s="249"/>
      <c r="CX99" s="1"/>
      <c r="CY99" s="1"/>
      <c r="CZ99" s="1"/>
      <c r="DA99" s="1"/>
      <c r="DB99" s="1"/>
      <c r="DC99" s="1"/>
      <c r="DD99" s="1"/>
    </row>
    <row r="100" spans="1:108" s="6" customFormat="1" ht="33.75" customHeight="1" thickBot="1" x14ac:dyDescent="0.25">
      <c r="B100" s="386"/>
      <c r="C100" s="388"/>
      <c r="D100" s="390"/>
      <c r="E100" s="386"/>
      <c r="F100" s="392"/>
      <c r="G100" s="256" t="s">
        <v>122</v>
      </c>
      <c r="H100" s="153" t="s">
        <v>124</v>
      </c>
      <c r="I100" s="153" t="s">
        <v>126</v>
      </c>
      <c r="J100" s="153" t="s">
        <v>128</v>
      </c>
      <c r="K100" s="153" t="s">
        <v>157</v>
      </c>
      <c r="L100" s="153" t="s">
        <v>159</v>
      </c>
      <c r="M100" s="258" t="s">
        <v>161</v>
      </c>
      <c r="N100" s="304" t="s">
        <v>106</v>
      </c>
      <c r="O100" s="207" t="s">
        <v>18</v>
      </c>
      <c r="P100" s="207" t="s">
        <v>19</v>
      </c>
      <c r="Q100" s="207" t="s">
        <v>110</v>
      </c>
      <c r="R100" s="207" t="s">
        <v>20</v>
      </c>
      <c r="S100" s="305" t="s">
        <v>21</v>
      </c>
      <c r="T100" s="305" t="s">
        <v>109</v>
      </c>
      <c r="U100" s="306" t="s">
        <v>22</v>
      </c>
      <c r="V100" s="315" t="s">
        <v>110</v>
      </c>
      <c r="W100" s="333" t="s">
        <v>3</v>
      </c>
      <c r="X100" s="337" t="s">
        <v>133</v>
      </c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</row>
    <row r="101" spans="1:108" s="6" customFormat="1" ht="15" customHeight="1" x14ac:dyDescent="0.35">
      <c r="A101" s="1"/>
      <c r="B101" s="259" t="s">
        <v>75</v>
      </c>
      <c r="C101" s="260"/>
      <c r="D101" s="261"/>
      <c r="E101" s="262"/>
      <c r="F101" s="263"/>
      <c r="G101" s="264"/>
      <c r="H101" s="265"/>
      <c r="I101" s="265"/>
      <c r="J101" s="265"/>
      <c r="K101" s="265"/>
      <c r="L101" s="265"/>
      <c r="M101" s="266"/>
      <c r="N101" s="308"/>
      <c r="O101" s="309"/>
      <c r="P101" s="310"/>
      <c r="Q101" s="309"/>
      <c r="R101" s="309"/>
      <c r="S101" s="311"/>
      <c r="T101" s="312"/>
      <c r="U101" s="313"/>
      <c r="V101" s="316"/>
      <c r="W101" s="334">
        <f>Q101*-3+T101*-1+V101*-1</f>
        <v>0</v>
      </c>
      <c r="X101" s="338"/>
      <c r="Y101" s="29">
        <v>1</v>
      </c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</row>
    <row r="102" spans="1:108" s="6" customFormat="1" ht="15" customHeight="1" x14ac:dyDescent="0.35">
      <c r="A102" s="1"/>
      <c r="B102" s="364" t="s">
        <v>76</v>
      </c>
      <c r="C102" s="365"/>
      <c r="D102" s="366"/>
      <c r="E102" s="367"/>
      <c r="F102" s="368"/>
      <c r="G102" s="264"/>
      <c r="H102" s="265"/>
      <c r="I102" s="265"/>
      <c r="J102" s="265"/>
      <c r="K102" s="265"/>
      <c r="L102" s="265"/>
      <c r="M102" s="266"/>
      <c r="N102" s="369"/>
      <c r="O102" s="370"/>
      <c r="P102" s="371"/>
      <c r="Q102" s="370"/>
      <c r="R102" s="370"/>
      <c r="S102" s="372"/>
      <c r="T102" s="373"/>
      <c r="U102" s="374"/>
      <c r="V102" s="375"/>
      <c r="W102" s="376"/>
      <c r="X102" s="377"/>
      <c r="Y102" s="29">
        <v>2</v>
      </c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</row>
    <row r="103" spans="1:108" s="6" customFormat="1" ht="15" customHeight="1" x14ac:dyDescent="0.35">
      <c r="A103" s="1"/>
      <c r="B103" s="364" t="s">
        <v>66</v>
      </c>
      <c r="C103" s="365"/>
      <c r="D103" s="366"/>
      <c r="E103" s="367"/>
      <c r="F103" s="368"/>
      <c r="G103" s="264"/>
      <c r="H103" s="265"/>
      <c r="I103" s="265"/>
      <c r="J103" s="265"/>
      <c r="K103" s="265"/>
      <c r="L103" s="265"/>
      <c r="M103" s="266"/>
      <c r="N103" s="369"/>
      <c r="O103" s="370"/>
      <c r="P103" s="371"/>
      <c r="Q103" s="370"/>
      <c r="R103" s="370"/>
      <c r="S103" s="372"/>
      <c r="T103" s="373"/>
      <c r="U103" s="374"/>
      <c r="V103" s="375"/>
      <c r="W103" s="376"/>
      <c r="X103" s="377"/>
      <c r="Y103" s="29">
        <v>3</v>
      </c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  <c r="CF103" s="29"/>
      <c r="CG103" s="29"/>
      <c r="CH103" s="29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</row>
    <row r="104" spans="1:108" s="6" customFormat="1" ht="15" customHeight="1" x14ac:dyDescent="0.35">
      <c r="A104" s="1"/>
      <c r="B104" s="364" t="s">
        <v>67</v>
      </c>
      <c r="C104" s="365"/>
      <c r="D104" s="366"/>
      <c r="E104" s="367"/>
      <c r="F104" s="368"/>
      <c r="G104" s="264"/>
      <c r="H104" s="265"/>
      <c r="I104" s="265"/>
      <c r="J104" s="265"/>
      <c r="K104" s="265"/>
      <c r="L104" s="265"/>
      <c r="M104" s="266"/>
      <c r="N104" s="369"/>
      <c r="O104" s="370"/>
      <c r="P104" s="371"/>
      <c r="Q104" s="370"/>
      <c r="R104" s="370"/>
      <c r="S104" s="372"/>
      <c r="T104" s="373"/>
      <c r="U104" s="374"/>
      <c r="V104" s="375"/>
      <c r="W104" s="376"/>
      <c r="X104" s="377"/>
      <c r="Y104" s="29">
        <v>4</v>
      </c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  <c r="CF104" s="29"/>
      <c r="CG104" s="29"/>
      <c r="CH104" s="29"/>
      <c r="CI104" s="29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  <c r="CW104" s="29"/>
    </row>
    <row r="105" spans="1:108" s="6" customFormat="1" ht="15" customHeight="1" x14ac:dyDescent="0.35">
      <c r="A105" s="1"/>
      <c r="B105" s="364" t="s">
        <v>68</v>
      </c>
      <c r="C105" s="365"/>
      <c r="D105" s="366"/>
      <c r="E105" s="367"/>
      <c r="F105" s="368"/>
      <c r="G105" s="264"/>
      <c r="H105" s="265"/>
      <c r="I105" s="265"/>
      <c r="J105" s="265"/>
      <c r="K105" s="265"/>
      <c r="L105" s="265"/>
      <c r="M105" s="266"/>
      <c r="N105" s="369"/>
      <c r="O105" s="370"/>
      <c r="P105" s="371"/>
      <c r="Q105" s="370"/>
      <c r="R105" s="370"/>
      <c r="S105" s="372"/>
      <c r="T105" s="373"/>
      <c r="U105" s="374"/>
      <c r="V105" s="375"/>
      <c r="W105" s="376"/>
      <c r="X105" s="377"/>
      <c r="Y105" s="29">
        <v>5</v>
      </c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  <c r="CF105" s="29"/>
      <c r="CG105" s="29"/>
      <c r="CH105" s="29"/>
      <c r="CI105" s="29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  <c r="CW105" s="29"/>
    </row>
    <row r="106" spans="1:108" s="6" customFormat="1" ht="15" customHeight="1" x14ac:dyDescent="0.35">
      <c r="A106" s="1"/>
      <c r="B106" s="364" t="s">
        <v>69</v>
      </c>
      <c r="C106" s="365"/>
      <c r="D106" s="366"/>
      <c r="E106" s="367"/>
      <c r="F106" s="368"/>
      <c r="G106" s="264"/>
      <c r="H106" s="265"/>
      <c r="I106" s="265"/>
      <c r="J106" s="265"/>
      <c r="K106" s="265"/>
      <c r="L106" s="265"/>
      <c r="M106" s="266"/>
      <c r="N106" s="369"/>
      <c r="O106" s="370"/>
      <c r="P106" s="371"/>
      <c r="Q106" s="370"/>
      <c r="R106" s="370"/>
      <c r="S106" s="372"/>
      <c r="T106" s="373"/>
      <c r="U106" s="374"/>
      <c r="V106" s="375"/>
      <c r="W106" s="376"/>
      <c r="X106" s="377"/>
      <c r="Y106" s="29">
        <v>6</v>
      </c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  <c r="CF106" s="29"/>
      <c r="CG106" s="29"/>
      <c r="CH106" s="29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  <c r="CW106" s="29"/>
    </row>
    <row r="107" spans="1:108" s="6" customFormat="1" ht="15" customHeight="1" x14ac:dyDescent="0.35">
      <c r="A107" s="1"/>
      <c r="B107" s="364" t="s">
        <v>70</v>
      </c>
      <c r="C107" s="365"/>
      <c r="D107" s="366"/>
      <c r="E107" s="367"/>
      <c r="F107" s="368"/>
      <c r="G107" s="264"/>
      <c r="H107" s="265"/>
      <c r="I107" s="265"/>
      <c r="J107" s="265"/>
      <c r="K107" s="265"/>
      <c r="L107" s="265"/>
      <c r="M107" s="266"/>
      <c r="N107" s="369"/>
      <c r="O107" s="370"/>
      <c r="P107" s="371"/>
      <c r="Q107" s="370"/>
      <c r="R107" s="370"/>
      <c r="S107" s="372"/>
      <c r="T107" s="373"/>
      <c r="U107" s="374"/>
      <c r="V107" s="375"/>
      <c r="W107" s="376"/>
      <c r="X107" s="377"/>
      <c r="Y107" s="29">
        <v>7</v>
      </c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  <c r="CF107" s="29"/>
      <c r="CG107" s="29"/>
      <c r="CH107" s="29"/>
      <c r="CI107" s="29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  <c r="CW107" s="29"/>
    </row>
    <row r="108" spans="1:108" s="6" customFormat="1" ht="15" customHeight="1" x14ac:dyDescent="0.35">
      <c r="A108" s="1"/>
      <c r="B108" s="364" t="s">
        <v>71</v>
      </c>
      <c r="C108" s="365"/>
      <c r="D108" s="366"/>
      <c r="E108" s="367"/>
      <c r="F108" s="368"/>
      <c r="G108" s="264"/>
      <c r="H108" s="265"/>
      <c r="I108" s="265"/>
      <c r="J108" s="265"/>
      <c r="K108" s="265"/>
      <c r="L108" s="265"/>
      <c r="M108" s="266"/>
      <c r="N108" s="369"/>
      <c r="O108" s="370"/>
      <c r="P108" s="371"/>
      <c r="Q108" s="370"/>
      <c r="R108" s="370"/>
      <c r="S108" s="372"/>
      <c r="T108" s="373"/>
      <c r="U108" s="374"/>
      <c r="V108" s="375"/>
      <c r="W108" s="376"/>
      <c r="X108" s="377"/>
      <c r="Y108" s="29">
        <v>8</v>
      </c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  <c r="CF108" s="29"/>
      <c r="CG108" s="29"/>
      <c r="CH108" s="29"/>
      <c r="CI108" s="29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  <c r="CW108" s="29"/>
    </row>
    <row r="109" spans="1:108" s="6" customFormat="1" ht="15" customHeight="1" x14ac:dyDescent="0.35">
      <c r="A109" s="1"/>
      <c r="B109" s="364" t="s">
        <v>243</v>
      </c>
      <c r="C109" s="365"/>
      <c r="D109" s="366"/>
      <c r="E109" s="367"/>
      <c r="F109" s="368"/>
      <c r="G109" s="264"/>
      <c r="H109" s="265"/>
      <c r="I109" s="265"/>
      <c r="J109" s="265"/>
      <c r="K109" s="265"/>
      <c r="L109" s="265"/>
      <c r="M109" s="266"/>
      <c r="N109" s="369"/>
      <c r="O109" s="370"/>
      <c r="P109" s="371"/>
      <c r="Q109" s="370"/>
      <c r="R109" s="370"/>
      <c r="S109" s="372"/>
      <c r="T109" s="373"/>
      <c r="U109" s="374"/>
      <c r="V109" s="375"/>
      <c r="W109" s="376"/>
      <c r="X109" s="377"/>
      <c r="Y109" s="29">
        <v>9</v>
      </c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  <c r="CF109" s="29"/>
      <c r="CG109" s="29"/>
      <c r="CH109" s="29"/>
      <c r="CI109" s="29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  <c r="CW109" s="29"/>
    </row>
    <row r="110" spans="1:108" s="6" customFormat="1" ht="15" customHeight="1" x14ac:dyDescent="0.35">
      <c r="A110" s="1"/>
      <c r="B110" s="364" t="s">
        <v>244</v>
      </c>
      <c r="C110" s="365"/>
      <c r="D110" s="366"/>
      <c r="E110" s="367"/>
      <c r="F110" s="368"/>
      <c r="G110" s="264"/>
      <c r="H110" s="265"/>
      <c r="I110" s="265"/>
      <c r="J110" s="265"/>
      <c r="K110" s="265"/>
      <c r="L110" s="265"/>
      <c r="M110" s="266"/>
      <c r="N110" s="369"/>
      <c r="O110" s="370"/>
      <c r="P110" s="371"/>
      <c r="Q110" s="370"/>
      <c r="R110" s="370"/>
      <c r="S110" s="372"/>
      <c r="T110" s="373"/>
      <c r="U110" s="374"/>
      <c r="V110" s="375"/>
      <c r="W110" s="376"/>
      <c r="X110" s="377"/>
      <c r="Y110" s="29">
        <v>10</v>
      </c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  <c r="CF110" s="29"/>
      <c r="CG110" s="29"/>
      <c r="CH110" s="29"/>
      <c r="CI110" s="29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  <c r="CW110" s="29"/>
    </row>
    <row r="111" spans="1:108" s="6" customFormat="1" ht="15" customHeight="1" x14ac:dyDescent="0.35">
      <c r="A111" s="1"/>
      <c r="B111" s="364" t="s">
        <v>245</v>
      </c>
      <c r="C111" s="365"/>
      <c r="D111" s="366"/>
      <c r="E111" s="367"/>
      <c r="F111" s="368"/>
      <c r="G111" s="264"/>
      <c r="H111" s="265"/>
      <c r="I111" s="265"/>
      <c r="J111" s="265"/>
      <c r="K111" s="265"/>
      <c r="L111" s="265"/>
      <c r="M111" s="266"/>
      <c r="N111" s="369"/>
      <c r="O111" s="370"/>
      <c r="P111" s="371"/>
      <c r="Q111" s="370"/>
      <c r="R111" s="370"/>
      <c r="S111" s="372"/>
      <c r="T111" s="373"/>
      <c r="U111" s="374"/>
      <c r="V111" s="375"/>
      <c r="W111" s="376"/>
      <c r="X111" s="377"/>
      <c r="Y111" s="29">
        <v>11</v>
      </c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  <c r="CF111" s="29"/>
      <c r="CG111" s="29"/>
      <c r="CH111" s="29"/>
      <c r="CI111" s="29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  <c r="CW111" s="29"/>
    </row>
    <row r="112" spans="1:108" s="6" customFormat="1" ht="15" customHeight="1" x14ac:dyDescent="0.35">
      <c r="A112" s="1"/>
      <c r="B112" s="364" t="s">
        <v>246</v>
      </c>
      <c r="C112" s="365"/>
      <c r="D112" s="366"/>
      <c r="E112" s="367"/>
      <c r="F112" s="368"/>
      <c r="G112" s="264"/>
      <c r="H112" s="265"/>
      <c r="I112" s="265"/>
      <c r="J112" s="265"/>
      <c r="K112" s="265"/>
      <c r="L112" s="265"/>
      <c r="M112" s="266"/>
      <c r="N112" s="369"/>
      <c r="O112" s="370"/>
      <c r="P112" s="371"/>
      <c r="Q112" s="370"/>
      <c r="R112" s="370"/>
      <c r="S112" s="372"/>
      <c r="T112" s="373"/>
      <c r="U112" s="374"/>
      <c r="V112" s="375"/>
      <c r="W112" s="376"/>
      <c r="X112" s="377"/>
      <c r="Y112" s="29">
        <v>12</v>
      </c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  <c r="CF112" s="29"/>
      <c r="CG112" s="29"/>
      <c r="CH112" s="29"/>
      <c r="CI112" s="29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  <c r="CW112" s="29"/>
    </row>
    <row r="113" spans="1:101" s="6" customFormat="1" ht="15" customHeight="1" x14ac:dyDescent="0.35">
      <c r="A113" s="1"/>
      <c r="B113" s="364" t="s">
        <v>247</v>
      </c>
      <c r="C113" s="365"/>
      <c r="D113" s="366"/>
      <c r="E113" s="367"/>
      <c r="F113" s="368"/>
      <c r="G113" s="264"/>
      <c r="H113" s="265"/>
      <c r="I113" s="265"/>
      <c r="J113" s="265"/>
      <c r="K113" s="265"/>
      <c r="L113" s="265"/>
      <c r="M113" s="266"/>
      <c r="N113" s="369"/>
      <c r="O113" s="370"/>
      <c r="P113" s="371"/>
      <c r="Q113" s="370"/>
      <c r="R113" s="370"/>
      <c r="S113" s="372"/>
      <c r="T113" s="373"/>
      <c r="U113" s="374"/>
      <c r="V113" s="375"/>
      <c r="W113" s="376"/>
      <c r="X113" s="377"/>
      <c r="Y113" s="29">
        <v>13</v>
      </c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  <c r="CF113" s="29"/>
      <c r="CG113" s="29"/>
      <c r="CH113" s="29"/>
      <c r="CI113" s="29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  <c r="CW113" s="29"/>
    </row>
    <row r="114" spans="1:101" s="6" customFormat="1" ht="15" customHeight="1" x14ac:dyDescent="0.35">
      <c r="A114" s="1"/>
      <c r="B114" s="364" t="s">
        <v>248</v>
      </c>
      <c r="C114" s="365"/>
      <c r="D114" s="366"/>
      <c r="E114" s="367"/>
      <c r="F114" s="368"/>
      <c r="G114" s="264"/>
      <c r="H114" s="265"/>
      <c r="I114" s="265"/>
      <c r="J114" s="265"/>
      <c r="K114" s="265"/>
      <c r="L114" s="265"/>
      <c r="M114" s="266"/>
      <c r="N114" s="369"/>
      <c r="O114" s="370"/>
      <c r="P114" s="371"/>
      <c r="Q114" s="370"/>
      <c r="R114" s="370"/>
      <c r="S114" s="372"/>
      <c r="T114" s="373"/>
      <c r="U114" s="374"/>
      <c r="V114" s="375"/>
      <c r="W114" s="376"/>
      <c r="X114" s="377"/>
      <c r="Y114" s="29">
        <v>14</v>
      </c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  <c r="CF114" s="29"/>
      <c r="CG114" s="29"/>
      <c r="CH114" s="29"/>
      <c r="CI114" s="29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  <c r="CW114" s="29"/>
    </row>
    <row r="115" spans="1:101" s="6" customFormat="1" ht="15" customHeight="1" x14ac:dyDescent="0.35">
      <c r="A115" s="1"/>
      <c r="B115" s="364" t="s">
        <v>249</v>
      </c>
      <c r="C115" s="365"/>
      <c r="D115" s="366"/>
      <c r="E115" s="367"/>
      <c r="F115" s="368"/>
      <c r="G115" s="264"/>
      <c r="H115" s="265"/>
      <c r="I115" s="265"/>
      <c r="J115" s="265"/>
      <c r="K115" s="265"/>
      <c r="L115" s="265"/>
      <c r="M115" s="266"/>
      <c r="N115" s="369"/>
      <c r="O115" s="370"/>
      <c r="P115" s="371"/>
      <c r="Q115" s="370"/>
      <c r="R115" s="370"/>
      <c r="S115" s="372"/>
      <c r="T115" s="373"/>
      <c r="U115" s="374"/>
      <c r="V115" s="375"/>
      <c r="W115" s="376"/>
      <c r="X115" s="377"/>
      <c r="Y115" s="29">
        <v>15</v>
      </c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  <c r="CF115" s="29"/>
      <c r="CG115" s="29"/>
      <c r="CH115" s="29"/>
      <c r="CI115" s="29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  <c r="CW115" s="29"/>
    </row>
    <row r="116" spans="1:101" s="6" customFormat="1" ht="15" customHeight="1" x14ac:dyDescent="0.35">
      <c r="A116" s="1"/>
      <c r="B116" s="364" t="s">
        <v>250</v>
      </c>
      <c r="C116" s="365"/>
      <c r="D116" s="366"/>
      <c r="E116" s="367"/>
      <c r="F116" s="368"/>
      <c r="G116" s="264"/>
      <c r="H116" s="265"/>
      <c r="I116" s="265"/>
      <c r="J116" s="265"/>
      <c r="K116" s="265"/>
      <c r="L116" s="265"/>
      <c r="M116" s="266"/>
      <c r="N116" s="369"/>
      <c r="O116" s="370"/>
      <c r="P116" s="371"/>
      <c r="Q116" s="370"/>
      <c r="R116" s="370"/>
      <c r="S116" s="372"/>
      <c r="T116" s="373"/>
      <c r="U116" s="374"/>
      <c r="V116" s="375"/>
      <c r="W116" s="376"/>
      <c r="X116" s="377"/>
      <c r="Y116" s="29">
        <v>16</v>
      </c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</row>
    <row r="117" spans="1:101" s="6" customFormat="1" ht="15" customHeight="1" x14ac:dyDescent="0.35">
      <c r="A117" s="1"/>
      <c r="B117" s="364" t="s">
        <v>251</v>
      </c>
      <c r="C117" s="365"/>
      <c r="D117" s="366"/>
      <c r="E117" s="367"/>
      <c r="F117" s="368"/>
      <c r="G117" s="264"/>
      <c r="H117" s="265"/>
      <c r="I117" s="265"/>
      <c r="J117" s="265"/>
      <c r="K117" s="265"/>
      <c r="L117" s="265"/>
      <c r="M117" s="266"/>
      <c r="N117" s="369"/>
      <c r="O117" s="370"/>
      <c r="P117" s="371"/>
      <c r="Q117" s="370"/>
      <c r="R117" s="370"/>
      <c r="S117" s="372"/>
      <c r="T117" s="373"/>
      <c r="U117" s="374"/>
      <c r="V117" s="375"/>
      <c r="W117" s="376"/>
      <c r="X117" s="377"/>
      <c r="Y117" s="29">
        <v>17</v>
      </c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</row>
    <row r="118" spans="1:101" s="6" customFormat="1" ht="15" customHeight="1" x14ac:dyDescent="0.35">
      <c r="A118" s="1"/>
      <c r="B118" s="364" t="s">
        <v>252</v>
      </c>
      <c r="C118" s="365"/>
      <c r="D118" s="366"/>
      <c r="E118" s="367"/>
      <c r="F118" s="368"/>
      <c r="G118" s="264"/>
      <c r="H118" s="265"/>
      <c r="I118" s="265"/>
      <c r="J118" s="265"/>
      <c r="K118" s="265"/>
      <c r="L118" s="265"/>
      <c r="M118" s="266"/>
      <c r="N118" s="369"/>
      <c r="O118" s="370"/>
      <c r="P118" s="371"/>
      <c r="Q118" s="370"/>
      <c r="R118" s="370"/>
      <c r="S118" s="372"/>
      <c r="T118" s="373"/>
      <c r="U118" s="374"/>
      <c r="V118" s="375"/>
      <c r="W118" s="376"/>
      <c r="X118" s="377"/>
      <c r="Y118" s="29">
        <v>18</v>
      </c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  <c r="CF118" s="29"/>
      <c r="CG118" s="29"/>
      <c r="CH118" s="29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  <c r="CW118" s="29"/>
    </row>
    <row r="119" spans="1:101" s="6" customFormat="1" ht="15" customHeight="1" x14ac:dyDescent="0.35">
      <c r="A119" s="1"/>
      <c r="B119" s="364" t="s">
        <v>253</v>
      </c>
      <c r="C119" s="365"/>
      <c r="D119" s="366"/>
      <c r="E119" s="367"/>
      <c r="F119" s="368"/>
      <c r="G119" s="264"/>
      <c r="H119" s="265"/>
      <c r="I119" s="265"/>
      <c r="J119" s="265"/>
      <c r="K119" s="265"/>
      <c r="L119" s="265"/>
      <c r="M119" s="266"/>
      <c r="N119" s="369"/>
      <c r="O119" s="370"/>
      <c r="P119" s="371"/>
      <c r="Q119" s="370"/>
      <c r="R119" s="370"/>
      <c r="S119" s="372"/>
      <c r="T119" s="373"/>
      <c r="U119" s="374"/>
      <c r="V119" s="375"/>
      <c r="W119" s="376"/>
      <c r="X119" s="377"/>
      <c r="Y119" s="29">
        <v>19</v>
      </c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  <c r="CF119" s="29"/>
      <c r="CG119" s="29"/>
      <c r="CH119" s="29"/>
      <c r="CI119" s="29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  <c r="CW119" s="29"/>
    </row>
    <row r="120" spans="1:101" s="6" customFormat="1" ht="15" customHeight="1" x14ac:dyDescent="0.35">
      <c r="A120" s="1"/>
      <c r="B120" s="364" t="s">
        <v>254</v>
      </c>
      <c r="C120" s="365"/>
      <c r="D120" s="366"/>
      <c r="E120" s="367"/>
      <c r="F120" s="368"/>
      <c r="G120" s="264"/>
      <c r="H120" s="265"/>
      <c r="I120" s="265"/>
      <c r="J120" s="265"/>
      <c r="K120" s="265"/>
      <c r="L120" s="265"/>
      <c r="M120" s="266"/>
      <c r="N120" s="369"/>
      <c r="O120" s="370"/>
      <c r="P120" s="371"/>
      <c r="Q120" s="370"/>
      <c r="R120" s="370"/>
      <c r="S120" s="372"/>
      <c r="T120" s="373"/>
      <c r="U120" s="374"/>
      <c r="V120" s="375"/>
      <c r="W120" s="376"/>
      <c r="X120" s="377"/>
      <c r="Y120" s="29">
        <v>20</v>
      </c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  <c r="CF120" s="29"/>
      <c r="CG120" s="29"/>
      <c r="CH120" s="29"/>
      <c r="CI120" s="29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  <c r="CW120" s="29"/>
    </row>
    <row r="121" spans="1:101" s="6" customFormat="1" ht="15" customHeight="1" x14ac:dyDescent="0.35">
      <c r="A121" s="1"/>
      <c r="B121" s="364" t="s">
        <v>255</v>
      </c>
      <c r="C121" s="365"/>
      <c r="D121" s="366"/>
      <c r="E121" s="367"/>
      <c r="F121" s="368"/>
      <c r="G121" s="264"/>
      <c r="H121" s="265"/>
      <c r="I121" s="265"/>
      <c r="J121" s="265"/>
      <c r="K121" s="265"/>
      <c r="L121" s="265"/>
      <c r="M121" s="266"/>
      <c r="N121" s="369"/>
      <c r="O121" s="370"/>
      <c r="P121" s="371"/>
      <c r="Q121" s="370"/>
      <c r="R121" s="370"/>
      <c r="S121" s="372"/>
      <c r="T121" s="373"/>
      <c r="U121" s="374"/>
      <c r="V121" s="375"/>
      <c r="W121" s="376"/>
      <c r="X121" s="377"/>
      <c r="Y121" s="29">
        <v>21</v>
      </c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  <c r="CF121" s="29"/>
      <c r="CG121" s="29"/>
      <c r="CH121" s="29"/>
      <c r="CI121" s="29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  <c r="CW121" s="29"/>
    </row>
    <row r="122" spans="1:101" s="6" customFormat="1" ht="15" customHeight="1" x14ac:dyDescent="0.35">
      <c r="A122" s="1"/>
      <c r="B122" s="364" t="s">
        <v>256</v>
      </c>
      <c r="C122" s="365"/>
      <c r="D122" s="366"/>
      <c r="E122" s="367"/>
      <c r="F122" s="368"/>
      <c r="G122" s="264"/>
      <c r="H122" s="265"/>
      <c r="I122" s="265"/>
      <c r="J122" s="265"/>
      <c r="K122" s="265"/>
      <c r="L122" s="265"/>
      <c r="M122" s="266"/>
      <c r="N122" s="369"/>
      <c r="O122" s="370"/>
      <c r="P122" s="371"/>
      <c r="Q122" s="370"/>
      <c r="R122" s="370"/>
      <c r="S122" s="372"/>
      <c r="T122" s="373"/>
      <c r="U122" s="374"/>
      <c r="V122" s="375"/>
      <c r="W122" s="376"/>
      <c r="X122" s="377"/>
      <c r="Y122" s="29">
        <v>22</v>
      </c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  <c r="CF122" s="29"/>
      <c r="CG122" s="29"/>
      <c r="CH122" s="29"/>
      <c r="CI122" s="29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  <c r="CW122" s="29"/>
    </row>
    <row r="123" spans="1:101" s="6" customFormat="1" ht="15" customHeight="1" x14ac:dyDescent="0.35">
      <c r="A123" s="1"/>
      <c r="B123" s="364" t="s">
        <v>257</v>
      </c>
      <c r="C123" s="365"/>
      <c r="D123" s="366"/>
      <c r="E123" s="367"/>
      <c r="F123" s="368"/>
      <c r="G123" s="264"/>
      <c r="H123" s="265"/>
      <c r="I123" s="265"/>
      <c r="J123" s="265"/>
      <c r="K123" s="265"/>
      <c r="L123" s="265"/>
      <c r="M123" s="266"/>
      <c r="N123" s="369"/>
      <c r="O123" s="370"/>
      <c r="P123" s="371"/>
      <c r="Q123" s="370"/>
      <c r="R123" s="370"/>
      <c r="S123" s="372"/>
      <c r="T123" s="373"/>
      <c r="U123" s="374"/>
      <c r="V123" s="375"/>
      <c r="W123" s="376"/>
      <c r="X123" s="377"/>
      <c r="Y123" s="29">
        <v>23</v>
      </c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  <c r="CF123" s="29"/>
      <c r="CG123" s="29"/>
      <c r="CH123" s="29"/>
      <c r="CI123" s="29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  <c r="CW123" s="29"/>
    </row>
    <row r="124" spans="1:101" s="6" customFormat="1" ht="15" customHeight="1" x14ac:dyDescent="0.35">
      <c r="A124" s="1"/>
      <c r="B124" s="364" t="s">
        <v>258</v>
      </c>
      <c r="C124" s="365"/>
      <c r="D124" s="366"/>
      <c r="E124" s="367"/>
      <c r="F124" s="368"/>
      <c r="G124" s="264"/>
      <c r="H124" s="265"/>
      <c r="I124" s="265"/>
      <c r="J124" s="265"/>
      <c r="K124" s="265"/>
      <c r="L124" s="265"/>
      <c r="M124" s="266"/>
      <c r="N124" s="369"/>
      <c r="O124" s="370"/>
      <c r="P124" s="371"/>
      <c r="Q124" s="370"/>
      <c r="R124" s="370"/>
      <c r="S124" s="372"/>
      <c r="T124" s="373"/>
      <c r="U124" s="374"/>
      <c r="V124" s="375"/>
      <c r="W124" s="376"/>
      <c r="X124" s="377"/>
      <c r="Y124" s="29">
        <v>24</v>
      </c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  <c r="CF124" s="29"/>
      <c r="CG124" s="29"/>
      <c r="CH124" s="29"/>
      <c r="CI124" s="29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  <c r="CW124" s="29"/>
    </row>
    <row r="125" spans="1:101" s="6" customFormat="1" ht="15" customHeight="1" x14ac:dyDescent="0.35">
      <c r="A125" s="1"/>
      <c r="B125" s="364" t="s">
        <v>259</v>
      </c>
      <c r="C125" s="365"/>
      <c r="D125" s="366"/>
      <c r="E125" s="367"/>
      <c r="F125" s="368"/>
      <c r="G125" s="264"/>
      <c r="H125" s="265"/>
      <c r="I125" s="265"/>
      <c r="J125" s="265"/>
      <c r="K125" s="265"/>
      <c r="L125" s="265"/>
      <c r="M125" s="266"/>
      <c r="N125" s="369"/>
      <c r="O125" s="370"/>
      <c r="P125" s="371"/>
      <c r="Q125" s="370"/>
      <c r="R125" s="370"/>
      <c r="S125" s="372"/>
      <c r="T125" s="373"/>
      <c r="U125" s="374"/>
      <c r="V125" s="375"/>
      <c r="W125" s="376"/>
      <c r="X125" s="377"/>
      <c r="Y125" s="29">
        <v>25</v>
      </c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  <c r="CF125" s="29"/>
      <c r="CG125" s="29"/>
      <c r="CH125" s="29"/>
      <c r="CI125" s="29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  <c r="CW125" s="29"/>
    </row>
    <row r="126" spans="1:101" s="6" customFormat="1" ht="15" customHeight="1" x14ac:dyDescent="0.35">
      <c r="A126" s="1"/>
      <c r="B126" s="364" t="s">
        <v>260</v>
      </c>
      <c r="C126" s="365"/>
      <c r="D126" s="366"/>
      <c r="E126" s="367"/>
      <c r="F126" s="368"/>
      <c r="G126" s="264"/>
      <c r="H126" s="265"/>
      <c r="I126" s="265"/>
      <c r="J126" s="265"/>
      <c r="K126" s="265"/>
      <c r="L126" s="265"/>
      <c r="M126" s="266"/>
      <c r="N126" s="369"/>
      <c r="O126" s="370"/>
      <c r="P126" s="371"/>
      <c r="Q126" s="370"/>
      <c r="R126" s="370"/>
      <c r="S126" s="372"/>
      <c r="T126" s="373"/>
      <c r="U126" s="374"/>
      <c r="V126" s="375"/>
      <c r="W126" s="376"/>
      <c r="X126" s="377"/>
      <c r="Y126" s="29">
        <v>26</v>
      </c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  <c r="CW126" s="29"/>
    </row>
    <row r="127" spans="1:101" s="6" customFormat="1" ht="15" customHeight="1" x14ac:dyDescent="0.35">
      <c r="A127" s="1"/>
      <c r="B127" s="364" t="s">
        <v>261</v>
      </c>
      <c r="C127" s="365"/>
      <c r="D127" s="366"/>
      <c r="E127" s="367"/>
      <c r="F127" s="368"/>
      <c r="G127" s="264"/>
      <c r="H127" s="265"/>
      <c r="I127" s="265"/>
      <c r="J127" s="265"/>
      <c r="K127" s="265"/>
      <c r="L127" s="265"/>
      <c r="M127" s="266"/>
      <c r="N127" s="369"/>
      <c r="O127" s="370"/>
      <c r="P127" s="371"/>
      <c r="Q127" s="370"/>
      <c r="R127" s="370"/>
      <c r="S127" s="372"/>
      <c r="T127" s="373"/>
      <c r="U127" s="374"/>
      <c r="V127" s="375"/>
      <c r="W127" s="376"/>
      <c r="X127" s="377"/>
      <c r="Y127" s="29">
        <v>27</v>
      </c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  <c r="CF127" s="29"/>
      <c r="CG127" s="29"/>
      <c r="CH127" s="29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  <c r="CW127" s="29"/>
    </row>
    <row r="128" spans="1:101" s="6" customFormat="1" ht="15" customHeight="1" x14ac:dyDescent="0.35">
      <c r="A128" s="1"/>
      <c r="B128" s="364" t="s">
        <v>262</v>
      </c>
      <c r="C128" s="365"/>
      <c r="D128" s="366"/>
      <c r="E128" s="367"/>
      <c r="F128" s="368"/>
      <c r="G128" s="264"/>
      <c r="H128" s="265"/>
      <c r="I128" s="265"/>
      <c r="J128" s="265"/>
      <c r="K128" s="265"/>
      <c r="L128" s="265"/>
      <c r="M128" s="266"/>
      <c r="N128" s="369"/>
      <c r="O128" s="370"/>
      <c r="P128" s="371"/>
      <c r="Q128" s="370"/>
      <c r="R128" s="370"/>
      <c r="S128" s="372"/>
      <c r="T128" s="373"/>
      <c r="U128" s="374"/>
      <c r="V128" s="375"/>
      <c r="W128" s="376"/>
      <c r="X128" s="377"/>
      <c r="Y128" s="29">
        <v>28</v>
      </c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  <c r="CF128" s="29"/>
      <c r="CG128" s="29"/>
      <c r="CH128" s="29"/>
      <c r="CI128" s="29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  <c r="CW128" s="29"/>
    </row>
    <row r="129" spans="1:108" s="6" customFormat="1" ht="15" customHeight="1" x14ac:dyDescent="0.35">
      <c r="A129" s="1"/>
      <c r="B129" s="364" t="s">
        <v>263</v>
      </c>
      <c r="C129" s="365"/>
      <c r="D129" s="366"/>
      <c r="E129" s="367"/>
      <c r="F129" s="368"/>
      <c r="G129" s="264"/>
      <c r="H129" s="265"/>
      <c r="I129" s="265"/>
      <c r="J129" s="265"/>
      <c r="K129" s="265"/>
      <c r="L129" s="265"/>
      <c r="M129" s="266"/>
      <c r="N129" s="369"/>
      <c r="O129" s="370"/>
      <c r="P129" s="371"/>
      <c r="Q129" s="370"/>
      <c r="R129" s="370"/>
      <c r="S129" s="372"/>
      <c r="T129" s="373"/>
      <c r="U129" s="374"/>
      <c r="V129" s="375"/>
      <c r="W129" s="376"/>
      <c r="X129" s="377"/>
      <c r="Y129" s="29">
        <v>29</v>
      </c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  <c r="CF129" s="29"/>
      <c r="CG129" s="29"/>
      <c r="CH129" s="29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  <c r="CW129" s="29"/>
    </row>
    <row r="130" spans="1:108" s="6" customFormat="1" ht="15" customHeight="1" x14ac:dyDescent="0.35">
      <c r="A130" s="1"/>
      <c r="B130" s="364" t="s">
        <v>264</v>
      </c>
      <c r="C130" s="365"/>
      <c r="D130" s="366"/>
      <c r="E130" s="367"/>
      <c r="F130" s="368"/>
      <c r="G130" s="264"/>
      <c r="H130" s="265"/>
      <c r="I130" s="265"/>
      <c r="J130" s="265"/>
      <c r="K130" s="265"/>
      <c r="L130" s="265"/>
      <c r="M130" s="266"/>
      <c r="N130" s="369"/>
      <c r="O130" s="370"/>
      <c r="P130" s="371"/>
      <c r="Q130" s="370"/>
      <c r="R130" s="370"/>
      <c r="S130" s="372"/>
      <c r="T130" s="373"/>
      <c r="U130" s="374"/>
      <c r="V130" s="375"/>
      <c r="W130" s="376"/>
      <c r="X130" s="377"/>
      <c r="Y130" s="29">
        <v>30</v>
      </c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  <c r="CF130" s="29"/>
      <c r="CG130" s="29"/>
      <c r="CH130" s="29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  <c r="CW130" s="29"/>
    </row>
    <row r="131" spans="1:108" s="6" customFormat="1" ht="15" customHeight="1" x14ac:dyDescent="0.35">
      <c r="A131" s="1"/>
      <c r="B131" s="364" t="s">
        <v>265</v>
      </c>
      <c r="C131" s="365"/>
      <c r="D131" s="366"/>
      <c r="E131" s="367"/>
      <c r="F131" s="368"/>
      <c r="G131" s="264"/>
      <c r="H131" s="265"/>
      <c r="I131" s="265"/>
      <c r="J131" s="265"/>
      <c r="K131" s="265"/>
      <c r="L131" s="265"/>
      <c r="M131" s="266"/>
      <c r="N131" s="369"/>
      <c r="O131" s="370"/>
      <c r="P131" s="371"/>
      <c r="Q131" s="370"/>
      <c r="R131" s="370"/>
      <c r="S131" s="372"/>
      <c r="T131" s="373"/>
      <c r="U131" s="374"/>
      <c r="V131" s="375"/>
      <c r="W131" s="376"/>
      <c r="X131" s="377"/>
      <c r="Y131" s="29">
        <v>31</v>
      </c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  <c r="CF131" s="29"/>
      <c r="CG131" s="29"/>
      <c r="CH131" s="29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  <c r="CW131" s="29"/>
    </row>
    <row r="132" spans="1:108" s="6" customFormat="1" ht="15" customHeight="1" x14ac:dyDescent="0.35">
      <c r="A132" s="1"/>
      <c r="B132" s="364" t="s">
        <v>266</v>
      </c>
      <c r="C132" s="365"/>
      <c r="D132" s="366"/>
      <c r="E132" s="367"/>
      <c r="F132" s="368"/>
      <c r="G132" s="264"/>
      <c r="H132" s="265"/>
      <c r="I132" s="265"/>
      <c r="J132" s="265"/>
      <c r="K132" s="265"/>
      <c r="L132" s="265"/>
      <c r="M132" s="266"/>
      <c r="N132" s="369"/>
      <c r="O132" s="370"/>
      <c r="P132" s="371"/>
      <c r="Q132" s="370"/>
      <c r="R132" s="370"/>
      <c r="S132" s="372"/>
      <c r="T132" s="373"/>
      <c r="U132" s="374"/>
      <c r="V132" s="375"/>
      <c r="W132" s="376"/>
      <c r="X132" s="377"/>
      <c r="Y132" s="29">
        <v>32</v>
      </c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  <c r="CF132" s="29"/>
      <c r="CG132" s="29"/>
      <c r="CH132" s="29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  <c r="CW132" s="29"/>
    </row>
    <row r="133" spans="1:108" s="6" customFormat="1" ht="15" customHeight="1" x14ac:dyDescent="0.35">
      <c r="A133" s="1"/>
      <c r="B133" s="364" t="s">
        <v>267</v>
      </c>
      <c r="C133" s="365"/>
      <c r="D133" s="366"/>
      <c r="E133" s="367"/>
      <c r="F133" s="368"/>
      <c r="G133" s="264"/>
      <c r="H133" s="265"/>
      <c r="I133" s="265"/>
      <c r="J133" s="265"/>
      <c r="K133" s="265"/>
      <c r="L133" s="265"/>
      <c r="M133" s="266"/>
      <c r="N133" s="369"/>
      <c r="O133" s="370"/>
      <c r="P133" s="371"/>
      <c r="Q133" s="370"/>
      <c r="R133" s="370"/>
      <c r="S133" s="372"/>
      <c r="T133" s="373"/>
      <c r="U133" s="374"/>
      <c r="V133" s="375"/>
      <c r="W133" s="376"/>
      <c r="X133" s="377"/>
      <c r="Y133" s="29">
        <v>33</v>
      </c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  <c r="CF133" s="29"/>
      <c r="CG133" s="29"/>
      <c r="CH133" s="29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  <c r="CW133" s="29"/>
    </row>
    <row r="134" spans="1:108" ht="15" customHeight="1" x14ac:dyDescent="0.35">
      <c r="B134" s="267" t="s">
        <v>268</v>
      </c>
      <c r="C134" s="268"/>
      <c r="D134" s="269"/>
      <c r="E134" s="270"/>
      <c r="F134" s="271"/>
      <c r="G134" s="272"/>
      <c r="H134" s="273"/>
      <c r="I134" s="273"/>
      <c r="J134" s="273"/>
      <c r="K134" s="273"/>
      <c r="L134" s="273"/>
      <c r="M134" s="274"/>
      <c r="N134" s="275"/>
      <c r="O134" s="276"/>
      <c r="P134" s="277"/>
      <c r="Q134" s="276"/>
      <c r="R134" s="276"/>
      <c r="S134" s="278"/>
      <c r="T134" s="279"/>
      <c r="U134" s="280"/>
      <c r="V134" s="317"/>
      <c r="W134" s="335">
        <f>Q134*-3+T134*-1+V134*-1</f>
        <v>0</v>
      </c>
      <c r="X134" s="339"/>
      <c r="Y134" s="29">
        <v>34</v>
      </c>
      <c r="CX134" s="1"/>
      <c r="CY134" s="1"/>
      <c r="CZ134" s="1"/>
      <c r="DA134" s="1"/>
      <c r="DB134" s="1"/>
      <c r="DC134" s="1"/>
      <c r="DD134" s="1"/>
    </row>
    <row r="135" spans="1:108" ht="15" customHeight="1" x14ac:dyDescent="0.35">
      <c r="B135" s="267" t="s">
        <v>269</v>
      </c>
      <c r="C135" s="268"/>
      <c r="D135" s="269"/>
      <c r="E135" s="270"/>
      <c r="F135" s="271"/>
      <c r="G135" s="272"/>
      <c r="H135" s="273"/>
      <c r="I135" s="273"/>
      <c r="J135" s="273"/>
      <c r="K135" s="273"/>
      <c r="L135" s="273"/>
      <c r="M135" s="274"/>
      <c r="N135" s="275"/>
      <c r="O135" s="276"/>
      <c r="P135" s="277"/>
      <c r="Q135" s="276"/>
      <c r="R135" s="276"/>
      <c r="S135" s="278"/>
      <c r="T135" s="279"/>
      <c r="U135" s="280"/>
      <c r="V135" s="317"/>
      <c r="W135" s="335">
        <f t="shared" ref="W135:W140" si="2">Q135*-3+T135*-1+V135*-1</f>
        <v>0</v>
      </c>
      <c r="X135" s="339"/>
      <c r="Y135" s="29">
        <v>35</v>
      </c>
      <c r="CX135" s="1"/>
      <c r="CY135" s="1"/>
      <c r="CZ135" s="1"/>
      <c r="DA135" s="1"/>
      <c r="DB135" s="1"/>
      <c r="DC135" s="1"/>
      <c r="DD135" s="1"/>
    </row>
    <row r="136" spans="1:108" ht="15" customHeight="1" x14ac:dyDescent="0.35">
      <c r="B136" s="267" t="s">
        <v>270</v>
      </c>
      <c r="C136" s="268"/>
      <c r="D136" s="269"/>
      <c r="E136" s="270"/>
      <c r="F136" s="271"/>
      <c r="G136" s="272"/>
      <c r="H136" s="273"/>
      <c r="I136" s="273"/>
      <c r="J136" s="273"/>
      <c r="K136" s="273"/>
      <c r="L136" s="273"/>
      <c r="M136" s="274"/>
      <c r="N136" s="275"/>
      <c r="O136" s="276"/>
      <c r="P136" s="277"/>
      <c r="Q136" s="276"/>
      <c r="R136" s="276"/>
      <c r="S136" s="278"/>
      <c r="T136" s="279"/>
      <c r="U136" s="280"/>
      <c r="V136" s="317"/>
      <c r="W136" s="335">
        <f t="shared" si="2"/>
        <v>0</v>
      </c>
      <c r="X136" s="339"/>
      <c r="Y136" s="29">
        <v>36</v>
      </c>
      <c r="CX136" s="1"/>
      <c r="CY136" s="1"/>
      <c r="CZ136" s="1"/>
      <c r="DA136" s="1"/>
      <c r="DB136" s="1"/>
      <c r="DC136" s="1"/>
      <c r="DD136" s="1"/>
    </row>
    <row r="137" spans="1:108" ht="15" customHeight="1" x14ac:dyDescent="0.35">
      <c r="B137" s="267" t="s">
        <v>271</v>
      </c>
      <c r="C137" s="268"/>
      <c r="D137" s="269"/>
      <c r="E137" s="270"/>
      <c r="F137" s="271"/>
      <c r="G137" s="272"/>
      <c r="H137" s="273"/>
      <c r="I137" s="273"/>
      <c r="J137" s="273"/>
      <c r="K137" s="273"/>
      <c r="L137" s="273"/>
      <c r="M137" s="274"/>
      <c r="N137" s="275"/>
      <c r="O137" s="276"/>
      <c r="P137" s="277"/>
      <c r="Q137" s="276"/>
      <c r="R137" s="276"/>
      <c r="S137" s="278"/>
      <c r="T137" s="279"/>
      <c r="U137" s="280"/>
      <c r="V137" s="317"/>
      <c r="W137" s="335">
        <f t="shared" si="2"/>
        <v>0</v>
      </c>
      <c r="X137" s="339"/>
      <c r="Y137" s="29">
        <v>37</v>
      </c>
      <c r="CX137" s="1"/>
      <c r="CY137" s="1"/>
      <c r="CZ137" s="1"/>
      <c r="DA137" s="1"/>
      <c r="DB137" s="1"/>
      <c r="DC137" s="1"/>
      <c r="DD137" s="1"/>
    </row>
    <row r="138" spans="1:108" ht="15" customHeight="1" x14ac:dyDescent="0.35">
      <c r="B138" s="267" t="s">
        <v>272</v>
      </c>
      <c r="C138" s="268"/>
      <c r="D138" s="269"/>
      <c r="E138" s="270"/>
      <c r="F138" s="271"/>
      <c r="G138" s="272"/>
      <c r="H138" s="273"/>
      <c r="I138" s="273"/>
      <c r="J138" s="273"/>
      <c r="K138" s="273"/>
      <c r="L138" s="273"/>
      <c r="M138" s="274"/>
      <c r="N138" s="275"/>
      <c r="O138" s="276"/>
      <c r="P138" s="277"/>
      <c r="Q138" s="276"/>
      <c r="R138" s="276"/>
      <c r="S138" s="278"/>
      <c r="T138" s="279"/>
      <c r="U138" s="280"/>
      <c r="V138" s="317"/>
      <c r="W138" s="335">
        <f t="shared" si="2"/>
        <v>0</v>
      </c>
      <c r="X138" s="339"/>
      <c r="Y138" s="29">
        <v>38</v>
      </c>
      <c r="CX138" s="1"/>
      <c r="CY138" s="1"/>
      <c r="CZ138" s="1"/>
      <c r="DA138" s="1"/>
      <c r="DB138" s="1"/>
      <c r="DC138" s="1"/>
      <c r="DD138" s="1"/>
    </row>
    <row r="139" spans="1:108" ht="15" customHeight="1" x14ac:dyDescent="0.35">
      <c r="B139" s="267" t="s">
        <v>273</v>
      </c>
      <c r="C139" s="268"/>
      <c r="D139" s="269"/>
      <c r="E139" s="270"/>
      <c r="F139" s="271"/>
      <c r="G139" s="272"/>
      <c r="H139" s="273"/>
      <c r="I139" s="273"/>
      <c r="J139" s="273"/>
      <c r="K139" s="273"/>
      <c r="L139" s="273"/>
      <c r="M139" s="274"/>
      <c r="N139" s="275"/>
      <c r="O139" s="276"/>
      <c r="P139" s="277"/>
      <c r="Q139" s="276"/>
      <c r="R139" s="276"/>
      <c r="S139" s="278"/>
      <c r="T139" s="279"/>
      <c r="U139" s="280"/>
      <c r="V139" s="317"/>
      <c r="W139" s="335">
        <f t="shared" si="2"/>
        <v>0</v>
      </c>
      <c r="X139" s="339"/>
      <c r="Y139" s="29">
        <v>39</v>
      </c>
      <c r="CX139" s="1"/>
      <c r="CY139" s="1"/>
      <c r="CZ139" s="1"/>
      <c r="DA139" s="1"/>
      <c r="DB139" s="1"/>
      <c r="DC139" s="1"/>
      <c r="DD139" s="1"/>
    </row>
    <row r="140" spans="1:108" ht="15" customHeight="1" thickBot="1" x14ac:dyDescent="0.4">
      <c r="B140" s="282" t="s">
        <v>274</v>
      </c>
      <c r="C140" s="283"/>
      <c r="D140" s="284"/>
      <c r="E140" s="285"/>
      <c r="F140" s="286"/>
      <c r="G140" s="287"/>
      <c r="H140" s="288"/>
      <c r="I140" s="288"/>
      <c r="J140" s="288"/>
      <c r="K140" s="288"/>
      <c r="L140" s="288"/>
      <c r="M140" s="289"/>
      <c r="N140" s="290"/>
      <c r="O140" s="291"/>
      <c r="P140" s="292"/>
      <c r="Q140" s="291"/>
      <c r="R140" s="291"/>
      <c r="S140" s="293"/>
      <c r="T140" s="294"/>
      <c r="U140" s="295"/>
      <c r="V140" s="318"/>
      <c r="W140" s="335">
        <f t="shared" si="2"/>
        <v>0</v>
      </c>
      <c r="X140" s="340"/>
      <c r="Y140" s="29">
        <v>40</v>
      </c>
      <c r="CX140" s="1"/>
      <c r="CY140" s="1"/>
      <c r="CZ140" s="1"/>
      <c r="DA140" s="1"/>
      <c r="DB140" s="1"/>
      <c r="DC140" s="1"/>
      <c r="DD140" s="1"/>
    </row>
    <row r="141" spans="1:108" ht="15" customHeight="1" thickBot="1" x14ac:dyDescent="0.25">
      <c r="B141" s="171"/>
      <c r="C141" s="241"/>
      <c r="D141" s="250"/>
      <c r="E141" s="251"/>
      <c r="F141" s="252"/>
      <c r="G141" s="255"/>
      <c r="H141" s="245"/>
      <c r="I141" s="245"/>
      <c r="J141" s="245"/>
      <c r="K141" s="245"/>
      <c r="L141" s="245"/>
      <c r="M141" s="246"/>
      <c r="N141" s="257"/>
      <c r="O141" s="192">
        <f>SUM(O101:O140)</f>
        <v>0</v>
      </c>
      <c r="P141" s="191" t="e">
        <f>AVERAGE(P101:P140)</f>
        <v>#DIV/0!</v>
      </c>
      <c r="Q141" s="191"/>
      <c r="R141" s="192">
        <f>SUM(R101:R140)</f>
        <v>0</v>
      </c>
      <c r="S141" s="191" t="e">
        <f>AVERAGE(S101:S140)</f>
        <v>#DIV/0!</v>
      </c>
      <c r="T141" s="191"/>
      <c r="U141" s="253" t="e">
        <f>AVERAGE(U101:U140)</f>
        <v>#DIV/0!</v>
      </c>
      <c r="V141" s="303"/>
      <c r="W141" s="336"/>
      <c r="X141" s="341"/>
      <c r="CX141" s="1"/>
      <c r="CY141" s="1"/>
      <c r="CZ141" s="1"/>
      <c r="DA141" s="1"/>
      <c r="DB141" s="1"/>
      <c r="DC141" s="1"/>
      <c r="DD141" s="1"/>
    </row>
    <row r="142" spans="1:108" ht="15" customHeight="1" x14ac:dyDescent="0.2">
      <c r="B142" s="15"/>
      <c r="C142" s="15"/>
      <c r="D142" s="15"/>
      <c r="E142" s="15"/>
      <c r="F142" s="15"/>
      <c r="G142" s="15"/>
      <c r="H142" s="175"/>
      <c r="I142" s="175"/>
      <c r="J142" s="175"/>
      <c r="K142" s="175"/>
      <c r="L142" s="175"/>
      <c r="M142" s="175"/>
      <c r="N142" s="175"/>
      <c r="O142" s="175"/>
      <c r="P142" s="175"/>
      <c r="Q142" s="175"/>
      <c r="R142" s="175"/>
      <c r="S142" s="175"/>
      <c r="T142" s="175"/>
      <c r="U142" s="175"/>
      <c r="V142" s="175"/>
      <c r="W142" s="325"/>
      <c r="X142" s="175"/>
    </row>
    <row r="143" spans="1:108" ht="15" customHeight="1" x14ac:dyDescent="0.2">
      <c r="B143" s="15"/>
      <c r="C143" s="15"/>
      <c r="D143" s="15"/>
      <c r="E143" s="15"/>
      <c r="F143" s="15"/>
      <c r="G143" s="15"/>
      <c r="H143" s="175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/>
      <c r="S143" s="175"/>
      <c r="T143" s="175"/>
      <c r="U143" s="175"/>
      <c r="V143" s="175"/>
      <c r="W143" s="325"/>
      <c r="X143" s="175"/>
    </row>
    <row r="144" spans="1:108" ht="15" customHeight="1" x14ac:dyDescent="0.2">
      <c r="B144" s="15"/>
      <c r="C144" s="15"/>
      <c r="D144" s="15"/>
      <c r="E144" s="15"/>
      <c r="F144" s="15"/>
      <c r="G144" s="15"/>
      <c r="H144" s="175"/>
      <c r="I144" s="175"/>
      <c r="J144" s="175"/>
      <c r="K144" s="175"/>
      <c r="L144" s="175"/>
      <c r="M144" s="175"/>
      <c r="N144" s="175"/>
      <c r="O144" s="175"/>
      <c r="P144" s="175"/>
      <c r="Q144" s="175"/>
      <c r="R144" s="175"/>
      <c r="S144" s="175"/>
      <c r="T144" s="175"/>
      <c r="U144" s="175"/>
      <c r="V144" s="175"/>
      <c r="W144" s="325"/>
      <c r="X144" s="175"/>
    </row>
    <row r="145" spans="2:25" ht="15" customHeight="1" x14ac:dyDescent="0.2">
      <c r="B145" s="15"/>
      <c r="C145" s="15"/>
      <c r="D145" s="15"/>
      <c r="E145" s="15"/>
      <c r="F145" s="15"/>
      <c r="G145" s="15"/>
      <c r="H145" s="175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/>
      <c r="S145" s="175"/>
      <c r="T145" s="175"/>
      <c r="U145" s="175"/>
      <c r="V145" s="175"/>
      <c r="W145" s="325"/>
      <c r="X145" s="175"/>
    </row>
    <row r="146" spans="2:25" ht="15" customHeight="1" thickBot="1" x14ac:dyDescent="0.25">
      <c r="B146" s="17" t="s">
        <v>135</v>
      </c>
      <c r="C146" s="17"/>
    </row>
    <row r="147" spans="2:25" ht="15" customHeight="1" thickBot="1" x14ac:dyDescent="0.25">
      <c r="B147" s="385" t="s">
        <v>1</v>
      </c>
      <c r="C147" s="387" t="s">
        <v>77</v>
      </c>
      <c r="D147" s="389" t="s">
        <v>2</v>
      </c>
      <c r="E147" s="385" t="s">
        <v>3</v>
      </c>
      <c r="F147" s="391" t="s">
        <v>111</v>
      </c>
      <c r="G147" s="213"/>
      <c r="H147" s="254" t="s">
        <v>5</v>
      </c>
      <c r="I147" s="254"/>
      <c r="J147" s="254"/>
      <c r="K147" s="254"/>
      <c r="L147" s="254"/>
      <c r="M147" s="254"/>
      <c r="N147" s="247" t="s">
        <v>6</v>
      </c>
      <c r="O147" s="248"/>
      <c r="P147" s="248"/>
      <c r="Q147" s="248"/>
      <c r="R147" s="248"/>
      <c r="S147" s="248"/>
      <c r="T147" s="248"/>
      <c r="U147" s="248"/>
      <c r="V147" s="248"/>
      <c r="W147" s="248"/>
      <c r="X147" s="249"/>
    </row>
    <row r="148" spans="2:25" ht="32.25" customHeight="1" thickBot="1" x14ac:dyDescent="0.25">
      <c r="B148" s="386"/>
      <c r="C148" s="388"/>
      <c r="D148" s="390"/>
      <c r="E148" s="386"/>
      <c r="F148" s="392"/>
      <c r="G148" s="256" t="s">
        <v>136</v>
      </c>
      <c r="H148" s="153" t="s">
        <v>137</v>
      </c>
      <c r="I148" s="153" t="s">
        <v>138</v>
      </c>
      <c r="J148" s="153" t="s">
        <v>139</v>
      </c>
      <c r="K148" s="153" t="s">
        <v>169</v>
      </c>
      <c r="L148" s="153" t="s">
        <v>171</v>
      </c>
      <c r="M148" s="258" t="s">
        <v>173</v>
      </c>
      <c r="N148" s="304" t="s">
        <v>106</v>
      </c>
      <c r="O148" s="207" t="s">
        <v>18</v>
      </c>
      <c r="P148" s="207" t="s">
        <v>19</v>
      </c>
      <c r="Q148" s="207" t="s">
        <v>110</v>
      </c>
      <c r="R148" s="207" t="s">
        <v>20</v>
      </c>
      <c r="S148" s="305" t="s">
        <v>21</v>
      </c>
      <c r="T148" s="305" t="s">
        <v>109</v>
      </c>
      <c r="U148" s="306" t="s">
        <v>22</v>
      </c>
      <c r="V148" s="315" t="s">
        <v>110</v>
      </c>
      <c r="W148" s="333" t="s">
        <v>3</v>
      </c>
      <c r="X148" s="337" t="s">
        <v>133</v>
      </c>
    </row>
    <row r="149" spans="2:25" ht="15" customHeight="1" x14ac:dyDescent="0.35">
      <c r="B149" s="259" t="s">
        <v>75</v>
      </c>
      <c r="C149" s="260"/>
      <c r="D149" s="261"/>
      <c r="E149" s="262"/>
      <c r="F149" s="263"/>
      <c r="G149" s="264"/>
      <c r="H149" s="265"/>
      <c r="I149" s="265"/>
      <c r="J149" s="265"/>
      <c r="K149" s="265"/>
      <c r="L149" s="265"/>
      <c r="M149" s="266"/>
      <c r="N149" s="308"/>
      <c r="O149" s="309"/>
      <c r="P149" s="310"/>
      <c r="Q149" s="309"/>
      <c r="R149" s="309"/>
      <c r="S149" s="311"/>
      <c r="T149" s="312"/>
      <c r="U149" s="313"/>
      <c r="V149" s="316"/>
      <c r="W149" s="334">
        <f>Q149*-3+T149*-1+V149*-1</f>
        <v>0</v>
      </c>
      <c r="X149" s="338"/>
      <c r="Y149" s="24">
        <v>1</v>
      </c>
    </row>
    <row r="150" spans="2:25" ht="15" customHeight="1" x14ac:dyDescent="0.35">
      <c r="B150" s="364" t="s">
        <v>76</v>
      </c>
      <c r="C150" s="365"/>
      <c r="D150" s="366"/>
      <c r="E150" s="367"/>
      <c r="F150" s="368"/>
      <c r="G150" s="264"/>
      <c r="H150" s="265"/>
      <c r="I150" s="265"/>
      <c r="J150" s="265"/>
      <c r="K150" s="265"/>
      <c r="L150" s="265"/>
      <c r="M150" s="266"/>
      <c r="N150" s="369"/>
      <c r="O150" s="370"/>
      <c r="P150" s="371"/>
      <c r="Q150" s="370"/>
      <c r="R150" s="370"/>
      <c r="S150" s="372"/>
      <c r="T150" s="373"/>
      <c r="U150" s="374"/>
      <c r="V150" s="375"/>
      <c r="W150" s="376"/>
      <c r="X150" s="377"/>
      <c r="Y150" s="24">
        <v>2</v>
      </c>
    </row>
    <row r="151" spans="2:25" ht="15" customHeight="1" x14ac:dyDescent="0.35">
      <c r="B151" s="364" t="s">
        <v>66</v>
      </c>
      <c r="C151" s="365"/>
      <c r="D151" s="366"/>
      <c r="E151" s="367"/>
      <c r="F151" s="368"/>
      <c r="G151" s="264"/>
      <c r="H151" s="265"/>
      <c r="I151" s="265"/>
      <c r="J151" s="265"/>
      <c r="K151" s="265"/>
      <c r="L151" s="265"/>
      <c r="M151" s="266"/>
      <c r="N151" s="369"/>
      <c r="O151" s="370"/>
      <c r="P151" s="371"/>
      <c r="Q151" s="370"/>
      <c r="R151" s="370"/>
      <c r="S151" s="372"/>
      <c r="T151" s="373"/>
      <c r="U151" s="374"/>
      <c r="V151" s="375"/>
      <c r="W151" s="376"/>
      <c r="X151" s="377"/>
      <c r="Y151" s="24">
        <v>3</v>
      </c>
    </row>
    <row r="152" spans="2:25" ht="15" customHeight="1" x14ac:dyDescent="0.35">
      <c r="B152" s="364" t="s">
        <v>67</v>
      </c>
      <c r="C152" s="365"/>
      <c r="D152" s="366"/>
      <c r="E152" s="367"/>
      <c r="F152" s="368"/>
      <c r="G152" s="264"/>
      <c r="H152" s="265"/>
      <c r="I152" s="265"/>
      <c r="J152" s="265"/>
      <c r="K152" s="265"/>
      <c r="L152" s="265"/>
      <c r="M152" s="266"/>
      <c r="N152" s="369"/>
      <c r="O152" s="370"/>
      <c r="P152" s="371"/>
      <c r="Q152" s="370"/>
      <c r="R152" s="370"/>
      <c r="S152" s="372"/>
      <c r="T152" s="373"/>
      <c r="U152" s="374"/>
      <c r="V152" s="375"/>
      <c r="W152" s="376"/>
      <c r="X152" s="377"/>
      <c r="Y152" s="24">
        <v>4</v>
      </c>
    </row>
    <row r="153" spans="2:25" ht="15" customHeight="1" x14ac:dyDescent="0.35">
      <c r="B153" s="364" t="s">
        <v>68</v>
      </c>
      <c r="C153" s="365"/>
      <c r="D153" s="366"/>
      <c r="E153" s="367"/>
      <c r="F153" s="368"/>
      <c r="G153" s="264"/>
      <c r="H153" s="265"/>
      <c r="I153" s="265"/>
      <c r="J153" s="265"/>
      <c r="K153" s="265"/>
      <c r="L153" s="265"/>
      <c r="M153" s="266"/>
      <c r="N153" s="369"/>
      <c r="O153" s="370"/>
      <c r="P153" s="371"/>
      <c r="Q153" s="370"/>
      <c r="R153" s="370"/>
      <c r="S153" s="372"/>
      <c r="T153" s="373"/>
      <c r="U153" s="374"/>
      <c r="V153" s="375"/>
      <c r="W153" s="376"/>
      <c r="X153" s="377"/>
      <c r="Y153" s="24">
        <v>5</v>
      </c>
    </row>
    <row r="154" spans="2:25" ht="15" customHeight="1" x14ac:dyDescent="0.35">
      <c r="B154" s="364" t="s">
        <v>69</v>
      </c>
      <c r="C154" s="365"/>
      <c r="D154" s="366"/>
      <c r="E154" s="367"/>
      <c r="F154" s="368"/>
      <c r="G154" s="264"/>
      <c r="H154" s="265"/>
      <c r="I154" s="265"/>
      <c r="J154" s="265"/>
      <c r="K154" s="265"/>
      <c r="L154" s="265"/>
      <c r="M154" s="266"/>
      <c r="N154" s="369"/>
      <c r="O154" s="370"/>
      <c r="P154" s="371"/>
      <c r="Q154" s="370"/>
      <c r="R154" s="370"/>
      <c r="S154" s="372"/>
      <c r="T154" s="373"/>
      <c r="U154" s="374"/>
      <c r="V154" s="375"/>
      <c r="W154" s="376"/>
      <c r="X154" s="377"/>
      <c r="Y154" s="24">
        <v>6</v>
      </c>
    </row>
    <row r="155" spans="2:25" ht="15" customHeight="1" x14ac:dyDescent="0.35">
      <c r="B155" s="364" t="s">
        <v>70</v>
      </c>
      <c r="C155" s="365"/>
      <c r="D155" s="366"/>
      <c r="E155" s="367"/>
      <c r="F155" s="368"/>
      <c r="G155" s="264"/>
      <c r="H155" s="265"/>
      <c r="I155" s="265"/>
      <c r="J155" s="265"/>
      <c r="K155" s="265"/>
      <c r="L155" s="265"/>
      <c r="M155" s="266"/>
      <c r="N155" s="369"/>
      <c r="O155" s="370"/>
      <c r="P155" s="371"/>
      <c r="Q155" s="370"/>
      <c r="R155" s="370"/>
      <c r="S155" s="372"/>
      <c r="T155" s="373"/>
      <c r="U155" s="374"/>
      <c r="V155" s="375"/>
      <c r="W155" s="376"/>
      <c r="X155" s="377"/>
      <c r="Y155" s="24">
        <v>7</v>
      </c>
    </row>
    <row r="156" spans="2:25" ht="15" customHeight="1" x14ac:dyDescent="0.35">
      <c r="B156" s="364" t="s">
        <v>71</v>
      </c>
      <c r="C156" s="365"/>
      <c r="D156" s="366"/>
      <c r="E156" s="367"/>
      <c r="F156" s="368"/>
      <c r="G156" s="264"/>
      <c r="H156" s="265"/>
      <c r="I156" s="265"/>
      <c r="J156" s="265"/>
      <c r="K156" s="265"/>
      <c r="L156" s="265"/>
      <c r="M156" s="266"/>
      <c r="N156" s="369"/>
      <c r="O156" s="370"/>
      <c r="P156" s="371"/>
      <c r="Q156" s="370"/>
      <c r="R156" s="370"/>
      <c r="S156" s="372"/>
      <c r="T156" s="373"/>
      <c r="U156" s="374"/>
      <c r="V156" s="375"/>
      <c r="W156" s="376"/>
      <c r="X156" s="377"/>
      <c r="Y156" s="24">
        <v>8</v>
      </c>
    </row>
    <row r="157" spans="2:25" ht="15" customHeight="1" x14ac:dyDescent="0.35">
      <c r="B157" s="364" t="s">
        <v>243</v>
      </c>
      <c r="C157" s="365"/>
      <c r="D157" s="366"/>
      <c r="E157" s="367"/>
      <c r="F157" s="368"/>
      <c r="G157" s="264"/>
      <c r="H157" s="265"/>
      <c r="I157" s="265"/>
      <c r="J157" s="265"/>
      <c r="K157" s="265"/>
      <c r="L157" s="265"/>
      <c r="M157" s="266"/>
      <c r="N157" s="369"/>
      <c r="O157" s="370"/>
      <c r="P157" s="371"/>
      <c r="Q157" s="370"/>
      <c r="R157" s="370"/>
      <c r="S157" s="372"/>
      <c r="T157" s="373"/>
      <c r="U157" s="374"/>
      <c r="V157" s="375"/>
      <c r="W157" s="376"/>
      <c r="X157" s="377"/>
      <c r="Y157" s="24">
        <v>9</v>
      </c>
    </row>
    <row r="158" spans="2:25" ht="15" customHeight="1" x14ac:dyDescent="0.35">
      <c r="B158" s="364" t="s">
        <v>244</v>
      </c>
      <c r="C158" s="365"/>
      <c r="D158" s="366"/>
      <c r="E158" s="367"/>
      <c r="F158" s="368"/>
      <c r="G158" s="264"/>
      <c r="H158" s="265"/>
      <c r="I158" s="265"/>
      <c r="J158" s="265"/>
      <c r="K158" s="265"/>
      <c r="L158" s="265"/>
      <c r="M158" s="266"/>
      <c r="N158" s="369"/>
      <c r="O158" s="370"/>
      <c r="P158" s="371"/>
      <c r="Q158" s="370"/>
      <c r="R158" s="370"/>
      <c r="S158" s="372"/>
      <c r="T158" s="373"/>
      <c r="U158" s="374"/>
      <c r="V158" s="375"/>
      <c r="W158" s="376"/>
      <c r="X158" s="377"/>
      <c r="Y158" s="24">
        <v>10</v>
      </c>
    </row>
    <row r="159" spans="2:25" ht="15" customHeight="1" x14ac:dyDescent="0.35">
      <c r="B159" s="364" t="s">
        <v>245</v>
      </c>
      <c r="C159" s="365"/>
      <c r="D159" s="366"/>
      <c r="E159" s="367"/>
      <c r="F159" s="368"/>
      <c r="G159" s="264"/>
      <c r="H159" s="265"/>
      <c r="I159" s="265"/>
      <c r="J159" s="265"/>
      <c r="K159" s="265"/>
      <c r="L159" s="265"/>
      <c r="M159" s="266"/>
      <c r="N159" s="369"/>
      <c r="O159" s="370"/>
      <c r="P159" s="371"/>
      <c r="Q159" s="370"/>
      <c r="R159" s="370"/>
      <c r="S159" s="372"/>
      <c r="T159" s="373"/>
      <c r="U159" s="374"/>
      <c r="V159" s="375"/>
      <c r="W159" s="376"/>
      <c r="X159" s="377"/>
      <c r="Y159" s="24">
        <v>11</v>
      </c>
    </row>
    <row r="160" spans="2:25" ht="15" customHeight="1" x14ac:dyDescent="0.35">
      <c r="B160" s="364" t="s">
        <v>246</v>
      </c>
      <c r="C160" s="365"/>
      <c r="D160" s="366"/>
      <c r="E160" s="367"/>
      <c r="F160" s="368"/>
      <c r="G160" s="264"/>
      <c r="H160" s="265"/>
      <c r="I160" s="265"/>
      <c r="J160" s="265"/>
      <c r="K160" s="265"/>
      <c r="L160" s="265"/>
      <c r="M160" s="266"/>
      <c r="N160" s="369"/>
      <c r="O160" s="370"/>
      <c r="P160" s="371"/>
      <c r="Q160" s="370"/>
      <c r="R160" s="370"/>
      <c r="S160" s="372"/>
      <c r="T160" s="373"/>
      <c r="U160" s="374"/>
      <c r="V160" s="375"/>
      <c r="W160" s="376"/>
      <c r="X160" s="377"/>
      <c r="Y160" s="24">
        <v>12</v>
      </c>
    </row>
    <row r="161" spans="2:25" ht="15" customHeight="1" x14ac:dyDescent="0.35">
      <c r="B161" s="364" t="s">
        <v>247</v>
      </c>
      <c r="C161" s="365"/>
      <c r="D161" s="366"/>
      <c r="E161" s="367"/>
      <c r="F161" s="368"/>
      <c r="G161" s="264"/>
      <c r="H161" s="265"/>
      <c r="I161" s="265"/>
      <c r="J161" s="265"/>
      <c r="K161" s="265"/>
      <c r="L161" s="265"/>
      <c r="M161" s="266"/>
      <c r="N161" s="369"/>
      <c r="O161" s="370"/>
      <c r="P161" s="371"/>
      <c r="Q161" s="370"/>
      <c r="R161" s="370"/>
      <c r="S161" s="372"/>
      <c r="T161" s="373"/>
      <c r="U161" s="374"/>
      <c r="V161" s="375"/>
      <c r="W161" s="376"/>
      <c r="X161" s="377"/>
      <c r="Y161" s="24">
        <v>13</v>
      </c>
    </row>
    <row r="162" spans="2:25" ht="15" customHeight="1" x14ac:dyDescent="0.35">
      <c r="B162" s="364" t="s">
        <v>248</v>
      </c>
      <c r="C162" s="365"/>
      <c r="D162" s="366"/>
      <c r="E162" s="367"/>
      <c r="F162" s="368"/>
      <c r="G162" s="264"/>
      <c r="H162" s="265"/>
      <c r="I162" s="265"/>
      <c r="J162" s="265"/>
      <c r="K162" s="265"/>
      <c r="L162" s="265"/>
      <c r="M162" s="266"/>
      <c r="N162" s="369"/>
      <c r="O162" s="370"/>
      <c r="P162" s="371"/>
      <c r="Q162" s="370"/>
      <c r="R162" s="370"/>
      <c r="S162" s="372"/>
      <c r="T162" s="373"/>
      <c r="U162" s="374"/>
      <c r="V162" s="375"/>
      <c r="W162" s="376"/>
      <c r="X162" s="377"/>
      <c r="Y162" s="24">
        <v>14</v>
      </c>
    </row>
    <row r="163" spans="2:25" ht="15" customHeight="1" x14ac:dyDescent="0.35">
      <c r="B163" s="364" t="s">
        <v>249</v>
      </c>
      <c r="C163" s="365"/>
      <c r="D163" s="366"/>
      <c r="E163" s="367"/>
      <c r="F163" s="368"/>
      <c r="G163" s="264"/>
      <c r="H163" s="265"/>
      <c r="I163" s="265"/>
      <c r="J163" s="265"/>
      <c r="K163" s="265"/>
      <c r="L163" s="265"/>
      <c r="M163" s="266"/>
      <c r="N163" s="369"/>
      <c r="O163" s="370"/>
      <c r="P163" s="371"/>
      <c r="Q163" s="370"/>
      <c r="R163" s="370"/>
      <c r="S163" s="372"/>
      <c r="T163" s="373"/>
      <c r="U163" s="374"/>
      <c r="V163" s="375"/>
      <c r="W163" s="376"/>
      <c r="X163" s="377"/>
      <c r="Y163" s="24">
        <v>15</v>
      </c>
    </row>
    <row r="164" spans="2:25" ht="15" customHeight="1" x14ac:dyDescent="0.35">
      <c r="B164" s="364" t="s">
        <v>250</v>
      </c>
      <c r="C164" s="365"/>
      <c r="D164" s="366"/>
      <c r="E164" s="367"/>
      <c r="F164" s="368"/>
      <c r="G164" s="264"/>
      <c r="H164" s="265"/>
      <c r="I164" s="265"/>
      <c r="J164" s="265"/>
      <c r="K164" s="265"/>
      <c r="L164" s="265"/>
      <c r="M164" s="266"/>
      <c r="N164" s="369"/>
      <c r="O164" s="370"/>
      <c r="P164" s="371"/>
      <c r="Q164" s="370"/>
      <c r="R164" s="370"/>
      <c r="S164" s="372"/>
      <c r="T164" s="373"/>
      <c r="U164" s="374"/>
      <c r="V164" s="375"/>
      <c r="W164" s="376"/>
      <c r="X164" s="377"/>
      <c r="Y164" s="24">
        <v>16</v>
      </c>
    </row>
    <row r="165" spans="2:25" ht="15" customHeight="1" x14ac:dyDescent="0.35">
      <c r="B165" s="364" t="s">
        <v>251</v>
      </c>
      <c r="C165" s="365"/>
      <c r="D165" s="366"/>
      <c r="E165" s="367"/>
      <c r="F165" s="368"/>
      <c r="G165" s="264"/>
      <c r="H165" s="265"/>
      <c r="I165" s="265"/>
      <c r="J165" s="265"/>
      <c r="K165" s="265"/>
      <c r="L165" s="265"/>
      <c r="M165" s="266"/>
      <c r="N165" s="369"/>
      <c r="O165" s="370"/>
      <c r="P165" s="371"/>
      <c r="Q165" s="370"/>
      <c r="R165" s="370"/>
      <c r="S165" s="372"/>
      <c r="T165" s="373"/>
      <c r="U165" s="374"/>
      <c r="V165" s="375"/>
      <c r="W165" s="376"/>
      <c r="X165" s="377"/>
      <c r="Y165" s="24">
        <v>17</v>
      </c>
    </row>
    <row r="166" spans="2:25" ht="15" customHeight="1" x14ac:dyDescent="0.35">
      <c r="B166" s="364" t="s">
        <v>252</v>
      </c>
      <c r="C166" s="365"/>
      <c r="D166" s="366"/>
      <c r="E166" s="367"/>
      <c r="F166" s="368"/>
      <c r="G166" s="264"/>
      <c r="H166" s="265"/>
      <c r="I166" s="265"/>
      <c r="J166" s="265"/>
      <c r="K166" s="265"/>
      <c r="L166" s="265"/>
      <c r="M166" s="266"/>
      <c r="N166" s="369"/>
      <c r="O166" s="370"/>
      <c r="P166" s="371"/>
      <c r="Q166" s="370"/>
      <c r="R166" s="370"/>
      <c r="S166" s="372"/>
      <c r="T166" s="373"/>
      <c r="U166" s="374"/>
      <c r="V166" s="375"/>
      <c r="W166" s="376"/>
      <c r="X166" s="377"/>
      <c r="Y166" s="24">
        <v>18</v>
      </c>
    </row>
    <row r="167" spans="2:25" ht="15" customHeight="1" x14ac:dyDescent="0.35">
      <c r="B167" s="364" t="s">
        <v>253</v>
      </c>
      <c r="C167" s="365"/>
      <c r="D167" s="366"/>
      <c r="E167" s="367"/>
      <c r="F167" s="368"/>
      <c r="G167" s="264"/>
      <c r="H167" s="265"/>
      <c r="I167" s="265"/>
      <c r="J167" s="265"/>
      <c r="K167" s="265"/>
      <c r="L167" s="265"/>
      <c r="M167" s="266"/>
      <c r="N167" s="369"/>
      <c r="O167" s="370"/>
      <c r="P167" s="371"/>
      <c r="Q167" s="370"/>
      <c r="R167" s="370"/>
      <c r="S167" s="372"/>
      <c r="T167" s="373"/>
      <c r="U167" s="374"/>
      <c r="V167" s="375"/>
      <c r="W167" s="376"/>
      <c r="X167" s="377"/>
      <c r="Y167" s="24">
        <v>19</v>
      </c>
    </row>
    <row r="168" spans="2:25" ht="15" customHeight="1" x14ac:dyDescent="0.35">
      <c r="B168" s="364" t="s">
        <v>254</v>
      </c>
      <c r="C168" s="365"/>
      <c r="D168" s="366"/>
      <c r="E168" s="367"/>
      <c r="F168" s="368"/>
      <c r="G168" s="264"/>
      <c r="H168" s="265"/>
      <c r="I168" s="265"/>
      <c r="J168" s="265"/>
      <c r="K168" s="265"/>
      <c r="L168" s="265"/>
      <c r="M168" s="266"/>
      <c r="N168" s="369"/>
      <c r="O168" s="370"/>
      <c r="P168" s="371"/>
      <c r="Q168" s="370"/>
      <c r="R168" s="370"/>
      <c r="S168" s="372"/>
      <c r="T168" s="373"/>
      <c r="U168" s="374"/>
      <c r="V168" s="375"/>
      <c r="W168" s="376"/>
      <c r="X168" s="377"/>
      <c r="Y168" s="24">
        <v>20</v>
      </c>
    </row>
    <row r="169" spans="2:25" ht="15" customHeight="1" x14ac:dyDescent="0.35">
      <c r="B169" s="364" t="s">
        <v>255</v>
      </c>
      <c r="C169" s="365"/>
      <c r="D169" s="366"/>
      <c r="E169" s="367"/>
      <c r="F169" s="368"/>
      <c r="G169" s="264"/>
      <c r="H169" s="265"/>
      <c r="I169" s="265"/>
      <c r="J169" s="265"/>
      <c r="K169" s="265"/>
      <c r="L169" s="265"/>
      <c r="M169" s="266"/>
      <c r="N169" s="369"/>
      <c r="O169" s="370"/>
      <c r="P169" s="371"/>
      <c r="Q169" s="370"/>
      <c r="R169" s="370"/>
      <c r="S169" s="372"/>
      <c r="T169" s="373"/>
      <c r="U169" s="374"/>
      <c r="V169" s="375"/>
      <c r="W169" s="376"/>
      <c r="X169" s="377"/>
      <c r="Y169" s="24">
        <v>21</v>
      </c>
    </row>
    <row r="170" spans="2:25" ht="15" customHeight="1" x14ac:dyDescent="0.35">
      <c r="B170" s="364" t="s">
        <v>256</v>
      </c>
      <c r="C170" s="365"/>
      <c r="D170" s="366"/>
      <c r="E170" s="367"/>
      <c r="F170" s="368"/>
      <c r="G170" s="264"/>
      <c r="H170" s="265"/>
      <c r="I170" s="265"/>
      <c r="J170" s="265"/>
      <c r="K170" s="265"/>
      <c r="L170" s="265"/>
      <c r="M170" s="266"/>
      <c r="N170" s="369"/>
      <c r="O170" s="370"/>
      <c r="P170" s="371"/>
      <c r="Q170" s="370"/>
      <c r="R170" s="370"/>
      <c r="S170" s="372"/>
      <c r="T170" s="373"/>
      <c r="U170" s="374"/>
      <c r="V170" s="375"/>
      <c r="W170" s="376"/>
      <c r="X170" s="377"/>
      <c r="Y170" s="24">
        <v>22</v>
      </c>
    </row>
    <row r="171" spans="2:25" ht="15" customHeight="1" x14ac:dyDescent="0.35">
      <c r="B171" s="364" t="s">
        <v>257</v>
      </c>
      <c r="C171" s="365"/>
      <c r="D171" s="366"/>
      <c r="E171" s="367"/>
      <c r="F171" s="368"/>
      <c r="G171" s="264"/>
      <c r="H171" s="265"/>
      <c r="I171" s="265"/>
      <c r="J171" s="265"/>
      <c r="K171" s="265"/>
      <c r="L171" s="265"/>
      <c r="M171" s="266"/>
      <c r="N171" s="369"/>
      <c r="O171" s="370"/>
      <c r="P171" s="371"/>
      <c r="Q171" s="370"/>
      <c r="R171" s="370"/>
      <c r="S171" s="372"/>
      <c r="T171" s="373"/>
      <c r="U171" s="374"/>
      <c r="V171" s="375"/>
      <c r="W171" s="376"/>
      <c r="X171" s="377"/>
      <c r="Y171" s="24">
        <v>23</v>
      </c>
    </row>
    <row r="172" spans="2:25" ht="15" customHeight="1" x14ac:dyDescent="0.35">
      <c r="B172" s="364" t="s">
        <v>258</v>
      </c>
      <c r="C172" s="365"/>
      <c r="D172" s="366"/>
      <c r="E172" s="367"/>
      <c r="F172" s="368"/>
      <c r="G172" s="264"/>
      <c r="H172" s="265"/>
      <c r="I172" s="265"/>
      <c r="J172" s="265"/>
      <c r="K172" s="265"/>
      <c r="L172" s="265"/>
      <c r="M172" s="266"/>
      <c r="N172" s="369"/>
      <c r="O172" s="370"/>
      <c r="P172" s="371"/>
      <c r="Q172" s="370"/>
      <c r="R172" s="370"/>
      <c r="S172" s="372"/>
      <c r="T172" s="373"/>
      <c r="U172" s="374"/>
      <c r="V172" s="375"/>
      <c r="W172" s="376"/>
      <c r="X172" s="377"/>
      <c r="Y172" s="24">
        <v>24</v>
      </c>
    </row>
    <row r="173" spans="2:25" ht="15" customHeight="1" x14ac:dyDescent="0.35">
      <c r="B173" s="364" t="s">
        <v>259</v>
      </c>
      <c r="C173" s="365"/>
      <c r="D173" s="366"/>
      <c r="E173" s="367"/>
      <c r="F173" s="368"/>
      <c r="G173" s="264"/>
      <c r="H173" s="265"/>
      <c r="I173" s="265"/>
      <c r="J173" s="265"/>
      <c r="K173" s="265"/>
      <c r="L173" s="265"/>
      <c r="M173" s="266"/>
      <c r="N173" s="369"/>
      <c r="O173" s="370"/>
      <c r="P173" s="371"/>
      <c r="Q173" s="370"/>
      <c r="R173" s="370"/>
      <c r="S173" s="372"/>
      <c r="T173" s="373"/>
      <c r="U173" s="374"/>
      <c r="V173" s="375"/>
      <c r="W173" s="376"/>
      <c r="X173" s="377"/>
      <c r="Y173" s="24">
        <v>25</v>
      </c>
    </row>
    <row r="174" spans="2:25" ht="15" customHeight="1" x14ac:dyDescent="0.35">
      <c r="B174" s="364" t="s">
        <v>260</v>
      </c>
      <c r="C174" s="365"/>
      <c r="D174" s="366"/>
      <c r="E174" s="367"/>
      <c r="F174" s="368"/>
      <c r="G174" s="264"/>
      <c r="H174" s="265"/>
      <c r="I174" s="265"/>
      <c r="J174" s="265"/>
      <c r="K174" s="265"/>
      <c r="L174" s="265"/>
      <c r="M174" s="266"/>
      <c r="N174" s="369"/>
      <c r="O174" s="370"/>
      <c r="P174" s="371"/>
      <c r="Q174" s="370"/>
      <c r="R174" s="370"/>
      <c r="S174" s="372"/>
      <c r="T174" s="373"/>
      <c r="U174" s="374"/>
      <c r="V174" s="375"/>
      <c r="W174" s="376"/>
      <c r="X174" s="377"/>
      <c r="Y174" s="24">
        <v>26</v>
      </c>
    </row>
    <row r="175" spans="2:25" ht="15" customHeight="1" x14ac:dyDescent="0.35">
      <c r="B175" s="364" t="s">
        <v>261</v>
      </c>
      <c r="C175" s="365"/>
      <c r="D175" s="366"/>
      <c r="E175" s="367"/>
      <c r="F175" s="368"/>
      <c r="G175" s="264"/>
      <c r="H175" s="265"/>
      <c r="I175" s="265"/>
      <c r="J175" s="265"/>
      <c r="K175" s="265"/>
      <c r="L175" s="265"/>
      <c r="M175" s="266"/>
      <c r="N175" s="369"/>
      <c r="O175" s="370"/>
      <c r="P175" s="371"/>
      <c r="Q175" s="370"/>
      <c r="R175" s="370"/>
      <c r="S175" s="372"/>
      <c r="T175" s="373"/>
      <c r="U175" s="374"/>
      <c r="V175" s="375"/>
      <c r="W175" s="376"/>
      <c r="X175" s="377"/>
      <c r="Y175" s="24">
        <v>27</v>
      </c>
    </row>
    <row r="176" spans="2:25" ht="15" customHeight="1" x14ac:dyDescent="0.35">
      <c r="B176" s="364" t="s">
        <v>262</v>
      </c>
      <c r="C176" s="365"/>
      <c r="D176" s="366"/>
      <c r="E176" s="367"/>
      <c r="F176" s="368"/>
      <c r="G176" s="264"/>
      <c r="H176" s="265"/>
      <c r="I176" s="265"/>
      <c r="J176" s="265"/>
      <c r="K176" s="265"/>
      <c r="L176" s="265"/>
      <c r="M176" s="266"/>
      <c r="N176" s="369"/>
      <c r="O176" s="370"/>
      <c r="P176" s="371"/>
      <c r="Q176" s="370"/>
      <c r="R176" s="370"/>
      <c r="S176" s="372"/>
      <c r="T176" s="373"/>
      <c r="U176" s="374"/>
      <c r="V176" s="375"/>
      <c r="W176" s="376"/>
      <c r="X176" s="377"/>
      <c r="Y176" s="24">
        <v>28</v>
      </c>
    </row>
    <row r="177" spans="2:25" ht="15" customHeight="1" x14ac:dyDescent="0.35">
      <c r="B177" s="364" t="s">
        <v>263</v>
      </c>
      <c r="C177" s="365"/>
      <c r="D177" s="366"/>
      <c r="E177" s="367"/>
      <c r="F177" s="368"/>
      <c r="G177" s="264"/>
      <c r="H177" s="265"/>
      <c r="I177" s="265"/>
      <c r="J177" s="265"/>
      <c r="K177" s="265"/>
      <c r="L177" s="265"/>
      <c r="M177" s="266"/>
      <c r="N177" s="369"/>
      <c r="O177" s="370"/>
      <c r="P177" s="371"/>
      <c r="Q177" s="370"/>
      <c r="R177" s="370"/>
      <c r="S177" s="372"/>
      <c r="T177" s="373"/>
      <c r="U177" s="374"/>
      <c r="V177" s="375"/>
      <c r="W177" s="376"/>
      <c r="X177" s="377"/>
      <c r="Y177" s="24">
        <v>29</v>
      </c>
    </row>
    <row r="178" spans="2:25" ht="15" customHeight="1" x14ac:dyDescent="0.35">
      <c r="B178" s="364" t="s">
        <v>264</v>
      </c>
      <c r="C178" s="365"/>
      <c r="D178" s="366"/>
      <c r="E178" s="367"/>
      <c r="F178" s="368"/>
      <c r="G178" s="264"/>
      <c r="H178" s="265"/>
      <c r="I178" s="265"/>
      <c r="J178" s="265"/>
      <c r="K178" s="265"/>
      <c r="L178" s="265"/>
      <c r="M178" s="266"/>
      <c r="N178" s="369"/>
      <c r="O178" s="370"/>
      <c r="P178" s="371"/>
      <c r="Q178" s="370"/>
      <c r="R178" s="370"/>
      <c r="S178" s="372"/>
      <c r="T178" s="373"/>
      <c r="U178" s="374"/>
      <c r="V178" s="375"/>
      <c r="W178" s="376"/>
      <c r="X178" s="377"/>
      <c r="Y178" s="24">
        <v>30</v>
      </c>
    </row>
    <row r="179" spans="2:25" ht="15" customHeight="1" x14ac:dyDescent="0.35">
      <c r="B179" s="364" t="s">
        <v>265</v>
      </c>
      <c r="C179" s="365"/>
      <c r="D179" s="366"/>
      <c r="E179" s="367"/>
      <c r="F179" s="368"/>
      <c r="G179" s="264"/>
      <c r="H179" s="265"/>
      <c r="I179" s="265"/>
      <c r="J179" s="265"/>
      <c r="K179" s="265"/>
      <c r="L179" s="265"/>
      <c r="M179" s="266"/>
      <c r="N179" s="369"/>
      <c r="O179" s="370"/>
      <c r="P179" s="371"/>
      <c r="Q179" s="370"/>
      <c r="R179" s="370"/>
      <c r="S179" s="372"/>
      <c r="T179" s="373"/>
      <c r="U179" s="374"/>
      <c r="V179" s="375"/>
      <c r="W179" s="376"/>
      <c r="X179" s="377"/>
      <c r="Y179" s="24">
        <v>31</v>
      </c>
    </row>
    <row r="180" spans="2:25" ht="15" customHeight="1" x14ac:dyDescent="0.35">
      <c r="B180" s="364" t="s">
        <v>266</v>
      </c>
      <c r="C180" s="365"/>
      <c r="D180" s="366"/>
      <c r="E180" s="367"/>
      <c r="F180" s="368"/>
      <c r="G180" s="264"/>
      <c r="H180" s="265"/>
      <c r="I180" s="265"/>
      <c r="J180" s="265"/>
      <c r="K180" s="265"/>
      <c r="L180" s="265"/>
      <c r="M180" s="266"/>
      <c r="N180" s="369"/>
      <c r="O180" s="370"/>
      <c r="P180" s="371"/>
      <c r="Q180" s="370"/>
      <c r="R180" s="370"/>
      <c r="S180" s="372"/>
      <c r="T180" s="373"/>
      <c r="U180" s="374"/>
      <c r="V180" s="375"/>
      <c r="W180" s="376"/>
      <c r="X180" s="377"/>
      <c r="Y180" s="24">
        <v>32</v>
      </c>
    </row>
    <row r="181" spans="2:25" ht="15" customHeight="1" x14ac:dyDescent="0.35">
      <c r="B181" s="364" t="s">
        <v>267</v>
      </c>
      <c r="C181" s="365"/>
      <c r="D181" s="366"/>
      <c r="E181" s="367"/>
      <c r="F181" s="368"/>
      <c r="G181" s="264"/>
      <c r="H181" s="265"/>
      <c r="I181" s="265"/>
      <c r="J181" s="265"/>
      <c r="K181" s="265"/>
      <c r="L181" s="265"/>
      <c r="M181" s="266"/>
      <c r="N181" s="369"/>
      <c r="O181" s="370"/>
      <c r="P181" s="371"/>
      <c r="Q181" s="370"/>
      <c r="R181" s="370"/>
      <c r="S181" s="372"/>
      <c r="T181" s="373"/>
      <c r="U181" s="374"/>
      <c r="V181" s="375"/>
      <c r="W181" s="376"/>
      <c r="X181" s="377"/>
      <c r="Y181" s="24">
        <v>33</v>
      </c>
    </row>
    <row r="182" spans="2:25" ht="15" customHeight="1" x14ac:dyDescent="0.35">
      <c r="B182" s="267" t="s">
        <v>268</v>
      </c>
      <c r="C182" s="268"/>
      <c r="D182" s="269"/>
      <c r="E182" s="270"/>
      <c r="F182" s="271"/>
      <c r="G182" s="272"/>
      <c r="H182" s="273"/>
      <c r="I182" s="273"/>
      <c r="J182" s="273"/>
      <c r="K182" s="273"/>
      <c r="L182" s="273"/>
      <c r="M182" s="274"/>
      <c r="N182" s="275"/>
      <c r="O182" s="276"/>
      <c r="P182" s="277"/>
      <c r="Q182" s="276"/>
      <c r="R182" s="276"/>
      <c r="S182" s="278"/>
      <c r="T182" s="279"/>
      <c r="U182" s="280"/>
      <c r="V182" s="317"/>
      <c r="W182" s="335">
        <f>Q182*-3+T182*-1+V182*-1</f>
        <v>0</v>
      </c>
      <c r="X182" s="339"/>
      <c r="Y182" s="24">
        <v>34</v>
      </c>
    </row>
    <row r="183" spans="2:25" ht="15" customHeight="1" x14ac:dyDescent="0.35">
      <c r="B183" s="267" t="s">
        <v>269</v>
      </c>
      <c r="C183" s="268"/>
      <c r="D183" s="269"/>
      <c r="E183" s="270"/>
      <c r="F183" s="271"/>
      <c r="G183" s="272"/>
      <c r="H183" s="273"/>
      <c r="I183" s="273"/>
      <c r="J183" s="273"/>
      <c r="K183" s="273"/>
      <c r="L183" s="273"/>
      <c r="M183" s="274"/>
      <c r="N183" s="275"/>
      <c r="O183" s="276"/>
      <c r="P183" s="277"/>
      <c r="Q183" s="276"/>
      <c r="R183" s="276"/>
      <c r="S183" s="278"/>
      <c r="T183" s="279"/>
      <c r="U183" s="280"/>
      <c r="V183" s="317"/>
      <c r="W183" s="335">
        <f t="shared" ref="W183:W188" si="3">Q183*-3+T183*-1+V183*-1</f>
        <v>0</v>
      </c>
      <c r="X183" s="339"/>
      <c r="Y183" s="24">
        <v>35</v>
      </c>
    </row>
    <row r="184" spans="2:25" ht="15" customHeight="1" x14ac:dyDescent="0.35">
      <c r="B184" s="267" t="s">
        <v>270</v>
      </c>
      <c r="C184" s="268"/>
      <c r="D184" s="269"/>
      <c r="E184" s="270"/>
      <c r="F184" s="271"/>
      <c r="G184" s="272"/>
      <c r="H184" s="273"/>
      <c r="I184" s="273"/>
      <c r="J184" s="273"/>
      <c r="K184" s="273"/>
      <c r="L184" s="273"/>
      <c r="M184" s="274"/>
      <c r="N184" s="275"/>
      <c r="O184" s="276"/>
      <c r="P184" s="277"/>
      <c r="Q184" s="276"/>
      <c r="R184" s="276"/>
      <c r="S184" s="278"/>
      <c r="T184" s="279"/>
      <c r="U184" s="280"/>
      <c r="V184" s="317"/>
      <c r="W184" s="335">
        <f t="shared" si="3"/>
        <v>0</v>
      </c>
      <c r="X184" s="339"/>
      <c r="Y184" s="24">
        <v>36</v>
      </c>
    </row>
    <row r="185" spans="2:25" ht="15" customHeight="1" x14ac:dyDescent="0.35">
      <c r="B185" s="267" t="s">
        <v>271</v>
      </c>
      <c r="C185" s="268"/>
      <c r="D185" s="269"/>
      <c r="E185" s="270"/>
      <c r="F185" s="271"/>
      <c r="G185" s="272"/>
      <c r="H185" s="273"/>
      <c r="I185" s="273"/>
      <c r="J185" s="273"/>
      <c r="K185" s="273"/>
      <c r="L185" s="273"/>
      <c r="M185" s="274"/>
      <c r="N185" s="275"/>
      <c r="O185" s="276"/>
      <c r="P185" s="277"/>
      <c r="Q185" s="276"/>
      <c r="R185" s="276"/>
      <c r="S185" s="278"/>
      <c r="T185" s="279"/>
      <c r="U185" s="280"/>
      <c r="V185" s="317"/>
      <c r="W185" s="335">
        <f t="shared" si="3"/>
        <v>0</v>
      </c>
      <c r="X185" s="339"/>
      <c r="Y185" s="24">
        <v>37</v>
      </c>
    </row>
    <row r="186" spans="2:25" ht="15" customHeight="1" x14ac:dyDescent="0.35">
      <c r="B186" s="267" t="s">
        <v>272</v>
      </c>
      <c r="C186" s="268"/>
      <c r="D186" s="269"/>
      <c r="E186" s="270"/>
      <c r="F186" s="271"/>
      <c r="G186" s="272"/>
      <c r="H186" s="273"/>
      <c r="I186" s="273"/>
      <c r="J186" s="273"/>
      <c r="K186" s="273"/>
      <c r="L186" s="273"/>
      <c r="M186" s="274"/>
      <c r="N186" s="275"/>
      <c r="O186" s="276"/>
      <c r="P186" s="277"/>
      <c r="Q186" s="276"/>
      <c r="R186" s="276"/>
      <c r="S186" s="278"/>
      <c r="T186" s="279"/>
      <c r="U186" s="280"/>
      <c r="V186" s="317"/>
      <c r="W186" s="335">
        <f t="shared" si="3"/>
        <v>0</v>
      </c>
      <c r="X186" s="339"/>
      <c r="Y186" s="24">
        <v>38</v>
      </c>
    </row>
    <row r="187" spans="2:25" ht="15" customHeight="1" x14ac:dyDescent="0.35">
      <c r="B187" s="267" t="s">
        <v>273</v>
      </c>
      <c r="C187" s="268"/>
      <c r="D187" s="269"/>
      <c r="E187" s="270"/>
      <c r="F187" s="271"/>
      <c r="G187" s="272"/>
      <c r="H187" s="273"/>
      <c r="I187" s="273"/>
      <c r="J187" s="273"/>
      <c r="K187" s="273"/>
      <c r="L187" s="273"/>
      <c r="M187" s="274"/>
      <c r="N187" s="275"/>
      <c r="O187" s="276"/>
      <c r="P187" s="277"/>
      <c r="Q187" s="276"/>
      <c r="R187" s="276"/>
      <c r="S187" s="278"/>
      <c r="T187" s="279"/>
      <c r="U187" s="280"/>
      <c r="V187" s="317"/>
      <c r="W187" s="335">
        <f t="shared" si="3"/>
        <v>0</v>
      </c>
      <c r="X187" s="339"/>
      <c r="Y187" s="24">
        <v>39</v>
      </c>
    </row>
    <row r="188" spans="2:25" ht="15" customHeight="1" thickBot="1" x14ac:dyDescent="0.4">
      <c r="B188" s="282" t="s">
        <v>274</v>
      </c>
      <c r="C188" s="283"/>
      <c r="D188" s="284"/>
      <c r="E188" s="285"/>
      <c r="F188" s="286"/>
      <c r="G188" s="287"/>
      <c r="H188" s="288"/>
      <c r="I188" s="288"/>
      <c r="J188" s="288"/>
      <c r="K188" s="288"/>
      <c r="L188" s="288"/>
      <c r="M188" s="289"/>
      <c r="N188" s="290"/>
      <c r="O188" s="291"/>
      <c r="P188" s="292"/>
      <c r="Q188" s="291"/>
      <c r="R188" s="291"/>
      <c r="S188" s="293"/>
      <c r="T188" s="294"/>
      <c r="U188" s="295"/>
      <c r="V188" s="318"/>
      <c r="W188" s="335">
        <f t="shared" si="3"/>
        <v>0</v>
      </c>
      <c r="X188" s="340"/>
      <c r="Y188" s="24">
        <v>40</v>
      </c>
    </row>
    <row r="189" spans="2:25" ht="15" customHeight="1" thickBot="1" x14ac:dyDescent="0.25">
      <c r="B189" s="171"/>
      <c r="C189" s="241"/>
      <c r="D189" s="250"/>
      <c r="E189" s="251"/>
      <c r="F189" s="252"/>
      <c r="G189" s="255"/>
      <c r="H189" s="245"/>
      <c r="I189" s="245"/>
      <c r="J189" s="245"/>
      <c r="K189" s="245"/>
      <c r="L189" s="245"/>
      <c r="M189" s="246"/>
      <c r="N189" s="257"/>
      <c r="O189" s="192">
        <f>SUM(O149:O188)</f>
        <v>0</v>
      </c>
      <c r="P189" s="191" t="e">
        <f>AVERAGE(P149:P188)</f>
        <v>#DIV/0!</v>
      </c>
      <c r="Q189" s="191"/>
      <c r="R189" s="192">
        <f>SUM(R149:R188)</f>
        <v>0</v>
      </c>
      <c r="S189" s="191" t="e">
        <f>AVERAGE(S149:S188)</f>
        <v>#DIV/0!</v>
      </c>
      <c r="T189" s="191"/>
      <c r="U189" s="253" t="e">
        <f>AVERAGE(U149:U188)</f>
        <v>#DIV/0!</v>
      </c>
      <c r="V189" s="303"/>
      <c r="W189" s="336"/>
      <c r="X189" s="341"/>
    </row>
    <row r="190" spans="2:25" ht="15" customHeight="1" x14ac:dyDescent="0.2"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326"/>
      <c r="X190" s="15"/>
    </row>
    <row r="191" spans="2:25" ht="15" customHeight="1" x14ac:dyDescent="0.2"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326"/>
      <c r="X191" s="15"/>
    </row>
    <row r="192" spans="2:25" ht="15" customHeight="1" x14ac:dyDescent="0.2"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326"/>
      <c r="X192" s="15"/>
    </row>
    <row r="193" spans="2:108" ht="15" customHeight="1" x14ac:dyDescent="0.2"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326"/>
      <c r="X193" s="15"/>
    </row>
    <row r="194" spans="2:108" ht="11.25" customHeight="1" thickBot="1" x14ac:dyDescent="0.25">
      <c r="B194" s="17" t="s">
        <v>97</v>
      </c>
      <c r="C194" s="17"/>
    </row>
    <row r="195" spans="2:108" ht="15.75" customHeight="1" thickBot="1" x14ac:dyDescent="0.25">
      <c r="B195" s="385" t="s">
        <v>1</v>
      </c>
      <c r="C195" s="387" t="s">
        <v>77</v>
      </c>
      <c r="D195" s="389" t="s">
        <v>2</v>
      </c>
      <c r="E195" s="385" t="s">
        <v>3</v>
      </c>
      <c r="F195" s="391" t="s">
        <v>111</v>
      </c>
      <c r="G195" s="213"/>
      <c r="H195" s="254" t="s">
        <v>5</v>
      </c>
      <c r="I195" s="254"/>
      <c r="J195" s="254"/>
      <c r="K195" s="254"/>
      <c r="L195" s="254"/>
      <c r="M195" s="254"/>
      <c r="N195" s="247" t="s">
        <v>6</v>
      </c>
      <c r="O195" s="248"/>
      <c r="P195" s="248"/>
      <c r="Q195" s="248"/>
      <c r="R195" s="248"/>
      <c r="S195" s="248"/>
      <c r="T195" s="248"/>
      <c r="U195" s="248"/>
      <c r="V195" s="248"/>
      <c r="W195" s="248"/>
      <c r="X195" s="249"/>
      <c r="CX195" s="1"/>
      <c r="CY195" s="1"/>
      <c r="CZ195" s="1"/>
      <c r="DA195" s="1"/>
      <c r="DB195" s="1"/>
      <c r="DC195" s="1"/>
      <c r="DD195" s="1"/>
    </row>
    <row r="196" spans="2:108" ht="30.75" customHeight="1" thickBot="1" x14ac:dyDescent="0.25">
      <c r="B196" s="386"/>
      <c r="C196" s="388"/>
      <c r="D196" s="390"/>
      <c r="E196" s="386"/>
      <c r="F196" s="392"/>
      <c r="G196" s="256" t="s">
        <v>140</v>
      </c>
      <c r="H196" s="153" t="s">
        <v>141</v>
      </c>
      <c r="I196" s="153" t="s">
        <v>142</v>
      </c>
      <c r="J196" s="153" t="s">
        <v>143</v>
      </c>
      <c r="K196" s="153" t="s">
        <v>163</v>
      </c>
      <c r="L196" s="153" t="s">
        <v>165</v>
      </c>
      <c r="M196" s="258" t="s">
        <v>167</v>
      </c>
      <c r="N196" s="304" t="s">
        <v>106</v>
      </c>
      <c r="O196" s="207" t="s">
        <v>18</v>
      </c>
      <c r="P196" s="207" t="s">
        <v>19</v>
      </c>
      <c r="Q196" s="207" t="s">
        <v>110</v>
      </c>
      <c r="R196" s="207" t="s">
        <v>20</v>
      </c>
      <c r="S196" s="305" t="s">
        <v>21</v>
      </c>
      <c r="T196" s="305" t="s">
        <v>109</v>
      </c>
      <c r="U196" s="306" t="s">
        <v>22</v>
      </c>
      <c r="V196" s="315" t="s">
        <v>110</v>
      </c>
      <c r="W196" s="333" t="s">
        <v>3</v>
      </c>
      <c r="X196" s="337" t="s">
        <v>133</v>
      </c>
      <c r="CX196" s="1"/>
      <c r="CY196" s="1"/>
      <c r="CZ196" s="1"/>
      <c r="DA196" s="1"/>
      <c r="DB196" s="1"/>
      <c r="DC196" s="1"/>
      <c r="DD196" s="1"/>
    </row>
    <row r="197" spans="2:108" ht="14.25" customHeight="1" x14ac:dyDescent="0.35">
      <c r="B197" s="259" t="s">
        <v>75</v>
      </c>
      <c r="C197" s="260"/>
      <c r="D197" s="261"/>
      <c r="E197" s="262"/>
      <c r="F197" s="263"/>
      <c r="G197" s="264"/>
      <c r="H197" s="265"/>
      <c r="I197" s="265"/>
      <c r="J197" s="265"/>
      <c r="K197" s="265"/>
      <c r="L197" s="265"/>
      <c r="M197" s="266"/>
      <c r="N197" s="308"/>
      <c r="O197" s="309"/>
      <c r="P197" s="310"/>
      <c r="Q197" s="309"/>
      <c r="R197" s="309"/>
      <c r="S197" s="311"/>
      <c r="T197" s="312"/>
      <c r="U197" s="313"/>
      <c r="V197" s="316"/>
      <c r="W197" s="334">
        <f>Q197*-3+T197*-1+V197*-1</f>
        <v>0</v>
      </c>
      <c r="X197" s="338"/>
      <c r="Y197" s="24">
        <v>1</v>
      </c>
      <c r="CX197" s="1"/>
      <c r="CY197" s="1"/>
      <c r="CZ197" s="1"/>
      <c r="DA197" s="1"/>
      <c r="DB197" s="1"/>
      <c r="DC197" s="1"/>
      <c r="DD197" s="1"/>
    </row>
    <row r="198" spans="2:108" ht="14.25" customHeight="1" x14ac:dyDescent="0.35">
      <c r="B198" s="364" t="s">
        <v>76</v>
      </c>
      <c r="C198" s="365"/>
      <c r="D198" s="366"/>
      <c r="E198" s="367"/>
      <c r="F198" s="368"/>
      <c r="G198" s="264"/>
      <c r="H198" s="265"/>
      <c r="I198" s="265"/>
      <c r="J198" s="265"/>
      <c r="K198" s="265"/>
      <c r="L198" s="265"/>
      <c r="M198" s="266"/>
      <c r="N198" s="369"/>
      <c r="O198" s="370"/>
      <c r="P198" s="371"/>
      <c r="Q198" s="370"/>
      <c r="R198" s="370"/>
      <c r="S198" s="372"/>
      <c r="T198" s="373"/>
      <c r="U198" s="374"/>
      <c r="V198" s="375"/>
      <c r="W198" s="376"/>
      <c r="X198" s="377"/>
      <c r="Y198" s="24">
        <v>2</v>
      </c>
      <c r="CX198" s="1"/>
      <c r="CY198" s="1"/>
      <c r="CZ198" s="1"/>
      <c r="DA198" s="1"/>
      <c r="DB198" s="1"/>
      <c r="DC198" s="1"/>
      <c r="DD198" s="1"/>
    </row>
    <row r="199" spans="2:108" ht="14.25" customHeight="1" x14ac:dyDescent="0.35">
      <c r="B199" s="364" t="s">
        <v>66</v>
      </c>
      <c r="C199" s="365"/>
      <c r="D199" s="366"/>
      <c r="E199" s="367"/>
      <c r="F199" s="368"/>
      <c r="G199" s="264"/>
      <c r="H199" s="265"/>
      <c r="I199" s="265"/>
      <c r="J199" s="265"/>
      <c r="K199" s="265"/>
      <c r="L199" s="265"/>
      <c r="M199" s="266"/>
      <c r="N199" s="369"/>
      <c r="O199" s="370"/>
      <c r="P199" s="371"/>
      <c r="Q199" s="370"/>
      <c r="R199" s="370"/>
      <c r="S199" s="372"/>
      <c r="T199" s="373"/>
      <c r="U199" s="374"/>
      <c r="V199" s="375"/>
      <c r="W199" s="376"/>
      <c r="X199" s="377"/>
      <c r="Y199" s="24">
        <v>3</v>
      </c>
      <c r="CX199" s="1"/>
      <c r="CY199" s="1"/>
      <c r="CZ199" s="1"/>
      <c r="DA199" s="1"/>
      <c r="DB199" s="1"/>
      <c r="DC199" s="1"/>
      <c r="DD199" s="1"/>
    </row>
    <row r="200" spans="2:108" ht="14.25" customHeight="1" x14ac:dyDescent="0.35">
      <c r="B200" s="364" t="s">
        <v>67</v>
      </c>
      <c r="C200" s="365"/>
      <c r="D200" s="366"/>
      <c r="E200" s="367"/>
      <c r="F200" s="368"/>
      <c r="G200" s="264"/>
      <c r="H200" s="265"/>
      <c r="I200" s="265"/>
      <c r="J200" s="265"/>
      <c r="K200" s="265"/>
      <c r="L200" s="265"/>
      <c r="M200" s="266"/>
      <c r="N200" s="369"/>
      <c r="O200" s="370"/>
      <c r="P200" s="371"/>
      <c r="Q200" s="370"/>
      <c r="R200" s="370"/>
      <c r="S200" s="372"/>
      <c r="T200" s="373"/>
      <c r="U200" s="374"/>
      <c r="V200" s="375"/>
      <c r="W200" s="376"/>
      <c r="X200" s="377"/>
      <c r="Y200" s="24">
        <v>4</v>
      </c>
      <c r="CX200" s="1"/>
      <c r="CY200" s="1"/>
      <c r="CZ200" s="1"/>
      <c r="DA200" s="1"/>
      <c r="DB200" s="1"/>
      <c r="DC200" s="1"/>
      <c r="DD200" s="1"/>
    </row>
    <row r="201" spans="2:108" ht="14.25" customHeight="1" x14ac:dyDescent="0.35">
      <c r="B201" s="364" t="s">
        <v>68</v>
      </c>
      <c r="C201" s="365"/>
      <c r="D201" s="366"/>
      <c r="E201" s="367"/>
      <c r="F201" s="368"/>
      <c r="G201" s="264"/>
      <c r="H201" s="265"/>
      <c r="I201" s="265"/>
      <c r="J201" s="265"/>
      <c r="K201" s="265"/>
      <c r="L201" s="265"/>
      <c r="M201" s="266"/>
      <c r="N201" s="369"/>
      <c r="O201" s="370"/>
      <c r="P201" s="371"/>
      <c r="Q201" s="370"/>
      <c r="R201" s="370"/>
      <c r="S201" s="372"/>
      <c r="T201" s="373"/>
      <c r="U201" s="374"/>
      <c r="V201" s="375"/>
      <c r="W201" s="376"/>
      <c r="X201" s="377"/>
      <c r="Y201" s="24">
        <v>5</v>
      </c>
      <c r="CX201" s="1"/>
      <c r="CY201" s="1"/>
      <c r="CZ201" s="1"/>
      <c r="DA201" s="1"/>
      <c r="DB201" s="1"/>
      <c r="DC201" s="1"/>
      <c r="DD201" s="1"/>
    </row>
    <row r="202" spans="2:108" ht="14.25" customHeight="1" x14ac:dyDescent="0.35">
      <c r="B202" s="364" t="s">
        <v>69</v>
      </c>
      <c r="C202" s="365"/>
      <c r="D202" s="366"/>
      <c r="E202" s="367"/>
      <c r="F202" s="368"/>
      <c r="G202" s="264"/>
      <c r="H202" s="265"/>
      <c r="I202" s="265"/>
      <c r="J202" s="265"/>
      <c r="K202" s="265"/>
      <c r="L202" s="265"/>
      <c r="M202" s="266"/>
      <c r="N202" s="369"/>
      <c r="O202" s="370"/>
      <c r="P202" s="371"/>
      <c r="Q202" s="370"/>
      <c r="R202" s="370"/>
      <c r="S202" s="372"/>
      <c r="T202" s="373"/>
      <c r="U202" s="374"/>
      <c r="V202" s="375"/>
      <c r="W202" s="376"/>
      <c r="X202" s="377"/>
      <c r="Y202" s="24">
        <v>6</v>
      </c>
      <c r="CX202" s="1"/>
      <c r="CY202" s="1"/>
      <c r="CZ202" s="1"/>
      <c r="DA202" s="1"/>
      <c r="DB202" s="1"/>
      <c r="DC202" s="1"/>
      <c r="DD202" s="1"/>
    </row>
    <row r="203" spans="2:108" ht="14.25" customHeight="1" x14ac:dyDescent="0.35">
      <c r="B203" s="364" t="s">
        <v>70</v>
      </c>
      <c r="C203" s="365"/>
      <c r="D203" s="366"/>
      <c r="E203" s="367"/>
      <c r="F203" s="368"/>
      <c r="G203" s="264"/>
      <c r="H203" s="265"/>
      <c r="I203" s="265"/>
      <c r="J203" s="265"/>
      <c r="K203" s="265"/>
      <c r="L203" s="265"/>
      <c r="M203" s="266"/>
      <c r="N203" s="369"/>
      <c r="O203" s="370"/>
      <c r="P203" s="371"/>
      <c r="Q203" s="370"/>
      <c r="R203" s="370"/>
      <c r="S203" s="372"/>
      <c r="T203" s="373"/>
      <c r="U203" s="374"/>
      <c r="V203" s="375"/>
      <c r="W203" s="376"/>
      <c r="X203" s="377"/>
      <c r="Y203" s="24">
        <v>7</v>
      </c>
      <c r="CX203" s="1"/>
      <c r="CY203" s="1"/>
      <c r="CZ203" s="1"/>
      <c r="DA203" s="1"/>
      <c r="DB203" s="1"/>
      <c r="DC203" s="1"/>
      <c r="DD203" s="1"/>
    </row>
    <row r="204" spans="2:108" ht="14.25" customHeight="1" x14ac:dyDescent="0.35">
      <c r="B204" s="364" t="s">
        <v>71</v>
      </c>
      <c r="C204" s="365"/>
      <c r="D204" s="366"/>
      <c r="E204" s="367"/>
      <c r="F204" s="368"/>
      <c r="G204" s="264"/>
      <c r="H204" s="265"/>
      <c r="I204" s="265"/>
      <c r="J204" s="265"/>
      <c r="K204" s="265"/>
      <c r="L204" s="265"/>
      <c r="M204" s="266"/>
      <c r="N204" s="369"/>
      <c r="O204" s="370"/>
      <c r="P204" s="371"/>
      <c r="Q204" s="370"/>
      <c r="R204" s="370"/>
      <c r="S204" s="372"/>
      <c r="T204" s="373"/>
      <c r="U204" s="374"/>
      <c r="V204" s="375"/>
      <c r="W204" s="376"/>
      <c r="X204" s="377"/>
      <c r="Y204" s="24">
        <v>8</v>
      </c>
      <c r="CX204" s="1"/>
      <c r="CY204" s="1"/>
      <c r="CZ204" s="1"/>
      <c r="DA204" s="1"/>
      <c r="DB204" s="1"/>
      <c r="DC204" s="1"/>
      <c r="DD204" s="1"/>
    </row>
    <row r="205" spans="2:108" ht="14.25" customHeight="1" x14ac:dyDescent="0.35">
      <c r="B205" s="364" t="s">
        <v>243</v>
      </c>
      <c r="C205" s="365"/>
      <c r="D205" s="366"/>
      <c r="E205" s="367"/>
      <c r="F205" s="368"/>
      <c r="G205" s="264"/>
      <c r="H205" s="265"/>
      <c r="I205" s="265"/>
      <c r="J205" s="265"/>
      <c r="K205" s="265"/>
      <c r="L205" s="265"/>
      <c r="M205" s="266"/>
      <c r="N205" s="369"/>
      <c r="O205" s="370"/>
      <c r="P205" s="371"/>
      <c r="Q205" s="370"/>
      <c r="R205" s="370"/>
      <c r="S205" s="372"/>
      <c r="T205" s="373"/>
      <c r="U205" s="374"/>
      <c r="V205" s="375"/>
      <c r="W205" s="376"/>
      <c r="X205" s="377"/>
      <c r="Y205" s="24">
        <v>9</v>
      </c>
      <c r="CX205" s="1"/>
      <c r="CY205" s="1"/>
      <c r="CZ205" s="1"/>
      <c r="DA205" s="1"/>
      <c r="DB205" s="1"/>
      <c r="DC205" s="1"/>
      <c r="DD205" s="1"/>
    </row>
    <row r="206" spans="2:108" ht="14.25" customHeight="1" x14ac:dyDescent="0.35">
      <c r="B206" s="364" t="s">
        <v>244</v>
      </c>
      <c r="C206" s="365"/>
      <c r="D206" s="366"/>
      <c r="E206" s="367"/>
      <c r="F206" s="368"/>
      <c r="G206" s="264"/>
      <c r="H206" s="265"/>
      <c r="I206" s="265"/>
      <c r="J206" s="265"/>
      <c r="K206" s="265"/>
      <c r="L206" s="265"/>
      <c r="M206" s="266"/>
      <c r="N206" s="369"/>
      <c r="O206" s="370"/>
      <c r="P206" s="371"/>
      <c r="Q206" s="370"/>
      <c r="R206" s="370"/>
      <c r="S206" s="372"/>
      <c r="T206" s="373"/>
      <c r="U206" s="374"/>
      <c r="V206" s="375"/>
      <c r="W206" s="376"/>
      <c r="X206" s="377"/>
      <c r="Y206" s="24">
        <v>10</v>
      </c>
      <c r="CX206" s="1"/>
      <c r="CY206" s="1"/>
      <c r="CZ206" s="1"/>
      <c r="DA206" s="1"/>
      <c r="DB206" s="1"/>
      <c r="DC206" s="1"/>
      <c r="DD206" s="1"/>
    </row>
    <row r="207" spans="2:108" ht="14.25" customHeight="1" x14ac:dyDescent="0.35">
      <c r="B207" s="364" t="s">
        <v>245</v>
      </c>
      <c r="C207" s="365"/>
      <c r="D207" s="366"/>
      <c r="E207" s="367"/>
      <c r="F207" s="368"/>
      <c r="G207" s="264"/>
      <c r="H207" s="265"/>
      <c r="I207" s="265"/>
      <c r="J207" s="265"/>
      <c r="K207" s="265"/>
      <c r="L207" s="265"/>
      <c r="M207" s="266"/>
      <c r="N207" s="369"/>
      <c r="O207" s="370"/>
      <c r="P207" s="371"/>
      <c r="Q207" s="370"/>
      <c r="R207" s="370"/>
      <c r="S207" s="372"/>
      <c r="T207" s="373"/>
      <c r="U207" s="374"/>
      <c r="V207" s="375"/>
      <c r="W207" s="376"/>
      <c r="X207" s="377"/>
      <c r="Y207" s="24">
        <v>11</v>
      </c>
      <c r="CX207" s="1"/>
      <c r="CY207" s="1"/>
      <c r="CZ207" s="1"/>
      <c r="DA207" s="1"/>
      <c r="DB207" s="1"/>
      <c r="DC207" s="1"/>
      <c r="DD207" s="1"/>
    </row>
    <row r="208" spans="2:108" ht="14.25" customHeight="1" x14ac:dyDescent="0.35">
      <c r="B208" s="364" t="s">
        <v>246</v>
      </c>
      <c r="C208" s="365"/>
      <c r="D208" s="366"/>
      <c r="E208" s="367"/>
      <c r="F208" s="368"/>
      <c r="G208" s="264"/>
      <c r="H208" s="265"/>
      <c r="I208" s="265"/>
      <c r="J208" s="265"/>
      <c r="K208" s="265"/>
      <c r="L208" s="265"/>
      <c r="M208" s="266"/>
      <c r="N208" s="369"/>
      <c r="O208" s="370"/>
      <c r="P208" s="371"/>
      <c r="Q208" s="370"/>
      <c r="R208" s="370"/>
      <c r="S208" s="372"/>
      <c r="T208" s="373"/>
      <c r="U208" s="374"/>
      <c r="V208" s="375"/>
      <c r="W208" s="376"/>
      <c r="X208" s="377"/>
      <c r="Y208" s="24">
        <v>12</v>
      </c>
      <c r="CX208" s="1"/>
      <c r="CY208" s="1"/>
      <c r="CZ208" s="1"/>
      <c r="DA208" s="1"/>
      <c r="DB208" s="1"/>
      <c r="DC208" s="1"/>
      <c r="DD208" s="1"/>
    </row>
    <row r="209" spans="2:108" ht="14.25" customHeight="1" x14ac:dyDescent="0.35">
      <c r="B209" s="364" t="s">
        <v>247</v>
      </c>
      <c r="C209" s="365"/>
      <c r="D209" s="366"/>
      <c r="E209" s="367"/>
      <c r="F209" s="368"/>
      <c r="G209" s="264"/>
      <c r="H209" s="265"/>
      <c r="I209" s="265"/>
      <c r="J209" s="265"/>
      <c r="K209" s="265"/>
      <c r="L209" s="265"/>
      <c r="M209" s="266"/>
      <c r="N209" s="369"/>
      <c r="O209" s="370"/>
      <c r="P209" s="371"/>
      <c r="Q209" s="370"/>
      <c r="R209" s="370"/>
      <c r="S209" s="372"/>
      <c r="T209" s="373"/>
      <c r="U209" s="374"/>
      <c r="V209" s="375"/>
      <c r="W209" s="376"/>
      <c r="X209" s="377"/>
      <c r="Y209" s="24">
        <v>13</v>
      </c>
      <c r="CX209" s="1"/>
      <c r="CY209" s="1"/>
      <c r="CZ209" s="1"/>
      <c r="DA209" s="1"/>
      <c r="DB209" s="1"/>
      <c r="DC209" s="1"/>
      <c r="DD209" s="1"/>
    </row>
    <row r="210" spans="2:108" ht="14.25" customHeight="1" x14ac:dyDescent="0.35">
      <c r="B210" s="364" t="s">
        <v>248</v>
      </c>
      <c r="C210" s="365"/>
      <c r="D210" s="366"/>
      <c r="E210" s="367"/>
      <c r="F210" s="368"/>
      <c r="G210" s="264"/>
      <c r="H210" s="265"/>
      <c r="I210" s="265"/>
      <c r="J210" s="265"/>
      <c r="K210" s="265"/>
      <c r="L210" s="265"/>
      <c r="M210" s="266"/>
      <c r="N210" s="369"/>
      <c r="O210" s="370"/>
      <c r="P210" s="371"/>
      <c r="Q210" s="370"/>
      <c r="R210" s="370"/>
      <c r="S210" s="372"/>
      <c r="T210" s="373"/>
      <c r="U210" s="374"/>
      <c r="V210" s="375"/>
      <c r="W210" s="376"/>
      <c r="X210" s="377"/>
      <c r="Y210" s="24">
        <v>14</v>
      </c>
      <c r="CX210" s="1"/>
      <c r="CY210" s="1"/>
      <c r="CZ210" s="1"/>
      <c r="DA210" s="1"/>
      <c r="DB210" s="1"/>
      <c r="DC210" s="1"/>
      <c r="DD210" s="1"/>
    </row>
    <row r="211" spans="2:108" ht="14.25" customHeight="1" x14ac:dyDescent="0.35">
      <c r="B211" s="364" t="s">
        <v>249</v>
      </c>
      <c r="C211" s="365"/>
      <c r="D211" s="366"/>
      <c r="E211" s="367"/>
      <c r="F211" s="368"/>
      <c r="G211" s="264"/>
      <c r="H211" s="265"/>
      <c r="I211" s="265"/>
      <c r="J211" s="265"/>
      <c r="K211" s="265"/>
      <c r="L211" s="265"/>
      <c r="M211" s="266"/>
      <c r="N211" s="369"/>
      <c r="O211" s="370"/>
      <c r="P211" s="371"/>
      <c r="Q211" s="370"/>
      <c r="R211" s="370"/>
      <c r="S211" s="372"/>
      <c r="T211" s="373"/>
      <c r="U211" s="374"/>
      <c r="V211" s="375"/>
      <c r="W211" s="376"/>
      <c r="X211" s="377"/>
      <c r="Y211" s="24">
        <v>15</v>
      </c>
      <c r="CX211" s="1"/>
      <c r="CY211" s="1"/>
      <c r="CZ211" s="1"/>
      <c r="DA211" s="1"/>
      <c r="DB211" s="1"/>
      <c r="DC211" s="1"/>
      <c r="DD211" s="1"/>
    </row>
    <row r="212" spans="2:108" ht="14.25" customHeight="1" x14ac:dyDescent="0.35">
      <c r="B212" s="364" t="s">
        <v>250</v>
      </c>
      <c r="C212" s="365"/>
      <c r="D212" s="366"/>
      <c r="E212" s="367"/>
      <c r="F212" s="368"/>
      <c r="G212" s="264"/>
      <c r="H212" s="265"/>
      <c r="I212" s="265"/>
      <c r="J212" s="265"/>
      <c r="K212" s="265"/>
      <c r="L212" s="265"/>
      <c r="M212" s="266"/>
      <c r="N212" s="369"/>
      <c r="O212" s="370"/>
      <c r="P212" s="371"/>
      <c r="Q212" s="370"/>
      <c r="R212" s="370"/>
      <c r="S212" s="372"/>
      <c r="T212" s="373"/>
      <c r="U212" s="374"/>
      <c r="V212" s="375"/>
      <c r="W212" s="376"/>
      <c r="X212" s="377"/>
      <c r="Y212" s="24">
        <v>16</v>
      </c>
      <c r="CX212" s="1"/>
      <c r="CY212" s="1"/>
      <c r="CZ212" s="1"/>
      <c r="DA212" s="1"/>
      <c r="DB212" s="1"/>
      <c r="DC212" s="1"/>
      <c r="DD212" s="1"/>
    </row>
    <row r="213" spans="2:108" ht="14.25" customHeight="1" x14ac:dyDescent="0.35">
      <c r="B213" s="364" t="s">
        <v>251</v>
      </c>
      <c r="C213" s="365"/>
      <c r="D213" s="366"/>
      <c r="E213" s="367"/>
      <c r="F213" s="368"/>
      <c r="G213" s="264"/>
      <c r="H213" s="265"/>
      <c r="I213" s="265"/>
      <c r="J213" s="265"/>
      <c r="K213" s="265"/>
      <c r="L213" s="265"/>
      <c r="M213" s="266"/>
      <c r="N213" s="369"/>
      <c r="O213" s="370"/>
      <c r="P213" s="371"/>
      <c r="Q213" s="370"/>
      <c r="R213" s="370"/>
      <c r="S213" s="372"/>
      <c r="T213" s="373"/>
      <c r="U213" s="374"/>
      <c r="V213" s="375"/>
      <c r="W213" s="376"/>
      <c r="X213" s="377"/>
      <c r="Y213" s="24">
        <v>17</v>
      </c>
      <c r="CX213" s="1"/>
      <c r="CY213" s="1"/>
      <c r="CZ213" s="1"/>
      <c r="DA213" s="1"/>
      <c r="DB213" s="1"/>
      <c r="DC213" s="1"/>
      <c r="DD213" s="1"/>
    </row>
    <row r="214" spans="2:108" ht="14.25" customHeight="1" x14ac:dyDescent="0.35">
      <c r="B214" s="364" t="s">
        <v>252</v>
      </c>
      <c r="C214" s="365"/>
      <c r="D214" s="366"/>
      <c r="E214" s="367"/>
      <c r="F214" s="368"/>
      <c r="G214" s="264"/>
      <c r="H214" s="265"/>
      <c r="I214" s="265"/>
      <c r="J214" s="265"/>
      <c r="K214" s="265"/>
      <c r="L214" s="265"/>
      <c r="M214" s="266"/>
      <c r="N214" s="369"/>
      <c r="O214" s="370"/>
      <c r="P214" s="371"/>
      <c r="Q214" s="370"/>
      <c r="R214" s="370"/>
      <c r="S214" s="372"/>
      <c r="T214" s="373"/>
      <c r="U214" s="374"/>
      <c r="V214" s="375"/>
      <c r="W214" s="376"/>
      <c r="X214" s="377"/>
      <c r="Y214" s="24">
        <v>18</v>
      </c>
      <c r="CX214" s="1"/>
      <c r="CY214" s="1"/>
      <c r="CZ214" s="1"/>
      <c r="DA214" s="1"/>
      <c r="DB214" s="1"/>
      <c r="DC214" s="1"/>
      <c r="DD214" s="1"/>
    </row>
    <row r="215" spans="2:108" ht="14.25" customHeight="1" x14ac:dyDescent="0.35">
      <c r="B215" s="364" t="s">
        <v>253</v>
      </c>
      <c r="C215" s="365"/>
      <c r="D215" s="366"/>
      <c r="E215" s="367"/>
      <c r="F215" s="368"/>
      <c r="G215" s="264"/>
      <c r="H215" s="265"/>
      <c r="I215" s="265"/>
      <c r="J215" s="265"/>
      <c r="K215" s="265"/>
      <c r="L215" s="265"/>
      <c r="M215" s="266"/>
      <c r="N215" s="369"/>
      <c r="O215" s="370"/>
      <c r="P215" s="371"/>
      <c r="Q215" s="370"/>
      <c r="R215" s="370"/>
      <c r="S215" s="372"/>
      <c r="T215" s="373"/>
      <c r="U215" s="374"/>
      <c r="V215" s="375"/>
      <c r="W215" s="376"/>
      <c r="X215" s="377"/>
      <c r="Y215" s="24">
        <v>19</v>
      </c>
      <c r="CX215" s="1"/>
      <c r="CY215" s="1"/>
      <c r="CZ215" s="1"/>
      <c r="DA215" s="1"/>
      <c r="DB215" s="1"/>
      <c r="DC215" s="1"/>
      <c r="DD215" s="1"/>
    </row>
    <row r="216" spans="2:108" ht="14.25" customHeight="1" x14ac:dyDescent="0.35">
      <c r="B216" s="364" t="s">
        <v>254</v>
      </c>
      <c r="C216" s="365"/>
      <c r="D216" s="366"/>
      <c r="E216" s="367"/>
      <c r="F216" s="368"/>
      <c r="G216" s="264"/>
      <c r="H216" s="265"/>
      <c r="I216" s="265"/>
      <c r="J216" s="265"/>
      <c r="K216" s="265"/>
      <c r="L216" s="265"/>
      <c r="M216" s="266"/>
      <c r="N216" s="369"/>
      <c r="O216" s="370"/>
      <c r="P216" s="371"/>
      <c r="Q216" s="370"/>
      <c r="R216" s="370"/>
      <c r="S216" s="372"/>
      <c r="T216" s="373"/>
      <c r="U216" s="374"/>
      <c r="V216" s="375"/>
      <c r="W216" s="376"/>
      <c r="X216" s="377"/>
      <c r="Y216" s="24">
        <v>20</v>
      </c>
      <c r="CX216" s="1"/>
      <c r="CY216" s="1"/>
      <c r="CZ216" s="1"/>
      <c r="DA216" s="1"/>
      <c r="DB216" s="1"/>
      <c r="DC216" s="1"/>
      <c r="DD216" s="1"/>
    </row>
    <row r="217" spans="2:108" ht="14.25" customHeight="1" x14ac:dyDescent="0.35">
      <c r="B217" s="364" t="s">
        <v>255</v>
      </c>
      <c r="C217" s="365"/>
      <c r="D217" s="366"/>
      <c r="E217" s="367"/>
      <c r="F217" s="368"/>
      <c r="G217" s="264"/>
      <c r="H217" s="265"/>
      <c r="I217" s="265"/>
      <c r="J217" s="265"/>
      <c r="K217" s="265"/>
      <c r="L217" s="265"/>
      <c r="M217" s="266"/>
      <c r="N217" s="369"/>
      <c r="O217" s="370"/>
      <c r="P217" s="371"/>
      <c r="Q217" s="370"/>
      <c r="R217" s="370"/>
      <c r="S217" s="372"/>
      <c r="T217" s="373"/>
      <c r="U217" s="374"/>
      <c r="V217" s="375"/>
      <c r="W217" s="376"/>
      <c r="X217" s="377"/>
      <c r="Y217" s="24">
        <v>21</v>
      </c>
      <c r="CX217" s="1"/>
      <c r="CY217" s="1"/>
      <c r="CZ217" s="1"/>
      <c r="DA217" s="1"/>
      <c r="DB217" s="1"/>
      <c r="DC217" s="1"/>
      <c r="DD217" s="1"/>
    </row>
    <row r="218" spans="2:108" ht="14.25" customHeight="1" x14ac:dyDescent="0.35">
      <c r="B218" s="364" t="s">
        <v>256</v>
      </c>
      <c r="C218" s="365"/>
      <c r="D218" s="366"/>
      <c r="E218" s="367"/>
      <c r="F218" s="368"/>
      <c r="G218" s="264"/>
      <c r="H218" s="265"/>
      <c r="I218" s="265"/>
      <c r="J218" s="265"/>
      <c r="K218" s="265"/>
      <c r="L218" s="265"/>
      <c r="M218" s="266"/>
      <c r="N218" s="369"/>
      <c r="O218" s="370"/>
      <c r="P218" s="371"/>
      <c r="Q218" s="370"/>
      <c r="R218" s="370"/>
      <c r="S218" s="372"/>
      <c r="T218" s="373"/>
      <c r="U218" s="374"/>
      <c r="V218" s="375"/>
      <c r="W218" s="376"/>
      <c r="X218" s="377"/>
      <c r="Y218" s="24">
        <v>22</v>
      </c>
      <c r="CX218" s="1"/>
      <c r="CY218" s="1"/>
      <c r="CZ218" s="1"/>
      <c r="DA218" s="1"/>
      <c r="DB218" s="1"/>
      <c r="DC218" s="1"/>
      <c r="DD218" s="1"/>
    </row>
    <row r="219" spans="2:108" ht="14.25" customHeight="1" x14ac:dyDescent="0.35">
      <c r="B219" s="364" t="s">
        <v>257</v>
      </c>
      <c r="C219" s="365"/>
      <c r="D219" s="366"/>
      <c r="E219" s="367"/>
      <c r="F219" s="368"/>
      <c r="G219" s="264"/>
      <c r="H219" s="265"/>
      <c r="I219" s="265"/>
      <c r="J219" s="265"/>
      <c r="K219" s="265"/>
      <c r="L219" s="265"/>
      <c r="M219" s="266"/>
      <c r="N219" s="369"/>
      <c r="O219" s="370"/>
      <c r="P219" s="371"/>
      <c r="Q219" s="370"/>
      <c r="R219" s="370"/>
      <c r="S219" s="372"/>
      <c r="T219" s="373"/>
      <c r="U219" s="374"/>
      <c r="V219" s="375"/>
      <c r="W219" s="376"/>
      <c r="X219" s="377"/>
      <c r="Y219" s="24">
        <v>23</v>
      </c>
      <c r="CX219" s="1"/>
      <c r="CY219" s="1"/>
      <c r="CZ219" s="1"/>
      <c r="DA219" s="1"/>
      <c r="DB219" s="1"/>
      <c r="DC219" s="1"/>
      <c r="DD219" s="1"/>
    </row>
    <row r="220" spans="2:108" ht="14.25" customHeight="1" x14ac:dyDescent="0.35">
      <c r="B220" s="364" t="s">
        <v>258</v>
      </c>
      <c r="C220" s="365"/>
      <c r="D220" s="366"/>
      <c r="E220" s="367"/>
      <c r="F220" s="368"/>
      <c r="G220" s="264"/>
      <c r="H220" s="265"/>
      <c r="I220" s="265"/>
      <c r="J220" s="265"/>
      <c r="K220" s="265"/>
      <c r="L220" s="265"/>
      <c r="M220" s="266"/>
      <c r="N220" s="369"/>
      <c r="O220" s="370"/>
      <c r="P220" s="371"/>
      <c r="Q220" s="370"/>
      <c r="R220" s="370"/>
      <c r="S220" s="372"/>
      <c r="T220" s="373"/>
      <c r="U220" s="374"/>
      <c r="V220" s="375"/>
      <c r="W220" s="376"/>
      <c r="X220" s="377"/>
      <c r="Y220" s="24">
        <v>24</v>
      </c>
      <c r="CX220" s="1"/>
      <c r="CY220" s="1"/>
      <c r="CZ220" s="1"/>
      <c r="DA220" s="1"/>
      <c r="DB220" s="1"/>
      <c r="DC220" s="1"/>
      <c r="DD220" s="1"/>
    </row>
    <row r="221" spans="2:108" ht="14.25" customHeight="1" x14ac:dyDescent="0.35">
      <c r="B221" s="364" t="s">
        <v>259</v>
      </c>
      <c r="C221" s="365"/>
      <c r="D221" s="366"/>
      <c r="E221" s="367"/>
      <c r="F221" s="368"/>
      <c r="G221" s="264"/>
      <c r="H221" s="265"/>
      <c r="I221" s="265"/>
      <c r="J221" s="265"/>
      <c r="K221" s="265"/>
      <c r="L221" s="265"/>
      <c r="M221" s="266"/>
      <c r="N221" s="369"/>
      <c r="O221" s="370"/>
      <c r="P221" s="371"/>
      <c r="Q221" s="370"/>
      <c r="R221" s="370"/>
      <c r="S221" s="372"/>
      <c r="T221" s="373"/>
      <c r="U221" s="374"/>
      <c r="V221" s="375"/>
      <c r="W221" s="376"/>
      <c r="X221" s="377"/>
      <c r="Y221" s="24">
        <v>25</v>
      </c>
      <c r="CX221" s="1"/>
      <c r="CY221" s="1"/>
      <c r="CZ221" s="1"/>
      <c r="DA221" s="1"/>
      <c r="DB221" s="1"/>
      <c r="DC221" s="1"/>
      <c r="DD221" s="1"/>
    </row>
    <row r="222" spans="2:108" ht="14.25" customHeight="1" x14ac:dyDescent="0.35">
      <c r="B222" s="364" t="s">
        <v>260</v>
      </c>
      <c r="C222" s="365"/>
      <c r="D222" s="366"/>
      <c r="E222" s="367"/>
      <c r="F222" s="368"/>
      <c r="G222" s="264"/>
      <c r="H222" s="265"/>
      <c r="I222" s="265"/>
      <c r="J222" s="265"/>
      <c r="K222" s="265"/>
      <c r="L222" s="265"/>
      <c r="M222" s="266"/>
      <c r="N222" s="369"/>
      <c r="O222" s="370"/>
      <c r="P222" s="371"/>
      <c r="Q222" s="370"/>
      <c r="R222" s="370"/>
      <c r="S222" s="372"/>
      <c r="T222" s="373"/>
      <c r="U222" s="374"/>
      <c r="V222" s="375"/>
      <c r="W222" s="376"/>
      <c r="X222" s="377"/>
      <c r="Y222" s="24">
        <v>26</v>
      </c>
      <c r="CX222" s="1"/>
      <c r="CY222" s="1"/>
      <c r="CZ222" s="1"/>
      <c r="DA222" s="1"/>
      <c r="DB222" s="1"/>
      <c r="DC222" s="1"/>
      <c r="DD222" s="1"/>
    </row>
    <row r="223" spans="2:108" ht="14.25" customHeight="1" x14ac:dyDescent="0.35">
      <c r="B223" s="364" t="s">
        <v>261</v>
      </c>
      <c r="C223" s="365"/>
      <c r="D223" s="366"/>
      <c r="E223" s="367"/>
      <c r="F223" s="368"/>
      <c r="G223" s="264"/>
      <c r="H223" s="265"/>
      <c r="I223" s="265"/>
      <c r="J223" s="265"/>
      <c r="K223" s="265"/>
      <c r="L223" s="265"/>
      <c r="M223" s="266"/>
      <c r="N223" s="369"/>
      <c r="O223" s="370"/>
      <c r="P223" s="371"/>
      <c r="Q223" s="370"/>
      <c r="R223" s="370"/>
      <c r="S223" s="372"/>
      <c r="T223" s="373"/>
      <c r="U223" s="374"/>
      <c r="V223" s="375"/>
      <c r="W223" s="376"/>
      <c r="X223" s="377"/>
      <c r="Y223" s="24">
        <v>27</v>
      </c>
      <c r="CX223" s="1"/>
      <c r="CY223" s="1"/>
      <c r="CZ223" s="1"/>
      <c r="DA223" s="1"/>
      <c r="DB223" s="1"/>
      <c r="DC223" s="1"/>
      <c r="DD223" s="1"/>
    </row>
    <row r="224" spans="2:108" ht="14.25" customHeight="1" x14ac:dyDescent="0.35">
      <c r="B224" s="364" t="s">
        <v>262</v>
      </c>
      <c r="C224" s="365"/>
      <c r="D224" s="366"/>
      <c r="E224" s="367"/>
      <c r="F224" s="368"/>
      <c r="G224" s="264"/>
      <c r="H224" s="265"/>
      <c r="I224" s="265"/>
      <c r="J224" s="265"/>
      <c r="K224" s="265"/>
      <c r="L224" s="265"/>
      <c r="M224" s="266"/>
      <c r="N224" s="369"/>
      <c r="O224" s="370"/>
      <c r="P224" s="371"/>
      <c r="Q224" s="370"/>
      <c r="R224" s="370"/>
      <c r="S224" s="372"/>
      <c r="T224" s="373"/>
      <c r="U224" s="374"/>
      <c r="V224" s="375"/>
      <c r="W224" s="376"/>
      <c r="X224" s="377"/>
      <c r="Y224" s="24">
        <v>28</v>
      </c>
      <c r="CX224" s="1"/>
      <c r="CY224" s="1"/>
      <c r="CZ224" s="1"/>
      <c r="DA224" s="1"/>
      <c r="DB224" s="1"/>
      <c r="DC224" s="1"/>
      <c r="DD224" s="1"/>
    </row>
    <row r="225" spans="2:108" ht="14.25" customHeight="1" x14ac:dyDescent="0.35">
      <c r="B225" s="364" t="s">
        <v>263</v>
      </c>
      <c r="C225" s="365"/>
      <c r="D225" s="366"/>
      <c r="E225" s="367"/>
      <c r="F225" s="368"/>
      <c r="G225" s="264"/>
      <c r="H225" s="265"/>
      <c r="I225" s="265"/>
      <c r="J225" s="265"/>
      <c r="K225" s="265"/>
      <c r="L225" s="265"/>
      <c r="M225" s="266"/>
      <c r="N225" s="369"/>
      <c r="O225" s="370"/>
      <c r="P225" s="371"/>
      <c r="Q225" s="370"/>
      <c r="R225" s="370"/>
      <c r="S225" s="372"/>
      <c r="T225" s="373"/>
      <c r="U225" s="374"/>
      <c r="V225" s="375"/>
      <c r="W225" s="376"/>
      <c r="X225" s="377"/>
      <c r="Y225" s="24">
        <v>29</v>
      </c>
      <c r="CX225" s="1"/>
      <c r="CY225" s="1"/>
      <c r="CZ225" s="1"/>
      <c r="DA225" s="1"/>
      <c r="DB225" s="1"/>
      <c r="DC225" s="1"/>
      <c r="DD225" s="1"/>
    </row>
    <row r="226" spans="2:108" ht="14.25" customHeight="1" x14ac:dyDescent="0.35">
      <c r="B226" s="364" t="s">
        <v>264</v>
      </c>
      <c r="C226" s="365"/>
      <c r="D226" s="366"/>
      <c r="E226" s="367"/>
      <c r="F226" s="368"/>
      <c r="G226" s="264"/>
      <c r="H226" s="265"/>
      <c r="I226" s="265"/>
      <c r="J226" s="265"/>
      <c r="K226" s="265"/>
      <c r="L226" s="265"/>
      <c r="M226" s="266"/>
      <c r="N226" s="369"/>
      <c r="O226" s="370"/>
      <c r="P226" s="371"/>
      <c r="Q226" s="370"/>
      <c r="R226" s="370"/>
      <c r="S226" s="372"/>
      <c r="T226" s="373"/>
      <c r="U226" s="374"/>
      <c r="V226" s="375"/>
      <c r="W226" s="376"/>
      <c r="X226" s="377"/>
      <c r="Y226" s="24">
        <v>30</v>
      </c>
      <c r="CX226" s="1"/>
      <c r="CY226" s="1"/>
      <c r="CZ226" s="1"/>
      <c r="DA226" s="1"/>
      <c r="DB226" s="1"/>
      <c r="DC226" s="1"/>
      <c r="DD226" s="1"/>
    </row>
    <row r="227" spans="2:108" ht="14.25" customHeight="1" x14ac:dyDescent="0.35">
      <c r="B227" s="364" t="s">
        <v>265</v>
      </c>
      <c r="C227" s="365"/>
      <c r="D227" s="366"/>
      <c r="E227" s="367"/>
      <c r="F227" s="368"/>
      <c r="G227" s="264"/>
      <c r="H227" s="265"/>
      <c r="I227" s="265"/>
      <c r="J227" s="265"/>
      <c r="K227" s="265"/>
      <c r="L227" s="265"/>
      <c r="M227" s="266"/>
      <c r="N227" s="369"/>
      <c r="O227" s="370"/>
      <c r="P227" s="371"/>
      <c r="Q227" s="370"/>
      <c r="R227" s="370"/>
      <c r="S227" s="372"/>
      <c r="T227" s="373"/>
      <c r="U227" s="374"/>
      <c r="V227" s="375"/>
      <c r="W227" s="376"/>
      <c r="X227" s="377"/>
      <c r="Y227" s="24">
        <v>31</v>
      </c>
      <c r="CX227" s="1"/>
      <c r="CY227" s="1"/>
      <c r="CZ227" s="1"/>
      <c r="DA227" s="1"/>
      <c r="DB227" s="1"/>
      <c r="DC227" s="1"/>
      <c r="DD227" s="1"/>
    </row>
    <row r="228" spans="2:108" ht="14.25" customHeight="1" x14ac:dyDescent="0.35">
      <c r="B228" s="364" t="s">
        <v>266</v>
      </c>
      <c r="C228" s="365"/>
      <c r="D228" s="366"/>
      <c r="E228" s="367"/>
      <c r="F228" s="368"/>
      <c r="G228" s="264"/>
      <c r="H228" s="265"/>
      <c r="I228" s="265"/>
      <c r="J228" s="265"/>
      <c r="K228" s="265"/>
      <c r="L228" s="265"/>
      <c r="M228" s="266"/>
      <c r="N228" s="369"/>
      <c r="O228" s="370"/>
      <c r="P228" s="371"/>
      <c r="Q228" s="370"/>
      <c r="R228" s="370"/>
      <c r="S228" s="372"/>
      <c r="T228" s="373"/>
      <c r="U228" s="374"/>
      <c r="V228" s="375"/>
      <c r="W228" s="376"/>
      <c r="X228" s="377"/>
      <c r="Y228" s="24">
        <v>32</v>
      </c>
      <c r="CX228" s="1"/>
      <c r="CY228" s="1"/>
      <c r="CZ228" s="1"/>
      <c r="DA228" s="1"/>
      <c r="DB228" s="1"/>
      <c r="DC228" s="1"/>
      <c r="DD228" s="1"/>
    </row>
    <row r="229" spans="2:108" ht="14.25" customHeight="1" x14ac:dyDescent="0.35">
      <c r="B229" s="364" t="s">
        <v>267</v>
      </c>
      <c r="C229" s="365"/>
      <c r="D229" s="366"/>
      <c r="E229" s="367"/>
      <c r="F229" s="368"/>
      <c r="G229" s="264"/>
      <c r="H229" s="265"/>
      <c r="I229" s="265"/>
      <c r="J229" s="265"/>
      <c r="K229" s="265"/>
      <c r="L229" s="265"/>
      <c r="M229" s="266"/>
      <c r="N229" s="369"/>
      <c r="O229" s="370"/>
      <c r="P229" s="371"/>
      <c r="Q229" s="370"/>
      <c r="R229" s="370"/>
      <c r="S229" s="372"/>
      <c r="T229" s="373"/>
      <c r="U229" s="374"/>
      <c r="V229" s="375"/>
      <c r="W229" s="376"/>
      <c r="X229" s="377"/>
      <c r="Y229" s="24">
        <v>33</v>
      </c>
      <c r="CX229" s="1"/>
      <c r="CY229" s="1"/>
      <c r="CZ229" s="1"/>
      <c r="DA229" s="1"/>
      <c r="DB229" s="1"/>
      <c r="DC229" s="1"/>
      <c r="DD229" s="1"/>
    </row>
    <row r="230" spans="2:108" ht="15.75" customHeight="1" x14ac:dyDescent="0.35">
      <c r="B230" s="267" t="s">
        <v>268</v>
      </c>
      <c r="C230" s="268"/>
      <c r="D230" s="269"/>
      <c r="E230" s="270"/>
      <c r="F230" s="271"/>
      <c r="G230" s="272"/>
      <c r="H230" s="273"/>
      <c r="I230" s="273"/>
      <c r="J230" s="273"/>
      <c r="K230" s="273"/>
      <c r="L230" s="273"/>
      <c r="M230" s="274"/>
      <c r="N230" s="275"/>
      <c r="O230" s="276"/>
      <c r="P230" s="277"/>
      <c r="Q230" s="276"/>
      <c r="R230" s="276"/>
      <c r="S230" s="278"/>
      <c r="T230" s="279"/>
      <c r="U230" s="280"/>
      <c r="V230" s="317"/>
      <c r="W230" s="335">
        <f>Q230*-3+T230*-1+V230*-1</f>
        <v>0</v>
      </c>
      <c r="X230" s="339"/>
      <c r="Y230" s="24">
        <v>34</v>
      </c>
      <c r="CX230" s="1"/>
      <c r="CY230" s="1"/>
      <c r="CZ230" s="1"/>
      <c r="DA230" s="1"/>
      <c r="DB230" s="1"/>
      <c r="DC230" s="1"/>
      <c r="DD230" s="1"/>
    </row>
    <row r="231" spans="2:108" ht="15.75" customHeight="1" x14ac:dyDescent="0.35">
      <c r="B231" s="267" t="s">
        <v>269</v>
      </c>
      <c r="C231" s="268"/>
      <c r="D231" s="269"/>
      <c r="E231" s="270"/>
      <c r="F231" s="271"/>
      <c r="G231" s="272"/>
      <c r="H231" s="273"/>
      <c r="I231" s="273"/>
      <c r="J231" s="273"/>
      <c r="K231" s="273"/>
      <c r="L231" s="273"/>
      <c r="M231" s="274"/>
      <c r="N231" s="275"/>
      <c r="O231" s="276"/>
      <c r="P231" s="277"/>
      <c r="Q231" s="276"/>
      <c r="R231" s="276"/>
      <c r="S231" s="278"/>
      <c r="T231" s="279"/>
      <c r="U231" s="280"/>
      <c r="V231" s="317"/>
      <c r="W231" s="335">
        <f t="shared" ref="W231:W236" si="4">Q231*-3+T231*-1+V231*-1</f>
        <v>0</v>
      </c>
      <c r="X231" s="339"/>
      <c r="Y231" s="24">
        <v>35</v>
      </c>
      <c r="CX231" s="1"/>
      <c r="CY231" s="1"/>
      <c r="CZ231" s="1"/>
      <c r="DA231" s="1"/>
      <c r="DB231" s="1"/>
      <c r="DC231" s="1"/>
      <c r="DD231" s="1"/>
    </row>
    <row r="232" spans="2:108" ht="15.75" customHeight="1" x14ac:dyDescent="0.35">
      <c r="B232" s="267" t="s">
        <v>270</v>
      </c>
      <c r="C232" s="268"/>
      <c r="D232" s="269"/>
      <c r="E232" s="270"/>
      <c r="F232" s="271"/>
      <c r="G232" s="272"/>
      <c r="H232" s="273"/>
      <c r="I232" s="273"/>
      <c r="J232" s="273"/>
      <c r="K232" s="273"/>
      <c r="L232" s="273"/>
      <c r="M232" s="274"/>
      <c r="N232" s="275"/>
      <c r="O232" s="276"/>
      <c r="P232" s="277"/>
      <c r="Q232" s="276"/>
      <c r="R232" s="276"/>
      <c r="S232" s="278"/>
      <c r="T232" s="279"/>
      <c r="U232" s="280"/>
      <c r="V232" s="317"/>
      <c r="W232" s="335">
        <f t="shared" si="4"/>
        <v>0</v>
      </c>
      <c r="X232" s="339"/>
      <c r="Y232" s="24">
        <v>36</v>
      </c>
      <c r="CX232" s="1"/>
      <c r="CY232" s="1"/>
      <c r="CZ232" s="1"/>
      <c r="DA232" s="1"/>
      <c r="DB232" s="1"/>
      <c r="DC232" s="1"/>
      <c r="DD232" s="1"/>
    </row>
    <row r="233" spans="2:108" ht="15.75" customHeight="1" x14ac:dyDescent="0.35">
      <c r="B233" s="267" t="s">
        <v>271</v>
      </c>
      <c r="C233" s="268"/>
      <c r="D233" s="269"/>
      <c r="E233" s="270"/>
      <c r="F233" s="271"/>
      <c r="G233" s="272"/>
      <c r="H233" s="273"/>
      <c r="I233" s="273"/>
      <c r="J233" s="273"/>
      <c r="K233" s="273"/>
      <c r="L233" s="273"/>
      <c r="M233" s="274"/>
      <c r="N233" s="275"/>
      <c r="O233" s="276"/>
      <c r="P233" s="277"/>
      <c r="Q233" s="276"/>
      <c r="R233" s="276"/>
      <c r="S233" s="278"/>
      <c r="T233" s="279"/>
      <c r="U233" s="280"/>
      <c r="V233" s="317"/>
      <c r="W233" s="335">
        <f t="shared" si="4"/>
        <v>0</v>
      </c>
      <c r="X233" s="339"/>
      <c r="Y233" s="24">
        <v>37</v>
      </c>
      <c r="CX233" s="1"/>
      <c r="CY233" s="1"/>
      <c r="CZ233" s="1"/>
      <c r="DA233" s="1"/>
      <c r="DB233" s="1"/>
      <c r="DC233" s="1"/>
      <c r="DD233" s="1"/>
    </row>
    <row r="234" spans="2:108" ht="15.75" customHeight="1" x14ac:dyDescent="0.35">
      <c r="B234" s="267" t="s">
        <v>272</v>
      </c>
      <c r="C234" s="268"/>
      <c r="D234" s="269"/>
      <c r="E234" s="270"/>
      <c r="F234" s="271"/>
      <c r="G234" s="272"/>
      <c r="H234" s="273"/>
      <c r="I234" s="273"/>
      <c r="J234" s="273"/>
      <c r="K234" s="273"/>
      <c r="L234" s="273"/>
      <c r="M234" s="274"/>
      <c r="N234" s="275"/>
      <c r="O234" s="276"/>
      <c r="P234" s="277"/>
      <c r="Q234" s="276"/>
      <c r="R234" s="276"/>
      <c r="S234" s="278"/>
      <c r="T234" s="279"/>
      <c r="U234" s="280"/>
      <c r="V234" s="317"/>
      <c r="W234" s="335">
        <f t="shared" si="4"/>
        <v>0</v>
      </c>
      <c r="X234" s="339"/>
      <c r="Y234" s="24">
        <v>38</v>
      </c>
      <c r="CX234" s="1"/>
      <c r="CY234" s="1"/>
      <c r="CZ234" s="1"/>
      <c r="DA234" s="1"/>
      <c r="DB234" s="1"/>
      <c r="DC234" s="1"/>
      <c r="DD234" s="1"/>
    </row>
    <row r="235" spans="2:108" ht="15.75" customHeight="1" x14ac:dyDescent="0.35">
      <c r="B235" s="267" t="s">
        <v>273</v>
      </c>
      <c r="C235" s="268"/>
      <c r="D235" s="269"/>
      <c r="E235" s="270"/>
      <c r="F235" s="271"/>
      <c r="G235" s="272"/>
      <c r="H235" s="273"/>
      <c r="I235" s="273"/>
      <c r="J235" s="273"/>
      <c r="K235" s="273"/>
      <c r="L235" s="273"/>
      <c r="M235" s="274"/>
      <c r="N235" s="275"/>
      <c r="O235" s="276"/>
      <c r="P235" s="277"/>
      <c r="Q235" s="276"/>
      <c r="R235" s="276"/>
      <c r="S235" s="278"/>
      <c r="T235" s="279"/>
      <c r="U235" s="280"/>
      <c r="V235" s="317"/>
      <c r="W235" s="335">
        <f t="shared" si="4"/>
        <v>0</v>
      </c>
      <c r="X235" s="339"/>
      <c r="Y235" s="24">
        <v>39</v>
      </c>
      <c r="CX235" s="1"/>
      <c r="CY235" s="1"/>
      <c r="CZ235" s="1"/>
      <c r="DA235" s="1"/>
      <c r="DB235" s="1"/>
      <c r="DC235" s="1"/>
      <c r="DD235" s="1"/>
    </row>
    <row r="236" spans="2:108" ht="15.75" customHeight="1" thickBot="1" x14ac:dyDescent="0.4">
      <c r="B236" s="282" t="s">
        <v>274</v>
      </c>
      <c r="C236" s="283"/>
      <c r="D236" s="284"/>
      <c r="E236" s="285"/>
      <c r="F236" s="286"/>
      <c r="G236" s="287"/>
      <c r="H236" s="288"/>
      <c r="I236" s="288"/>
      <c r="J236" s="288"/>
      <c r="K236" s="288"/>
      <c r="L236" s="288"/>
      <c r="M236" s="289"/>
      <c r="N236" s="290"/>
      <c r="O236" s="291"/>
      <c r="P236" s="292"/>
      <c r="Q236" s="291"/>
      <c r="R236" s="291"/>
      <c r="S236" s="293"/>
      <c r="T236" s="294"/>
      <c r="U236" s="295"/>
      <c r="V236" s="318"/>
      <c r="W236" s="335">
        <f t="shared" si="4"/>
        <v>0</v>
      </c>
      <c r="X236" s="340"/>
      <c r="Y236" s="24">
        <v>40</v>
      </c>
      <c r="CX236" s="1"/>
      <c r="CY236" s="1"/>
      <c r="CZ236" s="1"/>
      <c r="DA236" s="1"/>
      <c r="DB236" s="1"/>
      <c r="DC236" s="1"/>
      <c r="DD236" s="1"/>
    </row>
    <row r="237" spans="2:108" ht="15.75" customHeight="1" thickBot="1" x14ac:dyDescent="0.25">
      <c r="B237" s="171"/>
      <c r="C237" s="241"/>
      <c r="D237" s="250"/>
      <c r="E237" s="251"/>
      <c r="F237" s="252"/>
      <c r="G237" s="255"/>
      <c r="H237" s="245"/>
      <c r="I237" s="245"/>
      <c r="J237" s="245"/>
      <c r="K237" s="245"/>
      <c r="L237" s="245"/>
      <c r="M237" s="246"/>
      <c r="N237" s="257"/>
      <c r="O237" s="192">
        <f>SUM(O197:O236)</f>
        <v>0</v>
      </c>
      <c r="P237" s="191" t="e">
        <f>AVERAGE(P197:P236)</f>
        <v>#DIV/0!</v>
      </c>
      <c r="Q237" s="191"/>
      <c r="R237" s="192">
        <f>SUM(R197:R236)</f>
        <v>0</v>
      </c>
      <c r="S237" s="191" t="e">
        <f>AVERAGE(S197:S236)</f>
        <v>#DIV/0!</v>
      </c>
      <c r="T237" s="191"/>
      <c r="U237" s="253" t="e">
        <f>AVERAGE(U197:U236)</f>
        <v>#DIV/0!</v>
      </c>
      <c r="V237" s="303"/>
      <c r="W237" s="336"/>
      <c r="X237" s="341"/>
      <c r="CX237" s="1"/>
      <c r="CY237" s="1"/>
      <c r="CZ237" s="1"/>
      <c r="DA237" s="1"/>
      <c r="DB237" s="1"/>
      <c r="DC237" s="1"/>
      <c r="DD237" s="1"/>
    </row>
    <row r="238" spans="2:108" ht="15.75" customHeight="1" x14ac:dyDescent="0.2">
      <c r="B238" s="3"/>
      <c r="C238" s="3"/>
      <c r="D238" s="3"/>
      <c r="E238" s="15"/>
      <c r="F238" s="3"/>
      <c r="G238" s="3"/>
      <c r="H238" s="175"/>
      <c r="I238" s="175"/>
      <c r="J238" s="175"/>
      <c r="K238" s="175"/>
      <c r="L238" s="175"/>
      <c r="M238" s="175"/>
      <c r="N238" s="175"/>
      <c r="O238" s="175"/>
      <c r="P238" s="175"/>
      <c r="Q238" s="175"/>
      <c r="R238" s="175"/>
      <c r="S238" s="175"/>
      <c r="T238" s="175"/>
      <c r="U238" s="175"/>
      <c r="V238" s="175"/>
      <c r="W238" s="325"/>
      <c r="X238" s="175"/>
    </row>
    <row r="239" spans="2:108" ht="15.75" customHeight="1" x14ac:dyDescent="0.2">
      <c r="B239" s="3"/>
      <c r="C239" s="3"/>
      <c r="D239" s="3"/>
      <c r="E239" s="15"/>
      <c r="F239" s="3"/>
      <c r="G239" s="3"/>
      <c r="H239" s="175"/>
      <c r="I239" s="175"/>
      <c r="J239" s="175"/>
      <c r="K239" s="175"/>
      <c r="L239" s="175"/>
      <c r="M239" s="175"/>
      <c r="N239" s="175"/>
      <c r="O239" s="175"/>
      <c r="P239" s="175"/>
      <c r="Q239" s="175"/>
      <c r="R239" s="175"/>
      <c r="S239" s="175"/>
      <c r="T239" s="175"/>
      <c r="U239" s="175"/>
      <c r="V239" s="175"/>
      <c r="W239" s="325"/>
      <c r="X239" s="175"/>
    </row>
    <row r="240" spans="2:108" ht="15.75" customHeight="1" x14ac:dyDescent="0.2">
      <c r="B240" s="3"/>
      <c r="C240" s="3"/>
      <c r="D240" s="3"/>
      <c r="E240" s="15"/>
      <c r="F240" s="3"/>
      <c r="G240" s="3"/>
      <c r="H240" s="175"/>
      <c r="I240" s="175"/>
      <c r="J240" s="175"/>
      <c r="K240" s="175"/>
      <c r="L240" s="175"/>
      <c r="M240" s="175"/>
      <c r="N240" s="175"/>
      <c r="O240" s="175"/>
      <c r="P240" s="175"/>
      <c r="Q240" s="175"/>
      <c r="R240" s="175"/>
      <c r="S240" s="175"/>
      <c r="T240" s="175"/>
      <c r="U240" s="175"/>
      <c r="V240" s="175"/>
      <c r="W240" s="325"/>
      <c r="X240" s="175"/>
    </row>
    <row r="241" spans="1:108" ht="15.75" customHeight="1" x14ac:dyDescent="0.2"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326"/>
      <c r="X241" s="15"/>
    </row>
    <row r="242" spans="1:108" ht="75" customHeight="1" thickBot="1" x14ac:dyDescent="0.25">
      <c r="B242" s="17" t="s">
        <v>48</v>
      </c>
      <c r="C242" s="17"/>
    </row>
    <row r="243" spans="1:108" ht="17.25" customHeight="1" thickBot="1" x14ac:dyDescent="0.25">
      <c r="A243" s="6"/>
      <c r="B243" s="385" t="s">
        <v>1</v>
      </c>
      <c r="C243" s="387" t="s">
        <v>77</v>
      </c>
      <c r="D243" s="389" t="s">
        <v>2</v>
      </c>
      <c r="E243" s="385" t="s">
        <v>3</v>
      </c>
      <c r="F243" s="391" t="s">
        <v>111</v>
      </c>
      <c r="G243" s="213"/>
      <c r="H243" s="254" t="s">
        <v>5</v>
      </c>
      <c r="I243" s="254"/>
      <c r="J243" s="254"/>
      <c r="K243" s="254"/>
      <c r="L243" s="254"/>
      <c r="M243" s="254"/>
      <c r="N243" s="247" t="s">
        <v>6</v>
      </c>
      <c r="O243" s="248"/>
      <c r="P243" s="248"/>
      <c r="Q243" s="248"/>
      <c r="R243" s="248"/>
      <c r="S243" s="248"/>
      <c r="T243" s="248"/>
      <c r="U243" s="248"/>
      <c r="V243" s="248"/>
      <c r="W243" s="248"/>
      <c r="X243" s="249"/>
      <c r="CX243" s="1"/>
      <c r="CY243" s="1"/>
      <c r="CZ243" s="1"/>
      <c r="DA243" s="1"/>
      <c r="DB243" s="1"/>
      <c r="DC243" s="1"/>
      <c r="DD243" s="1"/>
    </row>
    <row r="244" spans="1:108" s="6" customFormat="1" ht="30.75" customHeight="1" thickBot="1" x14ac:dyDescent="0.25">
      <c r="B244" s="386"/>
      <c r="C244" s="388"/>
      <c r="D244" s="390"/>
      <c r="E244" s="386"/>
      <c r="F244" s="392"/>
      <c r="G244" s="256" t="s">
        <v>136</v>
      </c>
      <c r="H244" s="153" t="s">
        <v>137</v>
      </c>
      <c r="I244" s="153" t="s">
        <v>138</v>
      </c>
      <c r="J244" s="153" t="s">
        <v>139</v>
      </c>
      <c r="K244" s="153" t="s">
        <v>169</v>
      </c>
      <c r="L244" s="153" t="s">
        <v>171</v>
      </c>
      <c r="M244" s="258" t="s">
        <v>173</v>
      </c>
      <c r="N244" s="304" t="s">
        <v>106</v>
      </c>
      <c r="O244" s="207" t="s">
        <v>18</v>
      </c>
      <c r="P244" s="207" t="s">
        <v>19</v>
      </c>
      <c r="Q244" s="207" t="s">
        <v>110</v>
      </c>
      <c r="R244" s="207" t="s">
        <v>20</v>
      </c>
      <c r="S244" s="305" t="s">
        <v>21</v>
      </c>
      <c r="T244" s="305" t="s">
        <v>109</v>
      </c>
      <c r="U244" s="306" t="s">
        <v>22</v>
      </c>
      <c r="V244" s="315" t="s">
        <v>110</v>
      </c>
      <c r="W244" s="333" t="s">
        <v>3</v>
      </c>
      <c r="X244" s="337" t="s">
        <v>133</v>
      </c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  <c r="CF244" s="29"/>
      <c r="CG244" s="29"/>
      <c r="CH244" s="29"/>
      <c r="CI244" s="29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  <c r="CW244" s="29"/>
    </row>
    <row r="245" spans="1:108" s="6" customFormat="1" ht="17.25" customHeight="1" x14ac:dyDescent="0.35">
      <c r="A245" s="1"/>
      <c r="B245" s="259" t="s">
        <v>75</v>
      </c>
      <c r="C245" s="260"/>
      <c r="D245" s="261"/>
      <c r="E245" s="262"/>
      <c r="F245" s="263"/>
      <c r="G245" s="264"/>
      <c r="H245" s="265"/>
      <c r="I245" s="265"/>
      <c r="J245" s="265"/>
      <c r="K245" s="265"/>
      <c r="L245" s="265"/>
      <c r="M245" s="266"/>
      <c r="N245" s="308"/>
      <c r="O245" s="309"/>
      <c r="P245" s="310"/>
      <c r="Q245" s="309"/>
      <c r="R245" s="309"/>
      <c r="S245" s="311"/>
      <c r="T245" s="312"/>
      <c r="U245" s="313"/>
      <c r="V245" s="316"/>
      <c r="W245" s="334">
        <f>Q245*-3+T245*-1+V245*-1</f>
        <v>0</v>
      </c>
      <c r="X245" s="338"/>
      <c r="Y245" s="29">
        <v>1</v>
      </c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  <c r="CF245" s="29"/>
      <c r="CG245" s="29"/>
      <c r="CH245" s="29"/>
      <c r="CI245" s="29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  <c r="CW245" s="29"/>
    </row>
    <row r="246" spans="1:108" s="6" customFormat="1" ht="17.25" customHeight="1" x14ac:dyDescent="0.35">
      <c r="A246" s="1"/>
      <c r="B246" s="364" t="s">
        <v>76</v>
      </c>
      <c r="C246" s="365"/>
      <c r="D246" s="366"/>
      <c r="E246" s="367"/>
      <c r="F246" s="368"/>
      <c r="G246" s="264"/>
      <c r="H246" s="265"/>
      <c r="I246" s="265"/>
      <c r="J246" s="265"/>
      <c r="K246" s="265"/>
      <c r="L246" s="265"/>
      <c r="M246" s="266"/>
      <c r="N246" s="369"/>
      <c r="O246" s="370"/>
      <c r="P246" s="371"/>
      <c r="Q246" s="370"/>
      <c r="R246" s="370"/>
      <c r="S246" s="372"/>
      <c r="T246" s="373"/>
      <c r="U246" s="374"/>
      <c r="V246" s="375"/>
      <c r="W246" s="376"/>
      <c r="X246" s="377"/>
      <c r="Y246" s="29">
        <v>2</v>
      </c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  <c r="CF246" s="29"/>
      <c r="CG246" s="29"/>
      <c r="CH246" s="29"/>
      <c r="CI246" s="29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  <c r="CW246" s="29"/>
    </row>
    <row r="247" spans="1:108" s="6" customFormat="1" ht="17.25" customHeight="1" x14ac:dyDescent="0.35">
      <c r="A247" s="1"/>
      <c r="B247" s="364" t="s">
        <v>66</v>
      </c>
      <c r="C247" s="365"/>
      <c r="D247" s="366"/>
      <c r="E247" s="367"/>
      <c r="F247" s="368"/>
      <c r="G247" s="264"/>
      <c r="H247" s="265"/>
      <c r="I247" s="265"/>
      <c r="J247" s="265"/>
      <c r="K247" s="265"/>
      <c r="L247" s="265"/>
      <c r="M247" s="266"/>
      <c r="N247" s="369"/>
      <c r="O247" s="370"/>
      <c r="P247" s="371"/>
      <c r="Q247" s="370"/>
      <c r="R247" s="370"/>
      <c r="S247" s="372"/>
      <c r="T247" s="373"/>
      <c r="U247" s="374"/>
      <c r="V247" s="375"/>
      <c r="W247" s="376"/>
      <c r="X247" s="377"/>
      <c r="Y247" s="29">
        <v>3</v>
      </c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  <c r="CF247" s="29"/>
      <c r="CG247" s="29"/>
      <c r="CH247" s="29"/>
      <c r="CI247" s="29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  <c r="CW247" s="29"/>
    </row>
    <row r="248" spans="1:108" s="6" customFormat="1" ht="17.25" customHeight="1" x14ac:dyDescent="0.35">
      <c r="A248" s="1"/>
      <c r="B248" s="364" t="s">
        <v>67</v>
      </c>
      <c r="C248" s="365"/>
      <c r="D248" s="366"/>
      <c r="E248" s="367"/>
      <c r="F248" s="368"/>
      <c r="G248" s="264"/>
      <c r="H248" s="265"/>
      <c r="I248" s="265"/>
      <c r="J248" s="265"/>
      <c r="K248" s="265"/>
      <c r="L248" s="265"/>
      <c r="M248" s="266"/>
      <c r="N248" s="369"/>
      <c r="O248" s="370"/>
      <c r="P248" s="371"/>
      <c r="Q248" s="370"/>
      <c r="R248" s="370"/>
      <c r="S248" s="372"/>
      <c r="T248" s="373"/>
      <c r="U248" s="374"/>
      <c r="V248" s="375"/>
      <c r="W248" s="376"/>
      <c r="X248" s="377"/>
      <c r="Y248" s="29">
        <v>4</v>
      </c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  <c r="CF248" s="29"/>
      <c r="CG248" s="29"/>
      <c r="CH248" s="29"/>
      <c r="CI248" s="29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  <c r="CW248" s="29"/>
    </row>
    <row r="249" spans="1:108" s="6" customFormat="1" ht="17.25" customHeight="1" x14ac:dyDescent="0.35">
      <c r="A249" s="1"/>
      <c r="B249" s="364" t="s">
        <v>68</v>
      </c>
      <c r="C249" s="365"/>
      <c r="D249" s="366"/>
      <c r="E249" s="367"/>
      <c r="F249" s="368"/>
      <c r="G249" s="264"/>
      <c r="H249" s="265"/>
      <c r="I249" s="265"/>
      <c r="J249" s="265"/>
      <c r="K249" s="265"/>
      <c r="L249" s="265"/>
      <c r="M249" s="266"/>
      <c r="N249" s="369"/>
      <c r="O249" s="370"/>
      <c r="P249" s="371"/>
      <c r="Q249" s="370"/>
      <c r="R249" s="370"/>
      <c r="S249" s="372"/>
      <c r="T249" s="373"/>
      <c r="U249" s="374"/>
      <c r="V249" s="375"/>
      <c r="W249" s="376"/>
      <c r="X249" s="377"/>
      <c r="Y249" s="29">
        <v>5</v>
      </c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  <c r="CF249" s="29"/>
      <c r="CG249" s="29"/>
      <c r="CH249" s="29"/>
      <c r="CI249" s="29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  <c r="CW249" s="29"/>
    </row>
    <row r="250" spans="1:108" s="6" customFormat="1" ht="17.25" customHeight="1" x14ac:dyDescent="0.35">
      <c r="A250" s="1"/>
      <c r="B250" s="364" t="s">
        <v>69</v>
      </c>
      <c r="C250" s="365"/>
      <c r="D250" s="366"/>
      <c r="E250" s="367"/>
      <c r="F250" s="368"/>
      <c r="G250" s="264"/>
      <c r="H250" s="265"/>
      <c r="I250" s="265"/>
      <c r="J250" s="265"/>
      <c r="K250" s="265"/>
      <c r="L250" s="265"/>
      <c r="M250" s="266"/>
      <c r="N250" s="369"/>
      <c r="O250" s="370"/>
      <c r="P250" s="371"/>
      <c r="Q250" s="370"/>
      <c r="R250" s="370"/>
      <c r="S250" s="372"/>
      <c r="T250" s="373"/>
      <c r="U250" s="374"/>
      <c r="V250" s="375"/>
      <c r="W250" s="376"/>
      <c r="X250" s="377"/>
      <c r="Y250" s="29">
        <v>6</v>
      </c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  <c r="CF250" s="29"/>
      <c r="CG250" s="29"/>
      <c r="CH250" s="29"/>
      <c r="CI250" s="29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  <c r="CW250" s="29"/>
    </row>
    <row r="251" spans="1:108" s="6" customFormat="1" ht="17.25" customHeight="1" x14ac:dyDescent="0.35">
      <c r="A251" s="1"/>
      <c r="B251" s="364" t="s">
        <v>70</v>
      </c>
      <c r="C251" s="365"/>
      <c r="D251" s="366"/>
      <c r="E251" s="367"/>
      <c r="F251" s="368"/>
      <c r="G251" s="264"/>
      <c r="H251" s="265"/>
      <c r="I251" s="265"/>
      <c r="J251" s="265"/>
      <c r="K251" s="265"/>
      <c r="L251" s="265"/>
      <c r="M251" s="266"/>
      <c r="N251" s="369"/>
      <c r="O251" s="370"/>
      <c r="P251" s="371"/>
      <c r="Q251" s="370"/>
      <c r="R251" s="370"/>
      <c r="S251" s="372"/>
      <c r="T251" s="373"/>
      <c r="U251" s="374"/>
      <c r="V251" s="375"/>
      <c r="W251" s="376"/>
      <c r="X251" s="377"/>
      <c r="Y251" s="29">
        <v>7</v>
      </c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  <c r="CF251" s="29"/>
      <c r="CG251" s="29"/>
      <c r="CH251" s="29"/>
      <c r="CI251" s="29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  <c r="CW251" s="29"/>
    </row>
    <row r="252" spans="1:108" s="6" customFormat="1" ht="17.25" customHeight="1" x14ac:dyDescent="0.35">
      <c r="A252" s="1"/>
      <c r="B252" s="364" t="s">
        <v>71</v>
      </c>
      <c r="C252" s="365"/>
      <c r="D252" s="366"/>
      <c r="E252" s="367"/>
      <c r="F252" s="368"/>
      <c r="G252" s="264"/>
      <c r="H252" s="265"/>
      <c r="I252" s="265"/>
      <c r="J252" s="265"/>
      <c r="K252" s="265"/>
      <c r="L252" s="265"/>
      <c r="M252" s="266"/>
      <c r="N252" s="369"/>
      <c r="O252" s="370"/>
      <c r="P252" s="371"/>
      <c r="Q252" s="370"/>
      <c r="R252" s="370"/>
      <c r="S252" s="372"/>
      <c r="T252" s="373"/>
      <c r="U252" s="374"/>
      <c r="V252" s="375"/>
      <c r="W252" s="376"/>
      <c r="X252" s="377"/>
      <c r="Y252" s="29">
        <v>8</v>
      </c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  <c r="CF252" s="29"/>
      <c r="CG252" s="29"/>
      <c r="CH252" s="29"/>
      <c r="CI252" s="29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  <c r="CW252" s="29"/>
    </row>
    <row r="253" spans="1:108" s="6" customFormat="1" ht="17.25" customHeight="1" x14ac:dyDescent="0.35">
      <c r="A253" s="1"/>
      <c r="B253" s="364" t="s">
        <v>243</v>
      </c>
      <c r="C253" s="365"/>
      <c r="D253" s="366"/>
      <c r="E253" s="367"/>
      <c r="F253" s="368"/>
      <c r="G253" s="264"/>
      <c r="H253" s="265"/>
      <c r="I253" s="265"/>
      <c r="J253" s="265"/>
      <c r="K253" s="265"/>
      <c r="L253" s="265"/>
      <c r="M253" s="266"/>
      <c r="N253" s="369"/>
      <c r="O253" s="370"/>
      <c r="P253" s="371"/>
      <c r="Q253" s="370"/>
      <c r="R253" s="370"/>
      <c r="S253" s="372"/>
      <c r="T253" s="373"/>
      <c r="U253" s="374"/>
      <c r="V253" s="375"/>
      <c r="W253" s="376"/>
      <c r="X253" s="377"/>
      <c r="Y253" s="29">
        <v>9</v>
      </c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  <c r="CF253" s="29"/>
      <c r="CG253" s="29"/>
      <c r="CH253" s="29"/>
      <c r="CI253" s="29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  <c r="CW253" s="29"/>
    </row>
    <row r="254" spans="1:108" s="6" customFormat="1" ht="17.25" customHeight="1" x14ac:dyDescent="0.35">
      <c r="A254" s="1"/>
      <c r="B254" s="364" t="s">
        <v>244</v>
      </c>
      <c r="C254" s="365"/>
      <c r="D254" s="366"/>
      <c r="E254" s="367"/>
      <c r="F254" s="368"/>
      <c r="G254" s="264"/>
      <c r="H254" s="265"/>
      <c r="I254" s="265"/>
      <c r="J254" s="265"/>
      <c r="K254" s="265"/>
      <c r="L254" s="265"/>
      <c r="M254" s="266"/>
      <c r="N254" s="369"/>
      <c r="O254" s="370"/>
      <c r="P254" s="371"/>
      <c r="Q254" s="370"/>
      <c r="R254" s="370"/>
      <c r="S254" s="372"/>
      <c r="T254" s="373"/>
      <c r="U254" s="374"/>
      <c r="V254" s="375"/>
      <c r="W254" s="376"/>
      <c r="X254" s="377"/>
      <c r="Y254" s="29">
        <v>10</v>
      </c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  <c r="CW254" s="29"/>
    </row>
    <row r="255" spans="1:108" s="6" customFormat="1" ht="17.25" customHeight="1" x14ac:dyDescent="0.35">
      <c r="A255" s="1"/>
      <c r="B255" s="364" t="s">
        <v>245</v>
      </c>
      <c r="C255" s="365"/>
      <c r="D255" s="366"/>
      <c r="E255" s="367"/>
      <c r="F255" s="368"/>
      <c r="G255" s="264"/>
      <c r="H255" s="265"/>
      <c r="I255" s="265"/>
      <c r="J255" s="265"/>
      <c r="K255" s="265"/>
      <c r="L255" s="265"/>
      <c r="M255" s="266"/>
      <c r="N255" s="369"/>
      <c r="O255" s="370"/>
      <c r="P255" s="371"/>
      <c r="Q255" s="370"/>
      <c r="R255" s="370"/>
      <c r="S255" s="372"/>
      <c r="T255" s="373"/>
      <c r="U255" s="374"/>
      <c r="V255" s="375"/>
      <c r="W255" s="376"/>
      <c r="X255" s="377"/>
      <c r="Y255" s="29">
        <v>11</v>
      </c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  <c r="CF255" s="29"/>
      <c r="CG255" s="29"/>
      <c r="CH255" s="29"/>
      <c r="CI255" s="29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  <c r="CW255" s="29"/>
    </row>
    <row r="256" spans="1:108" s="6" customFormat="1" ht="17.25" customHeight="1" x14ac:dyDescent="0.35">
      <c r="A256" s="1"/>
      <c r="B256" s="364" t="s">
        <v>246</v>
      </c>
      <c r="C256" s="365"/>
      <c r="D256" s="366"/>
      <c r="E256" s="367"/>
      <c r="F256" s="368"/>
      <c r="G256" s="264"/>
      <c r="H256" s="265"/>
      <c r="I256" s="265"/>
      <c r="J256" s="265"/>
      <c r="K256" s="265"/>
      <c r="L256" s="265"/>
      <c r="M256" s="266"/>
      <c r="N256" s="369"/>
      <c r="O256" s="370"/>
      <c r="P256" s="371"/>
      <c r="Q256" s="370"/>
      <c r="R256" s="370"/>
      <c r="S256" s="372"/>
      <c r="T256" s="373"/>
      <c r="U256" s="374"/>
      <c r="V256" s="375"/>
      <c r="W256" s="376"/>
      <c r="X256" s="377"/>
      <c r="Y256" s="29">
        <v>12</v>
      </c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  <c r="CF256" s="29"/>
      <c r="CG256" s="29"/>
      <c r="CH256" s="29"/>
      <c r="CI256" s="29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  <c r="CW256" s="29"/>
    </row>
    <row r="257" spans="1:101" s="6" customFormat="1" ht="17.25" customHeight="1" x14ac:dyDescent="0.35">
      <c r="A257" s="1"/>
      <c r="B257" s="364" t="s">
        <v>247</v>
      </c>
      <c r="C257" s="365"/>
      <c r="D257" s="366"/>
      <c r="E257" s="367"/>
      <c r="F257" s="368"/>
      <c r="G257" s="264"/>
      <c r="H257" s="265"/>
      <c r="I257" s="265"/>
      <c r="J257" s="265"/>
      <c r="K257" s="265"/>
      <c r="L257" s="265"/>
      <c r="M257" s="266"/>
      <c r="N257" s="369"/>
      <c r="O257" s="370"/>
      <c r="P257" s="371"/>
      <c r="Q257" s="370"/>
      <c r="R257" s="370"/>
      <c r="S257" s="372"/>
      <c r="T257" s="373"/>
      <c r="U257" s="374"/>
      <c r="V257" s="375"/>
      <c r="W257" s="376"/>
      <c r="X257" s="377"/>
      <c r="Y257" s="29">
        <v>13</v>
      </c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  <c r="CF257" s="29"/>
      <c r="CG257" s="29"/>
      <c r="CH257" s="29"/>
      <c r="CI257" s="29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  <c r="CW257" s="29"/>
    </row>
    <row r="258" spans="1:101" s="6" customFormat="1" ht="17.25" customHeight="1" x14ac:dyDescent="0.35">
      <c r="A258" s="1"/>
      <c r="B258" s="364" t="s">
        <v>248</v>
      </c>
      <c r="C258" s="365"/>
      <c r="D258" s="366"/>
      <c r="E258" s="367"/>
      <c r="F258" s="368"/>
      <c r="G258" s="264"/>
      <c r="H258" s="265"/>
      <c r="I258" s="265"/>
      <c r="J258" s="265"/>
      <c r="K258" s="265"/>
      <c r="L258" s="265"/>
      <c r="M258" s="266"/>
      <c r="N258" s="369"/>
      <c r="O258" s="370"/>
      <c r="P258" s="371"/>
      <c r="Q258" s="370"/>
      <c r="R258" s="370"/>
      <c r="S258" s="372"/>
      <c r="T258" s="373"/>
      <c r="U258" s="374"/>
      <c r="V258" s="375"/>
      <c r="W258" s="376"/>
      <c r="X258" s="377"/>
      <c r="Y258" s="29">
        <v>14</v>
      </c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  <c r="CF258" s="29"/>
      <c r="CG258" s="29"/>
      <c r="CH258" s="29"/>
      <c r="CI258" s="29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  <c r="CW258" s="29"/>
    </row>
    <row r="259" spans="1:101" s="6" customFormat="1" ht="17.25" customHeight="1" x14ac:dyDescent="0.35">
      <c r="A259" s="1"/>
      <c r="B259" s="364" t="s">
        <v>249</v>
      </c>
      <c r="C259" s="365"/>
      <c r="D259" s="366"/>
      <c r="E259" s="367"/>
      <c r="F259" s="368"/>
      <c r="G259" s="264"/>
      <c r="H259" s="265"/>
      <c r="I259" s="265"/>
      <c r="J259" s="265"/>
      <c r="K259" s="265"/>
      <c r="L259" s="265"/>
      <c r="M259" s="266"/>
      <c r="N259" s="369"/>
      <c r="O259" s="370"/>
      <c r="P259" s="371"/>
      <c r="Q259" s="370"/>
      <c r="R259" s="370"/>
      <c r="S259" s="372"/>
      <c r="T259" s="373"/>
      <c r="U259" s="374"/>
      <c r="V259" s="375"/>
      <c r="W259" s="376"/>
      <c r="X259" s="377"/>
      <c r="Y259" s="29">
        <v>15</v>
      </c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  <c r="CF259" s="29"/>
      <c r="CG259" s="29"/>
      <c r="CH259" s="29"/>
      <c r="CI259" s="29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  <c r="CW259" s="29"/>
    </row>
    <row r="260" spans="1:101" s="6" customFormat="1" ht="17.25" customHeight="1" x14ac:dyDescent="0.35">
      <c r="A260" s="1"/>
      <c r="B260" s="364" t="s">
        <v>250</v>
      </c>
      <c r="C260" s="365"/>
      <c r="D260" s="366"/>
      <c r="E260" s="367"/>
      <c r="F260" s="368"/>
      <c r="G260" s="264"/>
      <c r="H260" s="265"/>
      <c r="I260" s="265"/>
      <c r="J260" s="265"/>
      <c r="K260" s="265"/>
      <c r="L260" s="265"/>
      <c r="M260" s="266"/>
      <c r="N260" s="369"/>
      <c r="O260" s="370"/>
      <c r="P260" s="371"/>
      <c r="Q260" s="370"/>
      <c r="R260" s="370"/>
      <c r="S260" s="372"/>
      <c r="T260" s="373"/>
      <c r="U260" s="374"/>
      <c r="V260" s="375"/>
      <c r="W260" s="376"/>
      <c r="X260" s="377"/>
      <c r="Y260" s="29">
        <v>16</v>
      </c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  <c r="CF260" s="29"/>
      <c r="CG260" s="29"/>
      <c r="CH260" s="29"/>
      <c r="CI260" s="29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  <c r="CW260" s="29"/>
    </row>
    <row r="261" spans="1:101" s="6" customFormat="1" ht="17.25" customHeight="1" x14ac:dyDescent="0.35">
      <c r="A261" s="1"/>
      <c r="B261" s="364" t="s">
        <v>251</v>
      </c>
      <c r="C261" s="365"/>
      <c r="D261" s="366"/>
      <c r="E261" s="367"/>
      <c r="F261" s="368"/>
      <c r="G261" s="264"/>
      <c r="H261" s="265"/>
      <c r="I261" s="265"/>
      <c r="J261" s="265"/>
      <c r="K261" s="265"/>
      <c r="L261" s="265"/>
      <c r="M261" s="266"/>
      <c r="N261" s="369"/>
      <c r="O261" s="370"/>
      <c r="P261" s="371"/>
      <c r="Q261" s="370"/>
      <c r="R261" s="370"/>
      <c r="S261" s="372"/>
      <c r="T261" s="373"/>
      <c r="U261" s="374"/>
      <c r="V261" s="375"/>
      <c r="W261" s="376"/>
      <c r="X261" s="377"/>
      <c r="Y261" s="29">
        <v>17</v>
      </c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  <c r="CF261" s="29"/>
      <c r="CG261" s="29"/>
      <c r="CH261" s="29"/>
      <c r="CI261" s="29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  <c r="CV261" s="29"/>
      <c r="CW261" s="29"/>
    </row>
    <row r="262" spans="1:101" s="6" customFormat="1" ht="17.25" customHeight="1" x14ac:dyDescent="0.35">
      <c r="A262" s="1"/>
      <c r="B262" s="364" t="s">
        <v>252</v>
      </c>
      <c r="C262" s="365"/>
      <c r="D262" s="366"/>
      <c r="E262" s="367"/>
      <c r="F262" s="368"/>
      <c r="G262" s="264"/>
      <c r="H262" s="265"/>
      <c r="I262" s="265"/>
      <c r="J262" s="265"/>
      <c r="K262" s="265"/>
      <c r="L262" s="265"/>
      <c r="M262" s="266"/>
      <c r="N262" s="369"/>
      <c r="O262" s="370"/>
      <c r="P262" s="371"/>
      <c r="Q262" s="370"/>
      <c r="R262" s="370"/>
      <c r="S262" s="372"/>
      <c r="T262" s="373"/>
      <c r="U262" s="374"/>
      <c r="V262" s="375"/>
      <c r="W262" s="376"/>
      <c r="X262" s="377"/>
      <c r="Y262" s="29">
        <v>18</v>
      </c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  <c r="CF262" s="29"/>
      <c r="CG262" s="29"/>
      <c r="CH262" s="29"/>
      <c r="CI262" s="29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  <c r="CV262" s="29"/>
      <c r="CW262" s="29"/>
    </row>
    <row r="263" spans="1:101" s="6" customFormat="1" ht="17.25" customHeight="1" x14ac:dyDescent="0.35">
      <c r="A263" s="1"/>
      <c r="B263" s="364" t="s">
        <v>253</v>
      </c>
      <c r="C263" s="365"/>
      <c r="D263" s="366"/>
      <c r="E263" s="367"/>
      <c r="F263" s="368"/>
      <c r="G263" s="264"/>
      <c r="H263" s="265"/>
      <c r="I263" s="265"/>
      <c r="J263" s="265"/>
      <c r="K263" s="265"/>
      <c r="L263" s="265"/>
      <c r="M263" s="266"/>
      <c r="N263" s="369"/>
      <c r="O263" s="370"/>
      <c r="P263" s="371"/>
      <c r="Q263" s="370"/>
      <c r="R263" s="370"/>
      <c r="S263" s="372"/>
      <c r="T263" s="373"/>
      <c r="U263" s="374"/>
      <c r="V263" s="375"/>
      <c r="W263" s="376"/>
      <c r="X263" s="377"/>
      <c r="Y263" s="29">
        <v>19</v>
      </c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  <c r="CF263" s="29"/>
      <c r="CG263" s="29"/>
      <c r="CH263" s="29"/>
      <c r="CI263" s="29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  <c r="CV263" s="29"/>
      <c r="CW263" s="29"/>
    </row>
    <row r="264" spans="1:101" s="6" customFormat="1" ht="17.25" customHeight="1" x14ac:dyDescent="0.35">
      <c r="A264" s="1"/>
      <c r="B264" s="364" t="s">
        <v>254</v>
      </c>
      <c r="C264" s="365"/>
      <c r="D264" s="366"/>
      <c r="E264" s="367"/>
      <c r="F264" s="368"/>
      <c r="G264" s="264"/>
      <c r="H264" s="265"/>
      <c r="I264" s="265"/>
      <c r="J264" s="265"/>
      <c r="K264" s="265"/>
      <c r="L264" s="265"/>
      <c r="M264" s="266"/>
      <c r="N264" s="369"/>
      <c r="O264" s="370"/>
      <c r="P264" s="371"/>
      <c r="Q264" s="370"/>
      <c r="R264" s="370"/>
      <c r="S264" s="372"/>
      <c r="T264" s="373"/>
      <c r="U264" s="374"/>
      <c r="V264" s="375"/>
      <c r="W264" s="376"/>
      <c r="X264" s="377"/>
      <c r="Y264" s="29">
        <v>20</v>
      </c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  <c r="CF264" s="29"/>
      <c r="CG264" s="29"/>
      <c r="CH264" s="29"/>
      <c r="CI264" s="29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  <c r="CV264" s="29"/>
      <c r="CW264" s="29"/>
    </row>
    <row r="265" spans="1:101" s="6" customFormat="1" ht="17.25" customHeight="1" x14ac:dyDescent="0.35">
      <c r="A265" s="1"/>
      <c r="B265" s="364" t="s">
        <v>255</v>
      </c>
      <c r="C265" s="365"/>
      <c r="D265" s="366"/>
      <c r="E265" s="367"/>
      <c r="F265" s="368"/>
      <c r="G265" s="264"/>
      <c r="H265" s="265"/>
      <c r="I265" s="265"/>
      <c r="J265" s="265"/>
      <c r="K265" s="265"/>
      <c r="L265" s="265"/>
      <c r="M265" s="266"/>
      <c r="N265" s="369"/>
      <c r="O265" s="370"/>
      <c r="P265" s="371"/>
      <c r="Q265" s="370"/>
      <c r="R265" s="370"/>
      <c r="S265" s="372"/>
      <c r="T265" s="373"/>
      <c r="U265" s="374"/>
      <c r="V265" s="375"/>
      <c r="W265" s="376"/>
      <c r="X265" s="377"/>
      <c r="Y265" s="29">
        <v>21</v>
      </c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  <c r="CF265" s="29"/>
      <c r="CG265" s="29"/>
      <c r="CH265" s="29"/>
      <c r="CI265" s="29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  <c r="CV265" s="29"/>
      <c r="CW265" s="29"/>
    </row>
    <row r="266" spans="1:101" s="6" customFormat="1" ht="17.25" customHeight="1" x14ac:dyDescent="0.35">
      <c r="A266" s="1"/>
      <c r="B266" s="364" t="s">
        <v>256</v>
      </c>
      <c r="C266" s="365"/>
      <c r="D266" s="366"/>
      <c r="E266" s="367"/>
      <c r="F266" s="368"/>
      <c r="G266" s="264"/>
      <c r="H266" s="265"/>
      <c r="I266" s="265"/>
      <c r="J266" s="265"/>
      <c r="K266" s="265"/>
      <c r="L266" s="265"/>
      <c r="M266" s="266"/>
      <c r="N266" s="369"/>
      <c r="O266" s="370"/>
      <c r="P266" s="371"/>
      <c r="Q266" s="370"/>
      <c r="R266" s="370"/>
      <c r="S266" s="372"/>
      <c r="T266" s="373"/>
      <c r="U266" s="374"/>
      <c r="V266" s="375"/>
      <c r="W266" s="376"/>
      <c r="X266" s="377"/>
      <c r="Y266" s="29">
        <v>22</v>
      </c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  <c r="CF266" s="29"/>
      <c r="CG266" s="29"/>
      <c r="CH266" s="29"/>
      <c r="CI266" s="29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  <c r="CV266" s="29"/>
      <c r="CW266" s="29"/>
    </row>
    <row r="267" spans="1:101" s="6" customFormat="1" ht="17.25" customHeight="1" x14ac:dyDescent="0.35">
      <c r="A267" s="1"/>
      <c r="B267" s="364" t="s">
        <v>257</v>
      </c>
      <c r="C267" s="365"/>
      <c r="D267" s="366"/>
      <c r="E267" s="367"/>
      <c r="F267" s="368"/>
      <c r="G267" s="264"/>
      <c r="H267" s="265"/>
      <c r="I267" s="265"/>
      <c r="J267" s="265"/>
      <c r="K267" s="265"/>
      <c r="L267" s="265"/>
      <c r="M267" s="266"/>
      <c r="N267" s="369"/>
      <c r="O267" s="370"/>
      <c r="P267" s="371"/>
      <c r="Q267" s="370"/>
      <c r="R267" s="370"/>
      <c r="S267" s="372"/>
      <c r="T267" s="373"/>
      <c r="U267" s="374"/>
      <c r="V267" s="375"/>
      <c r="W267" s="376"/>
      <c r="X267" s="377"/>
      <c r="Y267" s="29">
        <v>23</v>
      </c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  <c r="CF267" s="29"/>
      <c r="CG267" s="29"/>
      <c r="CH267" s="29"/>
      <c r="CI267" s="29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  <c r="CV267" s="29"/>
      <c r="CW267" s="29"/>
    </row>
    <row r="268" spans="1:101" s="6" customFormat="1" ht="17.25" customHeight="1" x14ac:dyDescent="0.35">
      <c r="A268" s="1"/>
      <c r="B268" s="364" t="s">
        <v>258</v>
      </c>
      <c r="C268" s="365"/>
      <c r="D268" s="366"/>
      <c r="E268" s="367"/>
      <c r="F268" s="368"/>
      <c r="G268" s="264"/>
      <c r="H268" s="265"/>
      <c r="I268" s="265"/>
      <c r="J268" s="265"/>
      <c r="K268" s="265"/>
      <c r="L268" s="265"/>
      <c r="M268" s="266"/>
      <c r="N268" s="369"/>
      <c r="O268" s="370"/>
      <c r="P268" s="371"/>
      <c r="Q268" s="370"/>
      <c r="R268" s="370"/>
      <c r="S268" s="372"/>
      <c r="T268" s="373"/>
      <c r="U268" s="374"/>
      <c r="V268" s="375"/>
      <c r="W268" s="376"/>
      <c r="X268" s="377"/>
      <c r="Y268" s="29">
        <v>24</v>
      </c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  <c r="CF268" s="29"/>
      <c r="CG268" s="29"/>
      <c r="CH268" s="29"/>
      <c r="CI268" s="29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  <c r="CV268" s="29"/>
      <c r="CW268" s="29"/>
    </row>
    <row r="269" spans="1:101" s="6" customFormat="1" ht="17.25" customHeight="1" x14ac:dyDescent="0.35">
      <c r="A269" s="1"/>
      <c r="B269" s="364" t="s">
        <v>259</v>
      </c>
      <c r="C269" s="365"/>
      <c r="D269" s="366"/>
      <c r="E269" s="367"/>
      <c r="F269" s="368"/>
      <c r="G269" s="264"/>
      <c r="H269" s="265"/>
      <c r="I269" s="265"/>
      <c r="J269" s="265"/>
      <c r="K269" s="265"/>
      <c r="L269" s="265"/>
      <c r="M269" s="266"/>
      <c r="N269" s="369"/>
      <c r="O269" s="370"/>
      <c r="P269" s="371"/>
      <c r="Q269" s="370"/>
      <c r="R269" s="370"/>
      <c r="S269" s="372"/>
      <c r="T269" s="373"/>
      <c r="U269" s="374"/>
      <c r="V269" s="375"/>
      <c r="W269" s="376"/>
      <c r="X269" s="377"/>
      <c r="Y269" s="29">
        <v>25</v>
      </c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  <c r="CF269" s="29"/>
      <c r="CG269" s="29"/>
      <c r="CH269" s="29"/>
      <c r="CI269" s="29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  <c r="CV269" s="29"/>
      <c r="CW269" s="29"/>
    </row>
    <row r="270" spans="1:101" s="6" customFormat="1" ht="17.25" customHeight="1" x14ac:dyDescent="0.35">
      <c r="A270" s="1"/>
      <c r="B270" s="364" t="s">
        <v>260</v>
      </c>
      <c r="C270" s="365"/>
      <c r="D270" s="366"/>
      <c r="E270" s="367"/>
      <c r="F270" s="368"/>
      <c r="G270" s="264"/>
      <c r="H270" s="265"/>
      <c r="I270" s="265"/>
      <c r="J270" s="265"/>
      <c r="K270" s="265"/>
      <c r="L270" s="265"/>
      <c r="M270" s="266"/>
      <c r="N270" s="369"/>
      <c r="O270" s="370"/>
      <c r="P270" s="371"/>
      <c r="Q270" s="370"/>
      <c r="R270" s="370"/>
      <c r="S270" s="372"/>
      <c r="T270" s="373"/>
      <c r="U270" s="374"/>
      <c r="V270" s="375"/>
      <c r="W270" s="376"/>
      <c r="X270" s="377"/>
      <c r="Y270" s="29">
        <v>26</v>
      </c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  <c r="CF270" s="29"/>
      <c r="CG270" s="29"/>
      <c r="CH270" s="29"/>
      <c r="CI270" s="29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  <c r="CV270" s="29"/>
      <c r="CW270" s="29"/>
    </row>
    <row r="271" spans="1:101" s="6" customFormat="1" ht="17.25" customHeight="1" x14ac:dyDescent="0.35">
      <c r="A271" s="1"/>
      <c r="B271" s="364" t="s">
        <v>261</v>
      </c>
      <c r="C271" s="365"/>
      <c r="D271" s="366"/>
      <c r="E271" s="367"/>
      <c r="F271" s="368"/>
      <c r="G271" s="264"/>
      <c r="H271" s="265"/>
      <c r="I271" s="265"/>
      <c r="J271" s="265"/>
      <c r="K271" s="265"/>
      <c r="L271" s="265"/>
      <c r="M271" s="266"/>
      <c r="N271" s="369"/>
      <c r="O271" s="370"/>
      <c r="P271" s="371"/>
      <c r="Q271" s="370"/>
      <c r="R271" s="370"/>
      <c r="S271" s="372"/>
      <c r="T271" s="373"/>
      <c r="U271" s="374"/>
      <c r="V271" s="375"/>
      <c r="W271" s="376"/>
      <c r="X271" s="377"/>
      <c r="Y271" s="29">
        <v>27</v>
      </c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  <c r="CF271" s="29"/>
      <c r="CG271" s="29"/>
      <c r="CH271" s="29"/>
      <c r="CI271" s="29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  <c r="CV271" s="29"/>
      <c r="CW271" s="29"/>
    </row>
    <row r="272" spans="1:101" s="6" customFormat="1" ht="17.25" customHeight="1" x14ac:dyDescent="0.35">
      <c r="A272" s="1"/>
      <c r="B272" s="364" t="s">
        <v>262</v>
      </c>
      <c r="C272" s="365"/>
      <c r="D272" s="366"/>
      <c r="E272" s="367"/>
      <c r="F272" s="368"/>
      <c r="G272" s="264"/>
      <c r="H272" s="265"/>
      <c r="I272" s="265"/>
      <c r="J272" s="265"/>
      <c r="K272" s="265"/>
      <c r="L272" s="265"/>
      <c r="M272" s="266"/>
      <c r="N272" s="369"/>
      <c r="O272" s="370"/>
      <c r="P272" s="371"/>
      <c r="Q272" s="370"/>
      <c r="R272" s="370"/>
      <c r="S272" s="372"/>
      <c r="T272" s="373"/>
      <c r="U272" s="374"/>
      <c r="V272" s="375"/>
      <c r="W272" s="376"/>
      <c r="X272" s="377"/>
      <c r="Y272" s="29">
        <v>28</v>
      </c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  <c r="CF272" s="29"/>
      <c r="CG272" s="29"/>
      <c r="CH272" s="29"/>
      <c r="CI272" s="29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  <c r="CV272" s="29"/>
      <c r="CW272" s="29"/>
    </row>
    <row r="273" spans="1:108" s="6" customFormat="1" ht="17.25" customHeight="1" x14ac:dyDescent="0.35">
      <c r="A273" s="1"/>
      <c r="B273" s="364" t="s">
        <v>263</v>
      </c>
      <c r="C273" s="365"/>
      <c r="D273" s="366"/>
      <c r="E273" s="367"/>
      <c r="F273" s="368"/>
      <c r="G273" s="264"/>
      <c r="H273" s="265"/>
      <c r="I273" s="265"/>
      <c r="J273" s="265"/>
      <c r="K273" s="265"/>
      <c r="L273" s="265"/>
      <c r="M273" s="266"/>
      <c r="N273" s="369"/>
      <c r="O273" s="370"/>
      <c r="P273" s="371"/>
      <c r="Q273" s="370"/>
      <c r="R273" s="370"/>
      <c r="S273" s="372"/>
      <c r="T273" s="373"/>
      <c r="U273" s="374"/>
      <c r="V273" s="375"/>
      <c r="W273" s="376"/>
      <c r="X273" s="377"/>
      <c r="Y273" s="29">
        <v>29</v>
      </c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  <c r="CF273" s="29"/>
      <c r="CG273" s="29"/>
      <c r="CH273" s="29"/>
      <c r="CI273" s="29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  <c r="CV273" s="29"/>
      <c r="CW273" s="29"/>
    </row>
    <row r="274" spans="1:108" s="6" customFormat="1" ht="17.25" customHeight="1" x14ac:dyDescent="0.35">
      <c r="A274" s="1"/>
      <c r="B274" s="364" t="s">
        <v>264</v>
      </c>
      <c r="C274" s="365"/>
      <c r="D274" s="366"/>
      <c r="E274" s="367"/>
      <c r="F274" s="368"/>
      <c r="G274" s="264"/>
      <c r="H274" s="265"/>
      <c r="I274" s="265"/>
      <c r="J274" s="265"/>
      <c r="K274" s="265"/>
      <c r="L274" s="265"/>
      <c r="M274" s="266"/>
      <c r="N274" s="369"/>
      <c r="O274" s="370"/>
      <c r="P274" s="371"/>
      <c r="Q274" s="370"/>
      <c r="R274" s="370"/>
      <c r="S274" s="372"/>
      <c r="T274" s="373"/>
      <c r="U274" s="374"/>
      <c r="V274" s="375"/>
      <c r="W274" s="376"/>
      <c r="X274" s="377"/>
      <c r="Y274" s="29">
        <v>30</v>
      </c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  <c r="CF274" s="29"/>
      <c r="CG274" s="29"/>
      <c r="CH274" s="29"/>
      <c r="CI274" s="29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  <c r="CV274" s="29"/>
      <c r="CW274" s="29"/>
    </row>
    <row r="275" spans="1:108" s="6" customFormat="1" ht="17.25" customHeight="1" x14ac:dyDescent="0.35">
      <c r="A275" s="1"/>
      <c r="B275" s="364" t="s">
        <v>265</v>
      </c>
      <c r="C275" s="365"/>
      <c r="D275" s="366"/>
      <c r="E275" s="367"/>
      <c r="F275" s="368"/>
      <c r="G275" s="264"/>
      <c r="H275" s="265"/>
      <c r="I275" s="265"/>
      <c r="J275" s="265"/>
      <c r="K275" s="265"/>
      <c r="L275" s="265"/>
      <c r="M275" s="266"/>
      <c r="N275" s="369"/>
      <c r="O275" s="370"/>
      <c r="P275" s="371"/>
      <c r="Q275" s="370"/>
      <c r="R275" s="370"/>
      <c r="S275" s="372"/>
      <c r="T275" s="373"/>
      <c r="U275" s="374"/>
      <c r="V275" s="375"/>
      <c r="W275" s="376"/>
      <c r="X275" s="377"/>
      <c r="Y275" s="29">
        <v>31</v>
      </c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  <c r="CF275" s="29"/>
      <c r="CG275" s="29"/>
      <c r="CH275" s="29"/>
      <c r="CI275" s="29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  <c r="CV275" s="29"/>
      <c r="CW275" s="29"/>
    </row>
    <row r="276" spans="1:108" s="6" customFormat="1" ht="17.25" customHeight="1" x14ac:dyDescent="0.35">
      <c r="A276" s="1"/>
      <c r="B276" s="364" t="s">
        <v>266</v>
      </c>
      <c r="C276" s="365"/>
      <c r="D276" s="366"/>
      <c r="E276" s="367"/>
      <c r="F276" s="368"/>
      <c r="G276" s="264"/>
      <c r="H276" s="265"/>
      <c r="I276" s="265"/>
      <c r="J276" s="265"/>
      <c r="K276" s="265"/>
      <c r="L276" s="265"/>
      <c r="M276" s="266"/>
      <c r="N276" s="369"/>
      <c r="O276" s="370"/>
      <c r="P276" s="371"/>
      <c r="Q276" s="370"/>
      <c r="R276" s="370"/>
      <c r="S276" s="372"/>
      <c r="T276" s="373"/>
      <c r="U276" s="374"/>
      <c r="V276" s="375"/>
      <c r="W276" s="376"/>
      <c r="X276" s="377"/>
      <c r="Y276" s="29">
        <v>32</v>
      </c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  <c r="CF276" s="29"/>
      <c r="CG276" s="29"/>
      <c r="CH276" s="29"/>
      <c r="CI276" s="29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  <c r="CV276" s="29"/>
      <c r="CW276" s="29"/>
    </row>
    <row r="277" spans="1:108" s="6" customFormat="1" ht="17.25" customHeight="1" x14ac:dyDescent="0.35">
      <c r="A277" s="1"/>
      <c r="B277" s="364" t="s">
        <v>267</v>
      </c>
      <c r="C277" s="365"/>
      <c r="D277" s="366"/>
      <c r="E277" s="367"/>
      <c r="F277" s="368"/>
      <c r="G277" s="264"/>
      <c r="H277" s="265"/>
      <c r="I277" s="265"/>
      <c r="J277" s="265"/>
      <c r="K277" s="265"/>
      <c r="L277" s="265"/>
      <c r="M277" s="266"/>
      <c r="N277" s="369"/>
      <c r="O277" s="370"/>
      <c r="P277" s="371"/>
      <c r="Q277" s="370"/>
      <c r="R277" s="370"/>
      <c r="S277" s="372"/>
      <c r="T277" s="373"/>
      <c r="U277" s="374"/>
      <c r="V277" s="375"/>
      <c r="W277" s="376"/>
      <c r="X277" s="377"/>
      <c r="Y277" s="29">
        <v>33</v>
      </c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  <c r="CF277" s="29"/>
      <c r="CG277" s="29"/>
      <c r="CH277" s="29"/>
      <c r="CI277" s="29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  <c r="CV277" s="29"/>
      <c r="CW277" s="29"/>
    </row>
    <row r="278" spans="1:108" ht="14.25" customHeight="1" x14ac:dyDescent="0.35">
      <c r="B278" s="267" t="s">
        <v>268</v>
      </c>
      <c r="C278" s="268"/>
      <c r="D278" s="269"/>
      <c r="E278" s="270"/>
      <c r="F278" s="271"/>
      <c r="G278" s="272"/>
      <c r="H278" s="273"/>
      <c r="I278" s="273"/>
      <c r="J278" s="273"/>
      <c r="K278" s="273"/>
      <c r="L278" s="273"/>
      <c r="M278" s="274"/>
      <c r="N278" s="275"/>
      <c r="O278" s="276"/>
      <c r="P278" s="277"/>
      <c r="Q278" s="276"/>
      <c r="R278" s="276"/>
      <c r="S278" s="278"/>
      <c r="T278" s="279"/>
      <c r="U278" s="280"/>
      <c r="V278" s="317"/>
      <c r="W278" s="335">
        <f>Q278*-3+T278*-1+V278*-1</f>
        <v>0</v>
      </c>
      <c r="X278" s="339"/>
      <c r="Y278" s="29">
        <v>34</v>
      </c>
      <c r="CX278" s="1"/>
      <c r="CY278" s="1"/>
      <c r="CZ278" s="1"/>
      <c r="DA278" s="1"/>
      <c r="DB278" s="1"/>
      <c r="DC278" s="1"/>
      <c r="DD278" s="1"/>
    </row>
    <row r="279" spans="1:108" ht="14.25" customHeight="1" x14ac:dyDescent="0.35">
      <c r="B279" s="267" t="s">
        <v>269</v>
      </c>
      <c r="C279" s="268"/>
      <c r="D279" s="269"/>
      <c r="E279" s="270"/>
      <c r="F279" s="271"/>
      <c r="G279" s="272"/>
      <c r="H279" s="273"/>
      <c r="I279" s="273"/>
      <c r="J279" s="273"/>
      <c r="K279" s="273"/>
      <c r="L279" s="273"/>
      <c r="M279" s="274"/>
      <c r="N279" s="275"/>
      <c r="O279" s="276"/>
      <c r="P279" s="277"/>
      <c r="Q279" s="276"/>
      <c r="R279" s="276"/>
      <c r="S279" s="278"/>
      <c r="T279" s="279"/>
      <c r="U279" s="280"/>
      <c r="V279" s="317"/>
      <c r="W279" s="335">
        <f t="shared" ref="W279:W284" si="5">Q279*-3+T279*-1+V279*-1</f>
        <v>0</v>
      </c>
      <c r="X279" s="339"/>
      <c r="Y279" s="29">
        <v>35</v>
      </c>
      <c r="CX279" s="1"/>
      <c r="CY279" s="1"/>
      <c r="CZ279" s="1"/>
      <c r="DA279" s="1"/>
      <c r="DB279" s="1"/>
      <c r="DC279" s="1"/>
      <c r="DD279" s="1"/>
    </row>
    <row r="280" spans="1:108" ht="14.25" customHeight="1" x14ac:dyDescent="0.35">
      <c r="B280" s="267" t="s">
        <v>270</v>
      </c>
      <c r="C280" s="268"/>
      <c r="D280" s="269"/>
      <c r="E280" s="270"/>
      <c r="F280" s="271"/>
      <c r="G280" s="272"/>
      <c r="H280" s="273"/>
      <c r="I280" s="273"/>
      <c r="J280" s="273"/>
      <c r="K280" s="273"/>
      <c r="L280" s="273"/>
      <c r="M280" s="274"/>
      <c r="N280" s="275"/>
      <c r="O280" s="276"/>
      <c r="P280" s="277"/>
      <c r="Q280" s="276"/>
      <c r="R280" s="276"/>
      <c r="S280" s="278"/>
      <c r="T280" s="279"/>
      <c r="U280" s="280"/>
      <c r="V280" s="317"/>
      <c r="W280" s="335">
        <f t="shared" si="5"/>
        <v>0</v>
      </c>
      <c r="X280" s="339"/>
      <c r="Y280" s="29">
        <v>36</v>
      </c>
      <c r="CX280" s="1"/>
      <c r="CY280" s="1"/>
      <c r="CZ280" s="1"/>
      <c r="DA280" s="1"/>
      <c r="DB280" s="1"/>
      <c r="DC280" s="1"/>
      <c r="DD280" s="1"/>
    </row>
    <row r="281" spans="1:108" ht="14.25" customHeight="1" x14ac:dyDescent="0.35">
      <c r="B281" s="267" t="s">
        <v>271</v>
      </c>
      <c r="C281" s="268"/>
      <c r="D281" s="269"/>
      <c r="E281" s="270"/>
      <c r="F281" s="271"/>
      <c r="G281" s="272"/>
      <c r="H281" s="273"/>
      <c r="I281" s="273"/>
      <c r="J281" s="273"/>
      <c r="K281" s="273"/>
      <c r="L281" s="273"/>
      <c r="M281" s="274"/>
      <c r="N281" s="275"/>
      <c r="O281" s="276"/>
      <c r="P281" s="277"/>
      <c r="Q281" s="276"/>
      <c r="R281" s="276"/>
      <c r="S281" s="278"/>
      <c r="T281" s="279"/>
      <c r="U281" s="280"/>
      <c r="V281" s="317"/>
      <c r="W281" s="335">
        <f t="shared" si="5"/>
        <v>0</v>
      </c>
      <c r="X281" s="339"/>
      <c r="Y281" s="29">
        <v>37</v>
      </c>
      <c r="CX281" s="1"/>
      <c r="CY281" s="1"/>
      <c r="CZ281" s="1"/>
      <c r="DA281" s="1"/>
      <c r="DB281" s="1"/>
      <c r="DC281" s="1"/>
      <c r="DD281" s="1"/>
    </row>
    <row r="282" spans="1:108" ht="14.25" customHeight="1" x14ac:dyDescent="0.35">
      <c r="B282" s="267" t="s">
        <v>272</v>
      </c>
      <c r="C282" s="268"/>
      <c r="D282" s="269"/>
      <c r="E282" s="270"/>
      <c r="F282" s="271"/>
      <c r="G282" s="272"/>
      <c r="H282" s="273"/>
      <c r="I282" s="273"/>
      <c r="J282" s="273"/>
      <c r="K282" s="273"/>
      <c r="L282" s="273"/>
      <c r="M282" s="274"/>
      <c r="N282" s="275"/>
      <c r="O282" s="276"/>
      <c r="P282" s="277"/>
      <c r="Q282" s="276"/>
      <c r="R282" s="276"/>
      <c r="S282" s="278"/>
      <c r="T282" s="279"/>
      <c r="U282" s="280"/>
      <c r="V282" s="317"/>
      <c r="W282" s="335">
        <f t="shared" si="5"/>
        <v>0</v>
      </c>
      <c r="X282" s="339"/>
      <c r="Y282" s="29">
        <v>38</v>
      </c>
      <c r="CX282" s="1"/>
      <c r="CY282" s="1"/>
      <c r="CZ282" s="1"/>
      <c r="DA282" s="1"/>
      <c r="DB282" s="1"/>
      <c r="DC282" s="1"/>
      <c r="DD282" s="1"/>
    </row>
    <row r="283" spans="1:108" ht="14.25" customHeight="1" x14ac:dyDescent="0.35">
      <c r="B283" s="267" t="s">
        <v>273</v>
      </c>
      <c r="C283" s="268"/>
      <c r="D283" s="269"/>
      <c r="E283" s="270"/>
      <c r="F283" s="271"/>
      <c r="G283" s="272"/>
      <c r="H283" s="273"/>
      <c r="I283" s="273"/>
      <c r="J283" s="273"/>
      <c r="K283" s="273"/>
      <c r="L283" s="273"/>
      <c r="M283" s="274"/>
      <c r="N283" s="275"/>
      <c r="O283" s="276"/>
      <c r="P283" s="277"/>
      <c r="Q283" s="276"/>
      <c r="R283" s="276"/>
      <c r="S283" s="278"/>
      <c r="T283" s="279"/>
      <c r="U283" s="280"/>
      <c r="V283" s="317"/>
      <c r="W283" s="335">
        <f t="shared" si="5"/>
        <v>0</v>
      </c>
      <c r="X283" s="339"/>
      <c r="Y283" s="29">
        <v>39</v>
      </c>
      <c r="CX283" s="1"/>
      <c r="CY283" s="1"/>
      <c r="CZ283" s="1"/>
      <c r="DA283" s="1"/>
      <c r="DB283" s="1"/>
      <c r="DC283" s="1"/>
      <c r="DD283" s="1"/>
    </row>
    <row r="284" spans="1:108" ht="14.25" customHeight="1" thickBot="1" x14ac:dyDescent="0.4">
      <c r="B284" s="282" t="s">
        <v>274</v>
      </c>
      <c r="C284" s="283"/>
      <c r="D284" s="284"/>
      <c r="E284" s="285"/>
      <c r="F284" s="286"/>
      <c r="G284" s="287"/>
      <c r="H284" s="288"/>
      <c r="I284" s="288"/>
      <c r="J284" s="288"/>
      <c r="K284" s="288"/>
      <c r="L284" s="288"/>
      <c r="M284" s="289"/>
      <c r="N284" s="290"/>
      <c r="O284" s="291"/>
      <c r="P284" s="292"/>
      <c r="Q284" s="291"/>
      <c r="R284" s="291"/>
      <c r="S284" s="293"/>
      <c r="T284" s="294"/>
      <c r="U284" s="295"/>
      <c r="V284" s="318"/>
      <c r="W284" s="335">
        <f t="shared" si="5"/>
        <v>0</v>
      </c>
      <c r="X284" s="340"/>
      <c r="Y284" s="29">
        <v>40</v>
      </c>
      <c r="CX284" s="1"/>
      <c r="CY284" s="1"/>
      <c r="CZ284" s="1"/>
      <c r="DA284" s="1"/>
      <c r="DB284" s="1"/>
      <c r="DC284" s="1"/>
      <c r="DD284" s="1"/>
    </row>
    <row r="285" spans="1:108" ht="14.25" customHeight="1" thickBot="1" x14ac:dyDescent="0.25">
      <c r="B285" s="171"/>
      <c r="C285" s="241"/>
      <c r="D285" s="250"/>
      <c r="E285" s="251"/>
      <c r="F285" s="252"/>
      <c r="G285" s="255"/>
      <c r="H285" s="245"/>
      <c r="I285" s="245"/>
      <c r="J285" s="245"/>
      <c r="K285" s="245"/>
      <c r="L285" s="245"/>
      <c r="M285" s="246"/>
      <c r="N285" s="257"/>
      <c r="O285" s="192">
        <f>SUM(O245:O284)</f>
        <v>0</v>
      </c>
      <c r="P285" s="191" t="e">
        <f>AVERAGE(P245:P284)</f>
        <v>#DIV/0!</v>
      </c>
      <c r="Q285" s="191"/>
      <c r="R285" s="192">
        <f>SUM(R245:R284)</f>
        <v>0</v>
      </c>
      <c r="S285" s="191" t="e">
        <f>AVERAGE(S245:S284)</f>
        <v>#DIV/0!</v>
      </c>
      <c r="T285" s="191"/>
      <c r="U285" s="253" t="e">
        <f>AVERAGE(U245:U284)</f>
        <v>#DIV/0!</v>
      </c>
      <c r="V285" s="303"/>
      <c r="W285" s="336"/>
      <c r="X285" s="341"/>
      <c r="CX285" s="1"/>
      <c r="CY285" s="1"/>
      <c r="CZ285" s="1"/>
      <c r="DA285" s="1"/>
      <c r="DB285" s="1"/>
      <c r="DC285" s="1"/>
      <c r="DD285" s="1"/>
    </row>
    <row r="286" spans="1:108" ht="14.25" customHeight="1" x14ac:dyDescent="0.2">
      <c r="B286" s="3"/>
      <c r="C286" s="3"/>
      <c r="D286" s="3"/>
      <c r="E286" s="15"/>
      <c r="F286" s="3"/>
      <c r="G286" s="3"/>
      <c r="H286" s="175"/>
      <c r="I286" s="175"/>
      <c r="J286" s="175"/>
      <c r="K286" s="175"/>
      <c r="L286" s="175"/>
      <c r="M286" s="175"/>
      <c r="N286" s="175"/>
      <c r="O286" s="175"/>
      <c r="P286" s="175"/>
      <c r="Q286" s="175"/>
      <c r="R286" s="175"/>
      <c r="S286" s="175"/>
      <c r="T286" s="175"/>
      <c r="U286" s="175"/>
      <c r="V286" s="175"/>
      <c r="W286" s="325"/>
      <c r="X286" s="175"/>
    </row>
    <row r="287" spans="1:108" ht="14.25" customHeight="1" x14ac:dyDescent="0.2">
      <c r="B287" s="3"/>
      <c r="C287" s="3"/>
      <c r="D287" s="3"/>
      <c r="E287" s="15"/>
      <c r="F287" s="3"/>
      <c r="G287" s="3"/>
      <c r="H287" s="175"/>
      <c r="I287" s="175"/>
      <c r="J287" s="175"/>
      <c r="K287" s="175"/>
      <c r="L287" s="175"/>
      <c r="M287" s="175"/>
      <c r="N287" s="175"/>
      <c r="O287" s="175"/>
      <c r="P287" s="175"/>
      <c r="Q287" s="175"/>
      <c r="R287" s="175"/>
      <c r="S287" s="175"/>
      <c r="T287" s="175"/>
      <c r="U287" s="175"/>
      <c r="V287" s="175"/>
      <c r="W287" s="325"/>
      <c r="X287" s="175"/>
    </row>
    <row r="288" spans="1:108" ht="14.25" customHeight="1" x14ac:dyDescent="0.2">
      <c r="B288" s="3"/>
      <c r="C288" s="3"/>
      <c r="D288" s="3"/>
      <c r="E288" s="15"/>
      <c r="F288" s="3"/>
      <c r="G288" s="3"/>
      <c r="H288" s="175"/>
      <c r="I288" s="175"/>
      <c r="J288" s="175"/>
      <c r="K288" s="175"/>
      <c r="L288" s="175"/>
      <c r="M288" s="175"/>
      <c r="N288" s="175"/>
      <c r="O288" s="175"/>
      <c r="P288" s="175"/>
      <c r="Q288" s="175"/>
      <c r="R288" s="175"/>
      <c r="S288" s="175"/>
      <c r="T288" s="175"/>
      <c r="U288" s="175"/>
      <c r="V288" s="175"/>
      <c r="W288" s="325"/>
      <c r="X288" s="175"/>
    </row>
    <row r="289" spans="1:108" ht="14.25" customHeight="1" x14ac:dyDescent="0.2"/>
    <row r="290" spans="1:108" ht="73.5" customHeight="1" thickBot="1" x14ac:dyDescent="0.25">
      <c r="B290" s="17" t="s">
        <v>49</v>
      </c>
      <c r="C290" s="17"/>
    </row>
    <row r="291" spans="1:108" ht="13.5" customHeight="1" thickBot="1" x14ac:dyDescent="0.25">
      <c r="A291" s="6"/>
      <c r="B291" s="385" t="s">
        <v>1</v>
      </c>
      <c r="C291" s="387" t="s">
        <v>77</v>
      </c>
      <c r="D291" s="389" t="s">
        <v>2</v>
      </c>
      <c r="E291" s="385" t="s">
        <v>3</v>
      </c>
      <c r="F291" s="391" t="s">
        <v>111</v>
      </c>
      <c r="G291" s="213"/>
      <c r="H291" s="254" t="s">
        <v>5</v>
      </c>
      <c r="I291" s="254"/>
      <c r="J291" s="254"/>
      <c r="K291" s="254"/>
      <c r="L291" s="254"/>
      <c r="M291" s="254"/>
      <c r="N291" s="247" t="s">
        <v>6</v>
      </c>
      <c r="O291" s="248"/>
      <c r="P291" s="248"/>
      <c r="Q291" s="248"/>
      <c r="R291" s="248"/>
      <c r="S291" s="248"/>
      <c r="T291" s="248"/>
      <c r="U291" s="248"/>
      <c r="V291" s="248"/>
      <c r="W291" s="248"/>
      <c r="X291" s="249"/>
      <c r="CX291" s="1"/>
      <c r="CY291" s="1"/>
      <c r="CZ291" s="1"/>
      <c r="DA291" s="1"/>
      <c r="DB291" s="1"/>
      <c r="DC291" s="1"/>
      <c r="DD291" s="1"/>
    </row>
    <row r="292" spans="1:108" s="6" customFormat="1" ht="29.25" customHeight="1" thickBot="1" x14ac:dyDescent="0.25">
      <c r="B292" s="386"/>
      <c r="C292" s="388"/>
      <c r="D292" s="390"/>
      <c r="E292" s="386"/>
      <c r="F292" s="392"/>
      <c r="G292" s="256" t="s">
        <v>140</v>
      </c>
      <c r="H292" s="153" t="s">
        <v>141</v>
      </c>
      <c r="I292" s="153" t="s">
        <v>142</v>
      </c>
      <c r="J292" s="153" t="s">
        <v>143</v>
      </c>
      <c r="K292" s="153" t="s">
        <v>163</v>
      </c>
      <c r="L292" s="153" t="s">
        <v>165</v>
      </c>
      <c r="M292" s="258" t="s">
        <v>167</v>
      </c>
      <c r="N292" s="342" t="s">
        <v>106</v>
      </c>
      <c r="O292" s="343" t="s">
        <v>18</v>
      </c>
      <c r="P292" s="343" t="s">
        <v>19</v>
      </c>
      <c r="Q292" s="343" t="s">
        <v>110</v>
      </c>
      <c r="R292" s="343" t="s">
        <v>20</v>
      </c>
      <c r="S292" s="344" t="s">
        <v>21</v>
      </c>
      <c r="T292" s="344" t="s">
        <v>109</v>
      </c>
      <c r="U292" s="345" t="s">
        <v>22</v>
      </c>
      <c r="V292" s="346" t="s">
        <v>110</v>
      </c>
      <c r="W292" s="347" t="s">
        <v>3</v>
      </c>
      <c r="X292" s="348" t="s">
        <v>133</v>
      </c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  <c r="CF292" s="29"/>
      <c r="CG292" s="29"/>
      <c r="CH292" s="29"/>
      <c r="CI292" s="29"/>
      <c r="CJ292" s="29"/>
      <c r="CK292" s="29"/>
      <c r="CL292" s="29"/>
      <c r="CM292" s="29"/>
      <c r="CN292" s="29"/>
      <c r="CO292" s="29"/>
      <c r="CP292" s="29"/>
      <c r="CQ292" s="29"/>
      <c r="CR292" s="29"/>
      <c r="CS292" s="29"/>
      <c r="CT292" s="29"/>
      <c r="CU292" s="29"/>
      <c r="CV292" s="29"/>
      <c r="CW292" s="29"/>
    </row>
    <row r="293" spans="1:108" s="6" customFormat="1" ht="18" customHeight="1" x14ac:dyDescent="0.35">
      <c r="A293" s="1"/>
      <c r="B293" s="259" t="s">
        <v>75</v>
      </c>
      <c r="C293" s="260"/>
      <c r="D293" s="261"/>
      <c r="E293" s="262"/>
      <c r="F293" s="263"/>
      <c r="G293" s="264"/>
      <c r="H293" s="265"/>
      <c r="I293" s="265"/>
      <c r="J293" s="265"/>
      <c r="K293" s="265"/>
      <c r="L293" s="265"/>
      <c r="M293" s="266"/>
      <c r="N293" s="308"/>
      <c r="O293" s="309"/>
      <c r="P293" s="310"/>
      <c r="Q293" s="309"/>
      <c r="R293" s="309"/>
      <c r="S293" s="311"/>
      <c r="T293" s="312"/>
      <c r="U293" s="313"/>
      <c r="V293" s="316"/>
      <c r="W293" s="334">
        <f>Q293*-3+T293*-1+V293*-1</f>
        <v>0</v>
      </c>
      <c r="X293" s="338"/>
      <c r="Y293" s="29">
        <v>1</v>
      </c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  <c r="CF293" s="29"/>
      <c r="CG293" s="29"/>
      <c r="CH293" s="29"/>
      <c r="CI293" s="29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  <c r="CV293" s="29"/>
      <c r="CW293" s="29"/>
    </row>
    <row r="294" spans="1:108" s="6" customFormat="1" ht="18" customHeight="1" x14ac:dyDescent="0.35">
      <c r="A294" s="1"/>
      <c r="B294" s="364" t="s">
        <v>76</v>
      </c>
      <c r="C294" s="365"/>
      <c r="D294" s="366"/>
      <c r="E294" s="367"/>
      <c r="F294" s="368"/>
      <c r="G294" s="264"/>
      <c r="H294" s="265"/>
      <c r="I294" s="265"/>
      <c r="J294" s="265"/>
      <c r="K294" s="265"/>
      <c r="L294" s="265"/>
      <c r="M294" s="266"/>
      <c r="N294" s="369"/>
      <c r="O294" s="370"/>
      <c r="P294" s="371"/>
      <c r="Q294" s="370"/>
      <c r="R294" s="370"/>
      <c r="S294" s="372"/>
      <c r="T294" s="373"/>
      <c r="U294" s="374"/>
      <c r="V294" s="375"/>
      <c r="W294" s="376"/>
      <c r="X294" s="377"/>
      <c r="Y294" s="29">
        <v>2</v>
      </c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  <c r="CF294" s="29"/>
      <c r="CG294" s="29"/>
      <c r="CH294" s="29"/>
      <c r="CI294" s="29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  <c r="CV294" s="29"/>
      <c r="CW294" s="29"/>
    </row>
    <row r="295" spans="1:108" s="6" customFormat="1" ht="18" customHeight="1" x14ac:dyDescent="0.35">
      <c r="A295" s="1"/>
      <c r="B295" s="364" t="s">
        <v>66</v>
      </c>
      <c r="C295" s="365"/>
      <c r="D295" s="366"/>
      <c r="E295" s="367"/>
      <c r="F295" s="368"/>
      <c r="G295" s="264"/>
      <c r="H295" s="265"/>
      <c r="I295" s="265"/>
      <c r="J295" s="265"/>
      <c r="K295" s="265"/>
      <c r="L295" s="265"/>
      <c r="M295" s="266"/>
      <c r="N295" s="369"/>
      <c r="O295" s="370"/>
      <c r="P295" s="371"/>
      <c r="Q295" s="370"/>
      <c r="R295" s="370"/>
      <c r="S295" s="372"/>
      <c r="T295" s="373"/>
      <c r="U295" s="374"/>
      <c r="V295" s="375"/>
      <c r="W295" s="376"/>
      <c r="X295" s="377"/>
      <c r="Y295" s="29">
        <v>3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  <c r="CF295" s="29"/>
      <c r="CG295" s="29"/>
      <c r="CH295" s="29"/>
      <c r="CI295" s="29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  <c r="CV295" s="29"/>
      <c r="CW295" s="29"/>
    </row>
    <row r="296" spans="1:108" s="6" customFormat="1" ht="18" customHeight="1" x14ac:dyDescent="0.35">
      <c r="A296" s="1"/>
      <c r="B296" s="364" t="s">
        <v>67</v>
      </c>
      <c r="C296" s="365"/>
      <c r="D296" s="366"/>
      <c r="E296" s="367"/>
      <c r="F296" s="368"/>
      <c r="G296" s="264"/>
      <c r="H296" s="265"/>
      <c r="I296" s="265"/>
      <c r="J296" s="265"/>
      <c r="K296" s="265"/>
      <c r="L296" s="265"/>
      <c r="M296" s="266"/>
      <c r="N296" s="369"/>
      <c r="O296" s="370"/>
      <c r="P296" s="371"/>
      <c r="Q296" s="370"/>
      <c r="R296" s="370"/>
      <c r="S296" s="372"/>
      <c r="T296" s="373"/>
      <c r="U296" s="374"/>
      <c r="V296" s="375"/>
      <c r="W296" s="376"/>
      <c r="X296" s="377"/>
      <c r="Y296" s="29">
        <v>4</v>
      </c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  <c r="CF296" s="29"/>
      <c r="CG296" s="29"/>
      <c r="CH296" s="29"/>
      <c r="CI296" s="29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  <c r="CV296" s="29"/>
      <c r="CW296" s="29"/>
    </row>
    <row r="297" spans="1:108" s="6" customFormat="1" ht="18" customHeight="1" x14ac:dyDescent="0.35">
      <c r="A297" s="1"/>
      <c r="B297" s="364" t="s">
        <v>68</v>
      </c>
      <c r="C297" s="365"/>
      <c r="D297" s="366"/>
      <c r="E297" s="367"/>
      <c r="F297" s="368"/>
      <c r="G297" s="264"/>
      <c r="H297" s="265"/>
      <c r="I297" s="265"/>
      <c r="J297" s="265"/>
      <c r="K297" s="265"/>
      <c r="L297" s="265"/>
      <c r="M297" s="266"/>
      <c r="N297" s="369"/>
      <c r="O297" s="370"/>
      <c r="P297" s="371"/>
      <c r="Q297" s="370"/>
      <c r="R297" s="370"/>
      <c r="S297" s="372"/>
      <c r="T297" s="373"/>
      <c r="U297" s="374"/>
      <c r="V297" s="375"/>
      <c r="W297" s="376"/>
      <c r="X297" s="377"/>
      <c r="Y297" s="29">
        <v>5</v>
      </c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  <c r="CF297" s="29"/>
      <c r="CG297" s="29"/>
      <c r="CH297" s="29"/>
      <c r="CI297" s="29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  <c r="CV297" s="29"/>
      <c r="CW297" s="29"/>
    </row>
    <row r="298" spans="1:108" s="6" customFormat="1" ht="18" customHeight="1" x14ac:dyDescent="0.35">
      <c r="A298" s="1"/>
      <c r="B298" s="364" t="s">
        <v>69</v>
      </c>
      <c r="C298" s="365"/>
      <c r="D298" s="366"/>
      <c r="E298" s="367"/>
      <c r="F298" s="368"/>
      <c r="G298" s="264"/>
      <c r="H298" s="265"/>
      <c r="I298" s="265"/>
      <c r="J298" s="265"/>
      <c r="K298" s="265"/>
      <c r="L298" s="265"/>
      <c r="M298" s="266"/>
      <c r="N298" s="369"/>
      <c r="O298" s="370"/>
      <c r="P298" s="371"/>
      <c r="Q298" s="370"/>
      <c r="R298" s="370"/>
      <c r="S298" s="372"/>
      <c r="T298" s="373"/>
      <c r="U298" s="374"/>
      <c r="V298" s="375"/>
      <c r="W298" s="376"/>
      <c r="X298" s="377"/>
      <c r="Y298" s="29">
        <v>6</v>
      </c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  <c r="CF298" s="29"/>
      <c r="CG298" s="29"/>
      <c r="CH298" s="29"/>
      <c r="CI298" s="29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  <c r="CV298" s="29"/>
      <c r="CW298" s="29"/>
    </row>
    <row r="299" spans="1:108" s="6" customFormat="1" ht="18" customHeight="1" x14ac:dyDescent="0.35">
      <c r="A299" s="1"/>
      <c r="B299" s="364" t="s">
        <v>70</v>
      </c>
      <c r="C299" s="365"/>
      <c r="D299" s="366"/>
      <c r="E299" s="367"/>
      <c r="F299" s="368"/>
      <c r="G299" s="264"/>
      <c r="H299" s="265"/>
      <c r="I299" s="265"/>
      <c r="J299" s="265"/>
      <c r="K299" s="265"/>
      <c r="L299" s="265"/>
      <c r="M299" s="266"/>
      <c r="N299" s="369"/>
      <c r="O299" s="370"/>
      <c r="P299" s="371"/>
      <c r="Q299" s="370"/>
      <c r="R299" s="370"/>
      <c r="S299" s="372"/>
      <c r="T299" s="373"/>
      <c r="U299" s="374"/>
      <c r="V299" s="375"/>
      <c r="W299" s="376"/>
      <c r="X299" s="377"/>
      <c r="Y299" s="29">
        <v>7</v>
      </c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  <c r="CF299" s="29"/>
      <c r="CG299" s="29"/>
      <c r="CH299" s="29"/>
      <c r="CI299" s="29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  <c r="CV299" s="29"/>
      <c r="CW299" s="29"/>
    </row>
    <row r="300" spans="1:108" s="6" customFormat="1" ht="18" customHeight="1" x14ac:dyDescent="0.35">
      <c r="A300" s="1"/>
      <c r="B300" s="364" t="s">
        <v>71</v>
      </c>
      <c r="C300" s="365"/>
      <c r="D300" s="366"/>
      <c r="E300" s="367"/>
      <c r="F300" s="368"/>
      <c r="G300" s="264"/>
      <c r="H300" s="265"/>
      <c r="I300" s="265"/>
      <c r="J300" s="265"/>
      <c r="K300" s="265"/>
      <c r="L300" s="265"/>
      <c r="M300" s="266"/>
      <c r="N300" s="369"/>
      <c r="O300" s="370"/>
      <c r="P300" s="371"/>
      <c r="Q300" s="370"/>
      <c r="R300" s="370"/>
      <c r="S300" s="372"/>
      <c r="T300" s="373"/>
      <c r="U300" s="374"/>
      <c r="V300" s="375"/>
      <c r="W300" s="376"/>
      <c r="X300" s="377"/>
      <c r="Y300" s="29">
        <v>8</v>
      </c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  <c r="CF300" s="29"/>
      <c r="CG300" s="29"/>
      <c r="CH300" s="29"/>
      <c r="CI300" s="29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  <c r="CV300" s="29"/>
      <c r="CW300" s="29"/>
    </row>
    <row r="301" spans="1:108" s="6" customFormat="1" ht="18" customHeight="1" x14ac:dyDescent="0.35">
      <c r="A301" s="1"/>
      <c r="B301" s="364" t="s">
        <v>243</v>
      </c>
      <c r="C301" s="365"/>
      <c r="D301" s="366"/>
      <c r="E301" s="367"/>
      <c r="F301" s="368"/>
      <c r="G301" s="264"/>
      <c r="H301" s="265"/>
      <c r="I301" s="265"/>
      <c r="J301" s="265"/>
      <c r="K301" s="265"/>
      <c r="L301" s="265"/>
      <c r="M301" s="266"/>
      <c r="N301" s="369"/>
      <c r="O301" s="370"/>
      <c r="P301" s="371"/>
      <c r="Q301" s="370"/>
      <c r="R301" s="370"/>
      <c r="S301" s="372"/>
      <c r="T301" s="373"/>
      <c r="U301" s="374"/>
      <c r="V301" s="375"/>
      <c r="W301" s="376"/>
      <c r="X301" s="377"/>
      <c r="Y301" s="29">
        <v>9</v>
      </c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  <c r="CF301" s="29"/>
      <c r="CG301" s="29"/>
      <c r="CH301" s="29"/>
      <c r="CI301" s="29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  <c r="CV301" s="29"/>
      <c r="CW301" s="29"/>
    </row>
    <row r="302" spans="1:108" s="6" customFormat="1" ht="18" customHeight="1" x14ac:dyDescent="0.35">
      <c r="A302" s="1"/>
      <c r="B302" s="364" t="s">
        <v>244</v>
      </c>
      <c r="C302" s="365"/>
      <c r="D302" s="366"/>
      <c r="E302" s="367"/>
      <c r="F302" s="368"/>
      <c r="G302" s="264"/>
      <c r="H302" s="265"/>
      <c r="I302" s="265"/>
      <c r="J302" s="265"/>
      <c r="K302" s="265"/>
      <c r="L302" s="265"/>
      <c r="M302" s="266"/>
      <c r="N302" s="369"/>
      <c r="O302" s="370"/>
      <c r="P302" s="371"/>
      <c r="Q302" s="370"/>
      <c r="R302" s="370"/>
      <c r="S302" s="372"/>
      <c r="T302" s="373"/>
      <c r="U302" s="374"/>
      <c r="V302" s="375"/>
      <c r="W302" s="376"/>
      <c r="X302" s="377"/>
      <c r="Y302" s="29">
        <v>10</v>
      </c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  <c r="CF302" s="29"/>
      <c r="CG302" s="29"/>
      <c r="CH302" s="29"/>
      <c r="CI302" s="29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  <c r="CV302" s="29"/>
      <c r="CW302" s="29"/>
    </row>
    <row r="303" spans="1:108" s="6" customFormat="1" ht="18" customHeight="1" x14ac:dyDescent="0.35">
      <c r="A303" s="1"/>
      <c r="B303" s="364" t="s">
        <v>245</v>
      </c>
      <c r="C303" s="365"/>
      <c r="D303" s="366"/>
      <c r="E303" s="367"/>
      <c r="F303" s="368"/>
      <c r="G303" s="264"/>
      <c r="H303" s="265"/>
      <c r="I303" s="265"/>
      <c r="J303" s="265"/>
      <c r="K303" s="265"/>
      <c r="L303" s="265"/>
      <c r="M303" s="266"/>
      <c r="N303" s="369"/>
      <c r="O303" s="370"/>
      <c r="P303" s="371"/>
      <c r="Q303" s="370"/>
      <c r="R303" s="370"/>
      <c r="S303" s="372"/>
      <c r="T303" s="373"/>
      <c r="U303" s="374"/>
      <c r="V303" s="375"/>
      <c r="W303" s="376"/>
      <c r="X303" s="377"/>
      <c r="Y303" s="29">
        <v>11</v>
      </c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  <c r="CF303" s="29"/>
      <c r="CG303" s="29"/>
      <c r="CH303" s="29"/>
      <c r="CI303" s="29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  <c r="CV303" s="29"/>
      <c r="CW303" s="29"/>
    </row>
    <row r="304" spans="1:108" s="6" customFormat="1" ht="18" customHeight="1" x14ac:dyDescent="0.35">
      <c r="A304" s="1"/>
      <c r="B304" s="364" t="s">
        <v>246</v>
      </c>
      <c r="C304" s="365"/>
      <c r="D304" s="366"/>
      <c r="E304" s="367"/>
      <c r="F304" s="368"/>
      <c r="G304" s="264"/>
      <c r="H304" s="265"/>
      <c r="I304" s="265"/>
      <c r="J304" s="265"/>
      <c r="K304" s="265"/>
      <c r="L304" s="265"/>
      <c r="M304" s="266"/>
      <c r="N304" s="369"/>
      <c r="O304" s="370"/>
      <c r="P304" s="371"/>
      <c r="Q304" s="370"/>
      <c r="R304" s="370"/>
      <c r="S304" s="372"/>
      <c r="T304" s="373"/>
      <c r="U304" s="374"/>
      <c r="V304" s="375"/>
      <c r="W304" s="376"/>
      <c r="X304" s="377"/>
      <c r="Y304" s="29">
        <v>12</v>
      </c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  <c r="CF304" s="29"/>
      <c r="CG304" s="29"/>
      <c r="CH304" s="29"/>
      <c r="CI304" s="29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  <c r="CV304" s="29"/>
      <c r="CW304" s="29"/>
    </row>
    <row r="305" spans="1:101" s="6" customFormat="1" ht="18" customHeight="1" x14ac:dyDescent="0.35">
      <c r="A305" s="1"/>
      <c r="B305" s="364" t="s">
        <v>247</v>
      </c>
      <c r="C305" s="365"/>
      <c r="D305" s="366"/>
      <c r="E305" s="367"/>
      <c r="F305" s="368"/>
      <c r="G305" s="264"/>
      <c r="H305" s="265"/>
      <c r="I305" s="265"/>
      <c r="J305" s="265"/>
      <c r="K305" s="265"/>
      <c r="L305" s="265"/>
      <c r="M305" s="266"/>
      <c r="N305" s="369"/>
      <c r="O305" s="370"/>
      <c r="P305" s="371"/>
      <c r="Q305" s="370"/>
      <c r="R305" s="370"/>
      <c r="S305" s="372"/>
      <c r="T305" s="373"/>
      <c r="U305" s="374"/>
      <c r="V305" s="375"/>
      <c r="W305" s="376"/>
      <c r="X305" s="377"/>
      <c r="Y305" s="29">
        <v>13</v>
      </c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  <c r="CF305" s="29"/>
      <c r="CG305" s="29"/>
      <c r="CH305" s="29"/>
      <c r="CI305" s="29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  <c r="CV305" s="29"/>
      <c r="CW305" s="29"/>
    </row>
    <row r="306" spans="1:101" s="6" customFormat="1" ht="18" customHeight="1" x14ac:dyDescent="0.35">
      <c r="A306" s="1"/>
      <c r="B306" s="364" t="s">
        <v>248</v>
      </c>
      <c r="C306" s="365"/>
      <c r="D306" s="366"/>
      <c r="E306" s="367"/>
      <c r="F306" s="368"/>
      <c r="G306" s="264"/>
      <c r="H306" s="265"/>
      <c r="I306" s="265"/>
      <c r="J306" s="265"/>
      <c r="K306" s="265"/>
      <c r="L306" s="265"/>
      <c r="M306" s="266"/>
      <c r="N306" s="369"/>
      <c r="O306" s="370"/>
      <c r="P306" s="371"/>
      <c r="Q306" s="370"/>
      <c r="R306" s="370"/>
      <c r="S306" s="372"/>
      <c r="T306" s="373"/>
      <c r="U306" s="374"/>
      <c r="V306" s="375"/>
      <c r="W306" s="376"/>
      <c r="X306" s="377"/>
      <c r="Y306" s="29">
        <v>14</v>
      </c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  <c r="CF306" s="29"/>
      <c r="CG306" s="29"/>
      <c r="CH306" s="29"/>
      <c r="CI306" s="29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  <c r="CV306" s="29"/>
      <c r="CW306" s="29"/>
    </row>
    <row r="307" spans="1:101" s="6" customFormat="1" ht="18" customHeight="1" x14ac:dyDescent="0.35">
      <c r="A307" s="1"/>
      <c r="B307" s="364" t="s">
        <v>249</v>
      </c>
      <c r="C307" s="365"/>
      <c r="D307" s="366"/>
      <c r="E307" s="367"/>
      <c r="F307" s="368"/>
      <c r="G307" s="264"/>
      <c r="H307" s="265"/>
      <c r="I307" s="265"/>
      <c r="J307" s="265"/>
      <c r="K307" s="265"/>
      <c r="L307" s="265"/>
      <c r="M307" s="266"/>
      <c r="N307" s="369"/>
      <c r="O307" s="370"/>
      <c r="P307" s="371"/>
      <c r="Q307" s="370"/>
      <c r="R307" s="370"/>
      <c r="S307" s="372"/>
      <c r="T307" s="373"/>
      <c r="U307" s="374"/>
      <c r="V307" s="375"/>
      <c r="W307" s="376"/>
      <c r="X307" s="377"/>
      <c r="Y307" s="29">
        <v>15</v>
      </c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  <c r="CF307" s="29"/>
      <c r="CG307" s="29"/>
      <c r="CH307" s="29"/>
      <c r="CI307" s="29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  <c r="CV307" s="29"/>
      <c r="CW307" s="29"/>
    </row>
    <row r="308" spans="1:101" s="6" customFormat="1" ht="18" customHeight="1" x14ac:dyDescent="0.35">
      <c r="A308" s="1"/>
      <c r="B308" s="364" t="s">
        <v>250</v>
      </c>
      <c r="C308" s="365"/>
      <c r="D308" s="366"/>
      <c r="E308" s="367"/>
      <c r="F308" s="368"/>
      <c r="G308" s="264"/>
      <c r="H308" s="265"/>
      <c r="I308" s="265"/>
      <c r="J308" s="265"/>
      <c r="K308" s="265"/>
      <c r="L308" s="265"/>
      <c r="M308" s="266"/>
      <c r="N308" s="369"/>
      <c r="O308" s="370"/>
      <c r="P308" s="371"/>
      <c r="Q308" s="370"/>
      <c r="R308" s="370"/>
      <c r="S308" s="372"/>
      <c r="T308" s="373"/>
      <c r="U308" s="374"/>
      <c r="V308" s="375"/>
      <c r="W308" s="376"/>
      <c r="X308" s="377"/>
      <c r="Y308" s="29">
        <v>16</v>
      </c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  <c r="CF308" s="29"/>
      <c r="CG308" s="29"/>
      <c r="CH308" s="29"/>
      <c r="CI308" s="29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  <c r="CV308" s="29"/>
      <c r="CW308" s="29"/>
    </row>
    <row r="309" spans="1:101" s="6" customFormat="1" ht="18" customHeight="1" x14ac:dyDescent="0.35">
      <c r="A309" s="1"/>
      <c r="B309" s="364" t="s">
        <v>251</v>
      </c>
      <c r="C309" s="365"/>
      <c r="D309" s="366"/>
      <c r="E309" s="367"/>
      <c r="F309" s="368"/>
      <c r="G309" s="264"/>
      <c r="H309" s="265"/>
      <c r="I309" s="265"/>
      <c r="J309" s="265"/>
      <c r="K309" s="265"/>
      <c r="L309" s="265"/>
      <c r="M309" s="266"/>
      <c r="N309" s="369"/>
      <c r="O309" s="370"/>
      <c r="P309" s="371"/>
      <c r="Q309" s="370"/>
      <c r="R309" s="370"/>
      <c r="S309" s="372"/>
      <c r="T309" s="373"/>
      <c r="U309" s="374"/>
      <c r="V309" s="375"/>
      <c r="W309" s="376"/>
      <c r="X309" s="377"/>
      <c r="Y309" s="29">
        <v>17</v>
      </c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  <c r="CF309" s="29"/>
      <c r="CG309" s="29"/>
      <c r="CH309" s="29"/>
      <c r="CI309" s="29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  <c r="CV309" s="29"/>
      <c r="CW309" s="29"/>
    </row>
    <row r="310" spans="1:101" s="6" customFormat="1" ht="18" customHeight="1" x14ac:dyDescent="0.35">
      <c r="A310" s="1"/>
      <c r="B310" s="364" t="s">
        <v>252</v>
      </c>
      <c r="C310" s="365"/>
      <c r="D310" s="366"/>
      <c r="E310" s="367"/>
      <c r="F310" s="368"/>
      <c r="G310" s="264"/>
      <c r="H310" s="265"/>
      <c r="I310" s="265"/>
      <c r="J310" s="265"/>
      <c r="K310" s="265"/>
      <c r="L310" s="265"/>
      <c r="M310" s="266"/>
      <c r="N310" s="369"/>
      <c r="O310" s="370"/>
      <c r="P310" s="371"/>
      <c r="Q310" s="370"/>
      <c r="R310" s="370"/>
      <c r="S310" s="372"/>
      <c r="T310" s="373"/>
      <c r="U310" s="374"/>
      <c r="V310" s="375"/>
      <c r="W310" s="376"/>
      <c r="X310" s="377"/>
      <c r="Y310" s="29">
        <v>18</v>
      </c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  <c r="CF310" s="29"/>
      <c r="CG310" s="29"/>
      <c r="CH310" s="29"/>
      <c r="CI310" s="29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  <c r="CV310" s="29"/>
      <c r="CW310" s="29"/>
    </row>
    <row r="311" spans="1:101" s="6" customFormat="1" ht="18" customHeight="1" x14ac:dyDescent="0.35">
      <c r="A311" s="1"/>
      <c r="B311" s="364" t="s">
        <v>253</v>
      </c>
      <c r="C311" s="365"/>
      <c r="D311" s="366"/>
      <c r="E311" s="367"/>
      <c r="F311" s="368"/>
      <c r="G311" s="264"/>
      <c r="H311" s="265"/>
      <c r="I311" s="265"/>
      <c r="J311" s="265"/>
      <c r="K311" s="265"/>
      <c r="L311" s="265"/>
      <c r="M311" s="266"/>
      <c r="N311" s="369"/>
      <c r="O311" s="370"/>
      <c r="P311" s="371"/>
      <c r="Q311" s="370"/>
      <c r="R311" s="370"/>
      <c r="S311" s="372"/>
      <c r="T311" s="373"/>
      <c r="U311" s="374"/>
      <c r="V311" s="375"/>
      <c r="W311" s="376"/>
      <c r="X311" s="377"/>
      <c r="Y311" s="29">
        <v>19</v>
      </c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  <c r="CF311" s="29"/>
      <c r="CG311" s="29"/>
      <c r="CH311" s="29"/>
      <c r="CI311" s="29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  <c r="CV311" s="29"/>
      <c r="CW311" s="29"/>
    </row>
    <row r="312" spans="1:101" s="6" customFormat="1" ht="18" customHeight="1" x14ac:dyDescent="0.35">
      <c r="A312" s="1"/>
      <c r="B312" s="364" t="s">
        <v>254</v>
      </c>
      <c r="C312" s="365"/>
      <c r="D312" s="366"/>
      <c r="E312" s="367"/>
      <c r="F312" s="368"/>
      <c r="G312" s="264"/>
      <c r="H312" s="265"/>
      <c r="I312" s="265"/>
      <c r="J312" s="265"/>
      <c r="K312" s="265"/>
      <c r="L312" s="265"/>
      <c r="M312" s="266"/>
      <c r="N312" s="369"/>
      <c r="O312" s="370"/>
      <c r="P312" s="371"/>
      <c r="Q312" s="370"/>
      <c r="R312" s="370"/>
      <c r="S312" s="372"/>
      <c r="T312" s="373"/>
      <c r="U312" s="374"/>
      <c r="V312" s="375"/>
      <c r="W312" s="376"/>
      <c r="X312" s="377"/>
      <c r="Y312" s="29">
        <v>20</v>
      </c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  <c r="CF312" s="29"/>
      <c r="CG312" s="29"/>
      <c r="CH312" s="29"/>
      <c r="CI312" s="29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  <c r="CV312" s="29"/>
      <c r="CW312" s="29"/>
    </row>
    <row r="313" spans="1:101" s="6" customFormat="1" ht="18" customHeight="1" x14ac:dyDescent="0.35">
      <c r="A313" s="1"/>
      <c r="B313" s="364" t="s">
        <v>255</v>
      </c>
      <c r="C313" s="365"/>
      <c r="D313" s="366"/>
      <c r="E313" s="367"/>
      <c r="F313" s="368"/>
      <c r="G313" s="264"/>
      <c r="H313" s="265"/>
      <c r="I313" s="265"/>
      <c r="J313" s="265"/>
      <c r="K313" s="265"/>
      <c r="L313" s="265"/>
      <c r="M313" s="266"/>
      <c r="N313" s="369"/>
      <c r="O313" s="370"/>
      <c r="P313" s="371"/>
      <c r="Q313" s="370"/>
      <c r="R313" s="370"/>
      <c r="S313" s="372"/>
      <c r="T313" s="373"/>
      <c r="U313" s="374"/>
      <c r="V313" s="375"/>
      <c r="W313" s="376"/>
      <c r="X313" s="377"/>
      <c r="Y313" s="29">
        <v>21</v>
      </c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  <c r="CF313" s="29"/>
      <c r="CG313" s="29"/>
      <c r="CH313" s="29"/>
      <c r="CI313" s="29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  <c r="CV313" s="29"/>
      <c r="CW313" s="29"/>
    </row>
    <row r="314" spans="1:101" s="6" customFormat="1" ht="18" customHeight="1" x14ac:dyDescent="0.35">
      <c r="A314" s="1"/>
      <c r="B314" s="364" t="s">
        <v>256</v>
      </c>
      <c r="C314" s="365"/>
      <c r="D314" s="366"/>
      <c r="E314" s="367"/>
      <c r="F314" s="368"/>
      <c r="G314" s="264"/>
      <c r="H314" s="265"/>
      <c r="I314" s="265"/>
      <c r="J314" s="265"/>
      <c r="K314" s="265"/>
      <c r="L314" s="265"/>
      <c r="M314" s="266"/>
      <c r="N314" s="369"/>
      <c r="O314" s="370"/>
      <c r="P314" s="371"/>
      <c r="Q314" s="370"/>
      <c r="R314" s="370"/>
      <c r="S314" s="372"/>
      <c r="T314" s="373"/>
      <c r="U314" s="374"/>
      <c r="V314" s="375"/>
      <c r="W314" s="376"/>
      <c r="X314" s="377"/>
      <c r="Y314" s="29">
        <v>22</v>
      </c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  <c r="CF314" s="29"/>
      <c r="CG314" s="29"/>
      <c r="CH314" s="29"/>
      <c r="CI314" s="29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  <c r="CV314" s="29"/>
      <c r="CW314" s="29"/>
    </row>
    <row r="315" spans="1:101" s="6" customFormat="1" ht="18" customHeight="1" x14ac:dyDescent="0.35">
      <c r="A315" s="1"/>
      <c r="B315" s="364" t="s">
        <v>257</v>
      </c>
      <c r="C315" s="365"/>
      <c r="D315" s="366"/>
      <c r="E315" s="367"/>
      <c r="F315" s="368"/>
      <c r="G315" s="264"/>
      <c r="H315" s="265"/>
      <c r="I315" s="265"/>
      <c r="J315" s="265"/>
      <c r="K315" s="265"/>
      <c r="L315" s="265"/>
      <c r="M315" s="266"/>
      <c r="N315" s="369"/>
      <c r="O315" s="370"/>
      <c r="P315" s="371"/>
      <c r="Q315" s="370"/>
      <c r="R315" s="370"/>
      <c r="S315" s="372"/>
      <c r="T315" s="373"/>
      <c r="U315" s="374"/>
      <c r="V315" s="375"/>
      <c r="W315" s="376"/>
      <c r="X315" s="377"/>
      <c r="Y315" s="29">
        <v>23</v>
      </c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  <c r="CF315" s="29"/>
      <c r="CG315" s="29"/>
      <c r="CH315" s="29"/>
      <c r="CI315" s="29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  <c r="CV315" s="29"/>
      <c r="CW315" s="29"/>
    </row>
    <row r="316" spans="1:101" s="6" customFormat="1" ht="18" customHeight="1" x14ac:dyDescent="0.35">
      <c r="A316" s="1"/>
      <c r="B316" s="364" t="s">
        <v>258</v>
      </c>
      <c r="C316" s="365"/>
      <c r="D316" s="366"/>
      <c r="E316" s="367"/>
      <c r="F316" s="368"/>
      <c r="G316" s="264"/>
      <c r="H316" s="265"/>
      <c r="I316" s="265"/>
      <c r="J316" s="265"/>
      <c r="K316" s="265"/>
      <c r="L316" s="265"/>
      <c r="M316" s="266"/>
      <c r="N316" s="369"/>
      <c r="O316" s="370"/>
      <c r="P316" s="371"/>
      <c r="Q316" s="370"/>
      <c r="R316" s="370"/>
      <c r="S316" s="372"/>
      <c r="T316" s="373"/>
      <c r="U316" s="374"/>
      <c r="V316" s="375"/>
      <c r="W316" s="376"/>
      <c r="X316" s="377"/>
      <c r="Y316" s="29">
        <v>24</v>
      </c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  <c r="CF316" s="29"/>
      <c r="CG316" s="29"/>
      <c r="CH316" s="29"/>
      <c r="CI316" s="29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  <c r="CV316" s="29"/>
      <c r="CW316" s="29"/>
    </row>
    <row r="317" spans="1:101" s="6" customFormat="1" ht="18" customHeight="1" x14ac:dyDescent="0.35">
      <c r="A317" s="1"/>
      <c r="B317" s="364" t="s">
        <v>259</v>
      </c>
      <c r="C317" s="365"/>
      <c r="D317" s="366"/>
      <c r="E317" s="367"/>
      <c r="F317" s="368"/>
      <c r="G317" s="264"/>
      <c r="H317" s="265"/>
      <c r="I317" s="265"/>
      <c r="J317" s="265"/>
      <c r="K317" s="265"/>
      <c r="L317" s="265"/>
      <c r="M317" s="266"/>
      <c r="N317" s="369"/>
      <c r="O317" s="370"/>
      <c r="P317" s="371"/>
      <c r="Q317" s="370"/>
      <c r="R317" s="370"/>
      <c r="S317" s="372"/>
      <c r="T317" s="373"/>
      <c r="U317" s="374"/>
      <c r="V317" s="375"/>
      <c r="W317" s="376"/>
      <c r="X317" s="377"/>
      <c r="Y317" s="29">
        <v>25</v>
      </c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  <c r="CF317" s="29"/>
      <c r="CG317" s="29"/>
      <c r="CH317" s="29"/>
      <c r="CI317" s="29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  <c r="CV317" s="29"/>
      <c r="CW317" s="29"/>
    </row>
    <row r="318" spans="1:101" s="6" customFormat="1" ht="18" customHeight="1" x14ac:dyDescent="0.35">
      <c r="A318" s="1"/>
      <c r="B318" s="364" t="s">
        <v>260</v>
      </c>
      <c r="C318" s="365"/>
      <c r="D318" s="366"/>
      <c r="E318" s="367"/>
      <c r="F318" s="368"/>
      <c r="G318" s="264"/>
      <c r="H318" s="265"/>
      <c r="I318" s="265"/>
      <c r="J318" s="265"/>
      <c r="K318" s="265"/>
      <c r="L318" s="265"/>
      <c r="M318" s="266"/>
      <c r="N318" s="369"/>
      <c r="O318" s="370"/>
      <c r="P318" s="371"/>
      <c r="Q318" s="370"/>
      <c r="R318" s="370"/>
      <c r="S318" s="372"/>
      <c r="T318" s="373"/>
      <c r="U318" s="374"/>
      <c r="V318" s="375"/>
      <c r="W318" s="376"/>
      <c r="X318" s="377"/>
      <c r="Y318" s="29">
        <v>26</v>
      </c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  <c r="CF318" s="29"/>
      <c r="CG318" s="29"/>
      <c r="CH318" s="29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  <c r="CV318" s="29"/>
      <c r="CW318" s="29"/>
    </row>
    <row r="319" spans="1:101" s="6" customFormat="1" ht="18" customHeight="1" x14ac:dyDescent="0.35">
      <c r="A319" s="1"/>
      <c r="B319" s="364" t="s">
        <v>261</v>
      </c>
      <c r="C319" s="365"/>
      <c r="D319" s="366"/>
      <c r="E319" s="367"/>
      <c r="F319" s="368"/>
      <c r="G319" s="264"/>
      <c r="H319" s="265"/>
      <c r="I319" s="265"/>
      <c r="J319" s="265"/>
      <c r="K319" s="265"/>
      <c r="L319" s="265"/>
      <c r="M319" s="266"/>
      <c r="N319" s="369"/>
      <c r="O319" s="370"/>
      <c r="P319" s="371"/>
      <c r="Q319" s="370"/>
      <c r="R319" s="370"/>
      <c r="S319" s="372"/>
      <c r="T319" s="373"/>
      <c r="U319" s="374"/>
      <c r="V319" s="375"/>
      <c r="W319" s="376"/>
      <c r="X319" s="377"/>
      <c r="Y319" s="29">
        <v>27</v>
      </c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  <c r="CF319" s="29"/>
      <c r="CG319" s="29"/>
      <c r="CH319" s="29"/>
      <c r="CI319" s="29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  <c r="CV319" s="29"/>
      <c r="CW319" s="29"/>
    </row>
    <row r="320" spans="1:101" s="6" customFormat="1" ht="18" customHeight="1" x14ac:dyDescent="0.35">
      <c r="A320" s="1"/>
      <c r="B320" s="364" t="s">
        <v>262</v>
      </c>
      <c r="C320" s="365"/>
      <c r="D320" s="366"/>
      <c r="E320" s="367"/>
      <c r="F320" s="368"/>
      <c r="G320" s="264"/>
      <c r="H320" s="265"/>
      <c r="I320" s="265"/>
      <c r="J320" s="265"/>
      <c r="K320" s="265"/>
      <c r="L320" s="265"/>
      <c r="M320" s="266"/>
      <c r="N320" s="369"/>
      <c r="O320" s="370"/>
      <c r="P320" s="371"/>
      <c r="Q320" s="370"/>
      <c r="R320" s="370"/>
      <c r="S320" s="372"/>
      <c r="T320" s="373"/>
      <c r="U320" s="374"/>
      <c r="V320" s="375"/>
      <c r="W320" s="376"/>
      <c r="X320" s="377"/>
      <c r="Y320" s="29">
        <v>28</v>
      </c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  <c r="CF320" s="29"/>
      <c r="CG320" s="29"/>
      <c r="CH320" s="29"/>
      <c r="CI320" s="29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  <c r="CV320" s="29"/>
      <c r="CW320" s="29"/>
    </row>
    <row r="321" spans="1:108" s="6" customFormat="1" ht="18" customHeight="1" x14ac:dyDescent="0.35">
      <c r="A321" s="1"/>
      <c r="B321" s="364" t="s">
        <v>263</v>
      </c>
      <c r="C321" s="365"/>
      <c r="D321" s="366"/>
      <c r="E321" s="367"/>
      <c r="F321" s="368"/>
      <c r="G321" s="264"/>
      <c r="H321" s="265"/>
      <c r="I321" s="265"/>
      <c r="J321" s="265"/>
      <c r="K321" s="265"/>
      <c r="L321" s="265"/>
      <c r="M321" s="266"/>
      <c r="N321" s="369"/>
      <c r="O321" s="370"/>
      <c r="P321" s="371"/>
      <c r="Q321" s="370"/>
      <c r="R321" s="370"/>
      <c r="S321" s="372"/>
      <c r="T321" s="373"/>
      <c r="U321" s="374"/>
      <c r="V321" s="375"/>
      <c r="W321" s="376"/>
      <c r="X321" s="377"/>
      <c r="Y321" s="29">
        <v>29</v>
      </c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  <c r="CF321" s="29"/>
      <c r="CG321" s="29"/>
      <c r="CH321" s="29"/>
      <c r="CI321" s="29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  <c r="CV321" s="29"/>
      <c r="CW321" s="29"/>
    </row>
    <row r="322" spans="1:108" s="6" customFormat="1" ht="18" customHeight="1" x14ac:dyDescent="0.35">
      <c r="A322" s="1"/>
      <c r="B322" s="364" t="s">
        <v>264</v>
      </c>
      <c r="C322" s="365"/>
      <c r="D322" s="366"/>
      <c r="E322" s="367"/>
      <c r="F322" s="368"/>
      <c r="G322" s="264"/>
      <c r="H322" s="265"/>
      <c r="I322" s="265"/>
      <c r="J322" s="265"/>
      <c r="K322" s="265"/>
      <c r="L322" s="265"/>
      <c r="M322" s="266"/>
      <c r="N322" s="369"/>
      <c r="O322" s="370"/>
      <c r="P322" s="371"/>
      <c r="Q322" s="370"/>
      <c r="R322" s="370"/>
      <c r="S322" s="372"/>
      <c r="T322" s="373"/>
      <c r="U322" s="374"/>
      <c r="V322" s="375"/>
      <c r="W322" s="376"/>
      <c r="X322" s="377"/>
      <c r="Y322" s="29">
        <v>30</v>
      </c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  <c r="CF322" s="29"/>
      <c r="CG322" s="29"/>
      <c r="CH322" s="29"/>
      <c r="CI322" s="29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  <c r="CV322" s="29"/>
      <c r="CW322" s="29"/>
    </row>
    <row r="323" spans="1:108" s="6" customFormat="1" ht="18" customHeight="1" x14ac:dyDescent="0.35">
      <c r="A323" s="1"/>
      <c r="B323" s="364" t="s">
        <v>265</v>
      </c>
      <c r="C323" s="365"/>
      <c r="D323" s="366"/>
      <c r="E323" s="367"/>
      <c r="F323" s="368"/>
      <c r="G323" s="264"/>
      <c r="H323" s="265"/>
      <c r="I323" s="265"/>
      <c r="J323" s="265"/>
      <c r="K323" s="265"/>
      <c r="L323" s="265"/>
      <c r="M323" s="266"/>
      <c r="N323" s="369"/>
      <c r="O323" s="370"/>
      <c r="P323" s="371"/>
      <c r="Q323" s="370"/>
      <c r="R323" s="370"/>
      <c r="S323" s="372"/>
      <c r="T323" s="373"/>
      <c r="U323" s="374"/>
      <c r="V323" s="375"/>
      <c r="W323" s="376"/>
      <c r="X323" s="377"/>
      <c r="Y323" s="29">
        <v>31</v>
      </c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  <c r="CF323" s="29"/>
      <c r="CG323" s="29"/>
      <c r="CH323" s="29"/>
      <c r="CI323" s="29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  <c r="CV323" s="29"/>
      <c r="CW323" s="29"/>
    </row>
    <row r="324" spans="1:108" s="6" customFormat="1" ht="18" customHeight="1" x14ac:dyDescent="0.35">
      <c r="A324" s="1"/>
      <c r="B324" s="364" t="s">
        <v>266</v>
      </c>
      <c r="C324" s="365"/>
      <c r="D324" s="366"/>
      <c r="E324" s="367"/>
      <c r="F324" s="368"/>
      <c r="G324" s="264"/>
      <c r="H324" s="265"/>
      <c r="I324" s="265"/>
      <c r="J324" s="265"/>
      <c r="K324" s="265"/>
      <c r="L324" s="265"/>
      <c r="M324" s="266"/>
      <c r="N324" s="369"/>
      <c r="O324" s="370"/>
      <c r="P324" s="371"/>
      <c r="Q324" s="370"/>
      <c r="R324" s="370"/>
      <c r="S324" s="372"/>
      <c r="T324" s="373"/>
      <c r="U324" s="374"/>
      <c r="V324" s="375"/>
      <c r="W324" s="376"/>
      <c r="X324" s="377"/>
      <c r="Y324" s="29">
        <v>32</v>
      </c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  <c r="CF324" s="29"/>
      <c r="CG324" s="29"/>
      <c r="CH324" s="29"/>
      <c r="CI324" s="29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  <c r="CV324" s="29"/>
      <c r="CW324" s="29"/>
    </row>
    <row r="325" spans="1:108" s="6" customFormat="1" ht="18" customHeight="1" x14ac:dyDescent="0.35">
      <c r="A325" s="1"/>
      <c r="B325" s="364" t="s">
        <v>267</v>
      </c>
      <c r="C325" s="365"/>
      <c r="D325" s="366"/>
      <c r="E325" s="367"/>
      <c r="F325" s="368"/>
      <c r="G325" s="264"/>
      <c r="H325" s="265"/>
      <c r="I325" s="265"/>
      <c r="J325" s="265"/>
      <c r="K325" s="265"/>
      <c r="L325" s="265"/>
      <c r="M325" s="266"/>
      <c r="N325" s="369"/>
      <c r="O325" s="370"/>
      <c r="P325" s="371"/>
      <c r="Q325" s="370"/>
      <c r="R325" s="370"/>
      <c r="S325" s="372"/>
      <c r="T325" s="373"/>
      <c r="U325" s="374"/>
      <c r="V325" s="375"/>
      <c r="W325" s="376"/>
      <c r="X325" s="377"/>
      <c r="Y325" s="29">
        <v>33</v>
      </c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  <c r="CF325" s="29"/>
      <c r="CG325" s="29"/>
      <c r="CH325" s="29"/>
      <c r="CI325" s="29"/>
      <c r="CJ325" s="29"/>
      <c r="CK325" s="29"/>
      <c r="CL325" s="29"/>
      <c r="CM325" s="29"/>
      <c r="CN325" s="29"/>
      <c r="CO325" s="29"/>
      <c r="CP325" s="29"/>
      <c r="CQ325" s="29"/>
      <c r="CR325" s="29"/>
      <c r="CS325" s="29"/>
      <c r="CT325" s="29"/>
      <c r="CU325" s="29"/>
      <c r="CV325" s="29"/>
      <c r="CW325" s="29"/>
    </row>
    <row r="326" spans="1:108" ht="15" customHeight="1" x14ac:dyDescent="0.35">
      <c r="B326" s="267" t="s">
        <v>268</v>
      </c>
      <c r="C326" s="268"/>
      <c r="D326" s="269"/>
      <c r="E326" s="270"/>
      <c r="F326" s="271"/>
      <c r="G326" s="272"/>
      <c r="H326" s="273"/>
      <c r="I326" s="273"/>
      <c r="J326" s="273"/>
      <c r="K326" s="273"/>
      <c r="L326" s="273"/>
      <c r="M326" s="274"/>
      <c r="N326" s="275"/>
      <c r="O326" s="276"/>
      <c r="P326" s="277"/>
      <c r="Q326" s="276"/>
      <c r="R326" s="276"/>
      <c r="S326" s="278"/>
      <c r="T326" s="279"/>
      <c r="U326" s="280"/>
      <c r="V326" s="317"/>
      <c r="W326" s="335">
        <f>Q326*-3+T326*-1+V326*-1</f>
        <v>0</v>
      </c>
      <c r="X326" s="339"/>
      <c r="Y326" s="29">
        <v>34</v>
      </c>
      <c r="CX326" s="1"/>
      <c r="CY326" s="1"/>
      <c r="CZ326" s="1"/>
      <c r="DA326" s="1"/>
      <c r="DB326" s="1"/>
      <c r="DC326" s="1"/>
      <c r="DD326" s="1"/>
    </row>
    <row r="327" spans="1:108" ht="15" customHeight="1" x14ac:dyDescent="0.35">
      <c r="B327" s="267" t="s">
        <v>269</v>
      </c>
      <c r="C327" s="268"/>
      <c r="D327" s="269"/>
      <c r="E327" s="270"/>
      <c r="F327" s="271"/>
      <c r="G327" s="272"/>
      <c r="H327" s="273"/>
      <c r="I327" s="273"/>
      <c r="J327" s="273"/>
      <c r="K327" s="273"/>
      <c r="L327" s="273"/>
      <c r="M327" s="274"/>
      <c r="N327" s="275"/>
      <c r="O327" s="276"/>
      <c r="P327" s="277"/>
      <c r="Q327" s="276"/>
      <c r="R327" s="276"/>
      <c r="S327" s="278"/>
      <c r="T327" s="279"/>
      <c r="U327" s="280"/>
      <c r="V327" s="317"/>
      <c r="W327" s="335">
        <f t="shared" ref="W327:W332" si="6">Q327*-3+T327*-1+V327*-1</f>
        <v>0</v>
      </c>
      <c r="X327" s="339"/>
      <c r="Y327" s="29">
        <v>35</v>
      </c>
      <c r="CX327" s="1"/>
      <c r="CY327" s="1"/>
      <c r="CZ327" s="1"/>
      <c r="DA327" s="1"/>
      <c r="DB327" s="1"/>
      <c r="DC327" s="1"/>
      <c r="DD327" s="1"/>
    </row>
    <row r="328" spans="1:108" ht="15" customHeight="1" x14ac:dyDescent="0.35">
      <c r="B328" s="267" t="s">
        <v>270</v>
      </c>
      <c r="C328" s="268"/>
      <c r="D328" s="269"/>
      <c r="E328" s="270"/>
      <c r="F328" s="271"/>
      <c r="G328" s="272"/>
      <c r="H328" s="273"/>
      <c r="I328" s="273"/>
      <c r="J328" s="273"/>
      <c r="K328" s="273"/>
      <c r="L328" s="273"/>
      <c r="M328" s="274"/>
      <c r="N328" s="275"/>
      <c r="O328" s="276"/>
      <c r="P328" s="277"/>
      <c r="Q328" s="276"/>
      <c r="R328" s="276"/>
      <c r="S328" s="278"/>
      <c r="T328" s="279"/>
      <c r="U328" s="280"/>
      <c r="V328" s="317"/>
      <c r="W328" s="335">
        <f t="shared" si="6"/>
        <v>0</v>
      </c>
      <c r="X328" s="339"/>
      <c r="Y328" s="29">
        <v>36</v>
      </c>
      <c r="CX328" s="1"/>
      <c r="CY328" s="1"/>
      <c r="CZ328" s="1"/>
      <c r="DA328" s="1"/>
      <c r="DB328" s="1"/>
      <c r="DC328" s="1"/>
      <c r="DD328" s="1"/>
    </row>
    <row r="329" spans="1:108" ht="15" customHeight="1" x14ac:dyDescent="0.35">
      <c r="B329" s="267" t="s">
        <v>271</v>
      </c>
      <c r="C329" s="268"/>
      <c r="D329" s="269"/>
      <c r="E329" s="270"/>
      <c r="F329" s="271"/>
      <c r="G329" s="272"/>
      <c r="H329" s="273"/>
      <c r="I329" s="273"/>
      <c r="J329" s="273"/>
      <c r="K329" s="273"/>
      <c r="L329" s="273"/>
      <c r="M329" s="274"/>
      <c r="N329" s="275"/>
      <c r="O329" s="276"/>
      <c r="P329" s="277"/>
      <c r="Q329" s="276"/>
      <c r="R329" s="276"/>
      <c r="S329" s="278"/>
      <c r="T329" s="279"/>
      <c r="U329" s="280"/>
      <c r="V329" s="317"/>
      <c r="W329" s="335">
        <f t="shared" si="6"/>
        <v>0</v>
      </c>
      <c r="X329" s="339"/>
      <c r="Y329" s="29">
        <v>37</v>
      </c>
      <c r="CX329" s="1"/>
      <c r="CY329" s="1"/>
      <c r="CZ329" s="1"/>
      <c r="DA329" s="1"/>
      <c r="DB329" s="1"/>
      <c r="DC329" s="1"/>
      <c r="DD329" s="1"/>
    </row>
    <row r="330" spans="1:108" ht="15" customHeight="1" x14ac:dyDescent="0.35">
      <c r="B330" s="267" t="s">
        <v>272</v>
      </c>
      <c r="C330" s="268"/>
      <c r="D330" s="269"/>
      <c r="E330" s="270"/>
      <c r="F330" s="271"/>
      <c r="G330" s="272"/>
      <c r="H330" s="273"/>
      <c r="I330" s="273"/>
      <c r="J330" s="273"/>
      <c r="K330" s="273"/>
      <c r="L330" s="273"/>
      <c r="M330" s="274"/>
      <c r="N330" s="275"/>
      <c r="O330" s="276"/>
      <c r="P330" s="277"/>
      <c r="Q330" s="276"/>
      <c r="R330" s="276"/>
      <c r="S330" s="278"/>
      <c r="T330" s="279"/>
      <c r="U330" s="280"/>
      <c r="V330" s="317"/>
      <c r="W330" s="335">
        <f t="shared" si="6"/>
        <v>0</v>
      </c>
      <c r="X330" s="339"/>
      <c r="Y330" s="29">
        <v>38</v>
      </c>
      <c r="CX330" s="1"/>
      <c r="CY330" s="1"/>
      <c r="CZ330" s="1"/>
      <c r="DA330" s="1"/>
      <c r="DB330" s="1"/>
      <c r="DC330" s="1"/>
      <c r="DD330" s="1"/>
    </row>
    <row r="331" spans="1:108" ht="15" customHeight="1" x14ac:dyDescent="0.35">
      <c r="B331" s="267" t="s">
        <v>273</v>
      </c>
      <c r="C331" s="268"/>
      <c r="D331" s="269"/>
      <c r="E331" s="270"/>
      <c r="F331" s="271"/>
      <c r="G331" s="272"/>
      <c r="H331" s="273"/>
      <c r="I331" s="273"/>
      <c r="J331" s="273"/>
      <c r="K331" s="273"/>
      <c r="L331" s="273"/>
      <c r="M331" s="274"/>
      <c r="N331" s="275"/>
      <c r="O331" s="276"/>
      <c r="P331" s="277"/>
      <c r="Q331" s="276"/>
      <c r="R331" s="276"/>
      <c r="S331" s="278"/>
      <c r="T331" s="279"/>
      <c r="U331" s="280"/>
      <c r="V331" s="317"/>
      <c r="W331" s="335">
        <f t="shared" si="6"/>
        <v>0</v>
      </c>
      <c r="X331" s="339"/>
      <c r="Y331" s="29">
        <v>39</v>
      </c>
      <c r="CX331" s="1"/>
      <c r="CY331" s="1"/>
      <c r="CZ331" s="1"/>
      <c r="DA331" s="1"/>
      <c r="DB331" s="1"/>
      <c r="DC331" s="1"/>
      <c r="DD331" s="1"/>
    </row>
    <row r="332" spans="1:108" ht="15" customHeight="1" thickBot="1" x14ac:dyDescent="0.4">
      <c r="B332" s="282" t="s">
        <v>274</v>
      </c>
      <c r="C332" s="283"/>
      <c r="D332" s="284"/>
      <c r="E332" s="285"/>
      <c r="F332" s="286"/>
      <c r="G332" s="287"/>
      <c r="H332" s="288"/>
      <c r="I332" s="288"/>
      <c r="J332" s="288"/>
      <c r="K332" s="288"/>
      <c r="L332" s="288"/>
      <c r="M332" s="289"/>
      <c r="N332" s="290"/>
      <c r="O332" s="291"/>
      <c r="P332" s="292"/>
      <c r="Q332" s="291"/>
      <c r="R332" s="291"/>
      <c r="S332" s="293"/>
      <c r="T332" s="294"/>
      <c r="U332" s="295"/>
      <c r="V332" s="318"/>
      <c r="W332" s="335">
        <f t="shared" si="6"/>
        <v>0</v>
      </c>
      <c r="X332" s="340"/>
      <c r="Y332" s="29">
        <v>40</v>
      </c>
      <c r="CX332" s="1"/>
      <c r="CY332" s="1"/>
      <c r="CZ332" s="1"/>
      <c r="DA332" s="1"/>
      <c r="DB332" s="1"/>
      <c r="DC332" s="1"/>
      <c r="DD332" s="1"/>
    </row>
    <row r="333" spans="1:108" ht="15" customHeight="1" thickBot="1" x14ac:dyDescent="0.25">
      <c r="B333" s="171"/>
      <c r="C333" s="241"/>
      <c r="D333" s="250"/>
      <c r="E333" s="251"/>
      <c r="F333" s="252"/>
      <c r="G333" s="255"/>
      <c r="H333" s="245"/>
      <c r="I333" s="245"/>
      <c r="J333" s="245"/>
      <c r="K333" s="245"/>
      <c r="L333" s="245"/>
      <c r="M333" s="246"/>
      <c r="N333" s="257"/>
      <c r="O333" s="192">
        <f>SUM(O293:O332)</f>
        <v>0</v>
      </c>
      <c r="P333" s="191" t="e">
        <f>AVERAGE(P293:P332)</f>
        <v>#DIV/0!</v>
      </c>
      <c r="Q333" s="191"/>
      <c r="R333" s="192">
        <f>SUM(R293:R332)</f>
        <v>0</v>
      </c>
      <c r="S333" s="191" t="e">
        <f>AVERAGE(S293:S332)</f>
        <v>#DIV/0!</v>
      </c>
      <c r="T333" s="191"/>
      <c r="U333" s="253" t="e">
        <f>AVERAGE(U293:U332)</f>
        <v>#DIV/0!</v>
      </c>
      <c r="V333" s="303"/>
      <c r="W333" s="336"/>
      <c r="X333" s="341"/>
      <c r="CX333" s="1"/>
      <c r="CY333" s="1"/>
      <c r="CZ333" s="1"/>
      <c r="DA333" s="1"/>
      <c r="DB333" s="1"/>
      <c r="DC333" s="1"/>
      <c r="DD333" s="1"/>
    </row>
    <row r="334" spans="1:108" ht="15" customHeight="1" x14ac:dyDescent="0.2">
      <c r="B334" s="3"/>
      <c r="C334" s="3"/>
      <c r="D334" s="3"/>
      <c r="E334" s="15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28"/>
      <c r="X334" s="3"/>
    </row>
    <row r="335" spans="1:108" ht="15" customHeight="1" x14ac:dyDescent="0.2">
      <c r="B335" s="3"/>
      <c r="C335" s="3"/>
      <c r="D335" s="3"/>
      <c r="E335" s="15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28"/>
      <c r="X335" s="3"/>
    </row>
    <row r="336" spans="1:108" ht="15" customHeight="1" x14ac:dyDescent="0.2">
      <c r="B336" s="3"/>
      <c r="C336" s="3"/>
      <c r="D336" s="3"/>
      <c r="E336" s="15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28"/>
      <c r="X336" s="3"/>
    </row>
    <row r="337" spans="1:108" ht="15" customHeight="1" x14ac:dyDescent="0.2">
      <c r="B337" s="3"/>
      <c r="C337" s="3"/>
      <c r="D337" s="3"/>
      <c r="E337" s="15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28"/>
      <c r="X337" s="3"/>
    </row>
    <row r="338" spans="1:108" ht="66" customHeight="1" thickBot="1" x14ac:dyDescent="0.25">
      <c r="B338" s="17" t="s">
        <v>73</v>
      </c>
      <c r="C338" s="17"/>
    </row>
    <row r="339" spans="1:108" ht="15" customHeight="1" thickBot="1" x14ac:dyDescent="0.25">
      <c r="B339" s="385" t="s">
        <v>1</v>
      </c>
      <c r="C339" s="387" t="s">
        <v>77</v>
      </c>
      <c r="D339" s="389" t="s">
        <v>2</v>
      </c>
      <c r="E339" s="385" t="s">
        <v>3</v>
      </c>
      <c r="F339" s="391" t="s">
        <v>111</v>
      </c>
      <c r="G339" s="213"/>
      <c r="H339" s="254" t="s">
        <v>5</v>
      </c>
      <c r="I339" s="254"/>
      <c r="J339" s="254"/>
      <c r="K339" s="254"/>
      <c r="L339" s="254"/>
      <c r="M339" s="254"/>
      <c r="N339" s="247" t="s">
        <v>6</v>
      </c>
      <c r="O339" s="248"/>
      <c r="P339" s="248"/>
      <c r="Q339" s="248"/>
      <c r="R339" s="248"/>
      <c r="S339" s="248"/>
      <c r="T339" s="248"/>
      <c r="U339" s="248"/>
      <c r="V339" s="248"/>
      <c r="W339" s="248"/>
      <c r="X339" s="249"/>
      <c r="CX339" s="1"/>
      <c r="CY339" s="1"/>
      <c r="CZ339" s="1"/>
      <c r="DA339" s="1"/>
      <c r="DB339" s="1"/>
      <c r="DC339" s="1"/>
      <c r="DD339" s="1"/>
    </row>
    <row r="340" spans="1:108" ht="28.5" customHeight="1" thickBot="1" x14ac:dyDescent="0.25">
      <c r="A340" s="6"/>
      <c r="B340" s="386"/>
      <c r="C340" s="388"/>
      <c r="D340" s="390"/>
      <c r="E340" s="386"/>
      <c r="F340" s="392"/>
      <c r="G340" s="256" t="s">
        <v>140</v>
      </c>
      <c r="H340" s="153" t="s">
        <v>141</v>
      </c>
      <c r="I340" s="153" t="s">
        <v>142</v>
      </c>
      <c r="J340" s="153" t="s">
        <v>143</v>
      </c>
      <c r="K340" s="153" t="s">
        <v>163</v>
      </c>
      <c r="L340" s="153" t="s">
        <v>165</v>
      </c>
      <c r="M340" s="258" t="s">
        <v>167</v>
      </c>
      <c r="N340" s="304" t="s">
        <v>106</v>
      </c>
      <c r="O340" s="207" t="s">
        <v>18</v>
      </c>
      <c r="P340" s="207" t="s">
        <v>19</v>
      </c>
      <c r="Q340" s="207" t="s">
        <v>110</v>
      </c>
      <c r="R340" s="207" t="s">
        <v>20</v>
      </c>
      <c r="S340" s="305" t="s">
        <v>21</v>
      </c>
      <c r="T340" s="305" t="s">
        <v>109</v>
      </c>
      <c r="U340" s="306" t="s">
        <v>22</v>
      </c>
      <c r="V340" s="315" t="s">
        <v>110</v>
      </c>
      <c r="W340" s="333" t="s">
        <v>3</v>
      </c>
      <c r="X340" s="337" t="s">
        <v>133</v>
      </c>
      <c r="CX340" s="1"/>
      <c r="CY340" s="1"/>
      <c r="CZ340" s="1"/>
      <c r="DA340" s="1"/>
      <c r="DB340" s="1"/>
      <c r="DC340" s="1"/>
      <c r="DD340" s="1"/>
    </row>
    <row r="341" spans="1:108" s="6" customFormat="1" ht="19.5" customHeight="1" x14ac:dyDescent="0.35">
      <c r="B341" s="259" t="s">
        <v>75</v>
      </c>
      <c r="C341" s="260"/>
      <c r="D341" s="261"/>
      <c r="E341" s="262"/>
      <c r="F341" s="263"/>
      <c r="G341" s="264"/>
      <c r="H341" s="265"/>
      <c r="I341" s="265"/>
      <c r="J341" s="265"/>
      <c r="K341" s="265"/>
      <c r="L341" s="265"/>
      <c r="M341" s="266"/>
      <c r="N341" s="308"/>
      <c r="O341" s="309"/>
      <c r="P341" s="310"/>
      <c r="Q341" s="309"/>
      <c r="R341" s="309"/>
      <c r="S341" s="311"/>
      <c r="T341" s="312"/>
      <c r="U341" s="313"/>
      <c r="V341" s="316"/>
      <c r="W341" s="334">
        <f>Q341*-3+T341*-1+V341*-1</f>
        <v>0</v>
      </c>
      <c r="X341" s="338"/>
      <c r="Y341" s="29">
        <v>1</v>
      </c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  <c r="CF341" s="29"/>
      <c r="CG341" s="29"/>
      <c r="CH341" s="29"/>
      <c r="CI341" s="29"/>
      <c r="CJ341" s="29"/>
      <c r="CK341" s="29"/>
      <c r="CL341" s="29"/>
      <c r="CM341" s="29"/>
      <c r="CN341" s="29"/>
      <c r="CO341" s="29"/>
      <c r="CP341" s="29"/>
      <c r="CQ341" s="29"/>
      <c r="CR341" s="29"/>
      <c r="CS341" s="29"/>
      <c r="CT341" s="29"/>
      <c r="CU341" s="29"/>
      <c r="CV341" s="29"/>
      <c r="CW341" s="29"/>
    </row>
    <row r="342" spans="1:108" s="6" customFormat="1" ht="19.5" customHeight="1" x14ac:dyDescent="0.35">
      <c r="B342" s="364" t="s">
        <v>76</v>
      </c>
      <c r="C342" s="365"/>
      <c r="D342" s="366"/>
      <c r="E342" s="367"/>
      <c r="F342" s="368"/>
      <c r="G342" s="264"/>
      <c r="H342" s="265"/>
      <c r="I342" s="265"/>
      <c r="J342" s="265"/>
      <c r="K342" s="265"/>
      <c r="L342" s="265"/>
      <c r="M342" s="266"/>
      <c r="N342" s="369"/>
      <c r="O342" s="370"/>
      <c r="P342" s="371"/>
      <c r="Q342" s="370"/>
      <c r="R342" s="370"/>
      <c r="S342" s="372"/>
      <c r="T342" s="373"/>
      <c r="U342" s="374"/>
      <c r="V342" s="375"/>
      <c r="W342" s="376"/>
      <c r="X342" s="377"/>
      <c r="Y342" s="29">
        <v>2</v>
      </c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  <c r="CF342" s="29"/>
      <c r="CG342" s="29"/>
      <c r="CH342" s="29"/>
      <c r="CI342" s="29"/>
      <c r="CJ342" s="29"/>
      <c r="CK342" s="29"/>
      <c r="CL342" s="29"/>
      <c r="CM342" s="29"/>
      <c r="CN342" s="29"/>
      <c r="CO342" s="29"/>
      <c r="CP342" s="29"/>
      <c r="CQ342" s="29"/>
      <c r="CR342" s="29"/>
      <c r="CS342" s="29"/>
      <c r="CT342" s="29"/>
      <c r="CU342" s="29"/>
      <c r="CV342" s="29"/>
      <c r="CW342" s="29"/>
    </row>
    <row r="343" spans="1:108" s="6" customFormat="1" ht="19.5" customHeight="1" x14ac:dyDescent="0.35">
      <c r="B343" s="364" t="s">
        <v>66</v>
      </c>
      <c r="C343" s="365"/>
      <c r="D343" s="366"/>
      <c r="E343" s="367"/>
      <c r="F343" s="368"/>
      <c r="G343" s="264"/>
      <c r="H343" s="265"/>
      <c r="I343" s="265"/>
      <c r="J343" s="265"/>
      <c r="K343" s="265"/>
      <c r="L343" s="265"/>
      <c r="M343" s="266"/>
      <c r="N343" s="369"/>
      <c r="O343" s="370"/>
      <c r="P343" s="371"/>
      <c r="Q343" s="370"/>
      <c r="R343" s="370"/>
      <c r="S343" s="372"/>
      <c r="T343" s="373"/>
      <c r="U343" s="374"/>
      <c r="V343" s="375"/>
      <c r="W343" s="376"/>
      <c r="X343" s="377"/>
      <c r="Y343" s="29">
        <v>3</v>
      </c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  <c r="CF343" s="29"/>
      <c r="CG343" s="29"/>
      <c r="CH343" s="29"/>
      <c r="CI343" s="29"/>
      <c r="CJ343" s="29"/>
      <c r="CK343" s="29"/>
      <c r="CL343" s="29"/>
      <c r="CM343" s="29"/>
      <c r="CN343" s="29"/>
      <c r="CO343" s="29"/>
      <c r="CP343" s="29"/>
      <c r="CQ343" s="29"/>
      <c r="CR343" s="29"/>
      <c r="CS343" s="29"/>
      <c r="CT343" s="29"/>
      <c r="CU343" s="29"/>
      <c r="CV343" s="29"/>
      <c r="CW343" s="29"/>
    </row>
    <row r="344" spans="1:108" s="6" customFormat="1" ht="19.5" customHeight="1" x14ac:dyDescent="0.35">
      <c r="B344" s="364" t="s">
        <v>67</v>
      </c>
      <c r="C344" s="365"/>
      <c r="D344" s="366"/>
      <c r="E344" s="367"/>
      <c r="F344" s="368"/>
      <c r="G344" s="264"/>
      <c r="H344" s="265"/>
      <c r="I344" s="265"/>
      <c r="J344" s="265"/>
      <c r="K344" s="265"/>
      <c r="L344" s="265"/>
      <c r="M344" s="266"/>
      <c r="N344" s="369"/>
      <c r="O344" s="370"/>
      <c r="P344" s="371"/>
      <c r="Q344" s="370"/>
      <c r="R344" s="370"/>
      <c r="S344" s="372"/>
      <c r="T344" s="373"/>
      <c r="U344" s="374"/>
      <c r="V344" s="375"/>
      <c r="W344" s="376"/>
      <c r="X344" s="377"/>
      <c r="Y344" s="29">
        <v>4</v>
      </c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  <c r="CF344" s="29"/>
      <c r="CG344" s="29"/>
      <c r="CH344" s="29"/>
      <c r="CI344" s="29"/>
      <c r="CJ344" s="29"/>
      <c r="CK344" s="29"/>
      <c r="CL344" s="29"/>
      <c r="CM344" s="29"/>
      <c r="CN344" s="29"/>
      <c r="CO344" s="29"/>
      <c r="CP344" s="29"/>
      <c r="CQ344" s="29"/>
      <c r="CR344" s="29"/>
      <c r="CS344" s="29"/>
      <c r="CT344" s="29"/>
      <c r="CU344" s="29"/>
      <c r="CV344" s="29"/>
      <c r="CW344" s="29"/>
    </row>
    <row r="345" spans="1:108" s="6" customFormat="1" ht="19.5" customHeight="1" x14ac:dyDescent="0.35">
      <c r="B345" s="364" t="s">
        <v>68</v>
      </c>
      <c r="C345" s="365"/>
      <c r="D345" s="366"/>
      <c r="E345" s="367"/>
      <c r="F345" s="368"/>
      <c r="G345" s="264"/>
      <c r="H345" s="265"/>
      <c r="I345" s="265"/>
      <c r="J345" s="265"/>
      <c r="K345" s="265"/>
      <c r="L345" s="265"/>
      <c r="M345" s="266"/>
      <c r="N345" s="369"/>
      <c r="O345" s="370"/>
      <c r="P345" s="371"/>
      <c r="Q345" s="370"/>
      <c r="R345" s="370"/>
      <c r="S345" s="372"/>
      <c r="T345" s="373"/>
      <c r="U345" s="374"/>
      <c r="V345" s="375"/>
      <c r="W345" s="376"/>
      <c r="X345" s="377"/>
      <c r="Y345" s="29">
        <v>5</v>
      </c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  <c r="CF345" s="29"/>
      <c r="CG345" s="29"/>
      <c r="CH345" s="29"/>
      <c r="CI345" s="29"/>
      <c r="CJ345" s="29"/>
      <c r="CK345" s="29"/>
      <c r="CL345" s="29"/>
      <c r="CM345" s="29"/>
      <c r="CN345" s="29"/>
      <c r="CO345" s="29"/>
      <c r="CP345" s="29"/>
      <c r="CQ345" s="29"/>
      <c r="CR345" s="29"/>
      <c r="CS345" s="29"/>
      <c r="CT345" s="29"/>
      <c r="CU345" s="29"/>
      <c r="CV345" s="29"/>
      <c r="CW345" s="29"/>
    </row>
    <row r="346" spans="1:108" s="6" customFormat="1" ht="19.5" customHeight="1" x14ac:dyDescent="0.35">
      <c r="B346" s="364" t="s">
        <v>69</v>
      </c>
      <c r="C346" s="365"/>
      <c r="D346" s="366"/>
      <c r="E346" s="367"/>
      <c r="F346" s="368"/>
      <c r="G346" s="264"/>
      <c r="H346" s="265"/>
      <c r="I346" s="265"/>
      <c r="J346" s="265"/>
      <c r="K346" s="265"/>
      <c r="L346" s="265"/>
      <c r="M346" s="266"/>
      <c r="N346" s="369"/>
      <c r="O346" s="370"/>
      <c r="P346" s="371"/>
      <c r="Q346" s="370"/>
      <c r="R346" s="370"/>
      <c r="S346" s="372"/>
      <c r="T346" s="373"/>
      <c r="U346" s="374"/>
      <c r="V346" s="375"/>
      <c r="W346" s="376"/>
      <c r="X346" s="377"/>
      <c r="Y346" s="29">
        <v>6</v>
      </c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  <c r="CF346" s="29"/>
      <c r="CG346" s="29"/>
      <c r="CH346" s="29"/>
      <c r="CI346" s="29"/>
      <c r="CJ346" s="29"/>
      <c r="CK346" s="29"/>
      <c r="CL346" s="29"/>
      <c r="CM346" s="29"/>
      <c r="CN346" s="29"/>
      <c r="CO346" s="29"/>
      <c r="CP346" s="29"/>
      <c r="CQ346" s="29"/>
      <c r="CR346" s="29"/>
      <c r="CS346" s="29"/>
      <c r="CT346" s="29"/>
      <c r="CU346" s="29"/>
      <c r="CV346" s="29"/>
      <c r="CW346" s="29"/>
    </row>
    <row r="347" spans="1:108" s="6" customFormat="1" ht="19.5" customHeight="1" x14ac:dyDescent="0.35">
      <c r="B347" s="364" t="s">
        <v>70</v>
      </c>
      <c r="C347" s="365"/>
      <c r="D347" s="366"/>
      <c r="E347" s="367"/>
      <c r="F347" s="368"/>
      <c r="G347" s="264"/>
      <c r="H347" s="265"/>
      <c r="I347" s="265"/>
      <c r="J347" s="265"/>
      <c r="K347" s="265"/>
      <c r="L347" s="265"/>
      <c r="M347" s="266"/>
      <c r="N347" s="369"/>
      <c r="O347" s="370"/>
      <c r="P347" s="371"/>
      <c r="Q347" s="370"/>
      <c r="R347" s="370"/>
      <c r="S347" s="372"/>
      <c r="T347" s="373"/>
      <c r="U347" s="374"/>
      <c r="V347" s="375"/>
      <c r="W347" s="376"/>
      <c r="X347" s="377"/>
      <c r="Y347" s="29">
        <v>7</v>
      </c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  <c r="CF347" s="29"/>
      <c r="CG347" s="29"/>
      <c r="CH347" s="29"/>
      <c r="CI347" s="29"/>
      <c r="CJ347" s="29"/>
      <c r="CK347" s="29"/>
      <c r="CL347" s="29"/>
      <c r="CM347" s="29"/>
      <c r="CN347" s="29"/>
      <c r="CO347" s="29"/>
      <c r="CP347" s="29"/>
      <c r="CQ347" s="29"/>
      <c r="CR347" s="29"/>
      <c r="CS347" s="29"/>
      <c r="CT347" s="29"/>
      <c r="CU347" s="29"/>
      <c r="CV347" s="29"/>
      <c r="CW347" s="29"/>
    </row>
    <row r="348" spans="1:108" s="6" customFormat="1" ht="19.5" customHeight="1" x14ac:dyDescent="0.35">
      <c r="B348" s="364" t="s">
        <v>71</v>
      </c>
      <c r="C348" s="365"/>
      <c r="D348" s="366"/>
      <c r="E348" s="367"/>
      <c r="F348" s="368"/>
      <c r="G348" s="264"/>
      <c r="H348" s="265"/>
      <c r="I348" s="265"/>
      <c r="J348" s="265"/>
      <c r="K348" s="265"/>
      <c r="L348" s="265"/>
      <c r="M348" s="266"/>
      <c r="N348" s="369"/>
      <c r="O348" s="370"/>
      <c r="P348" s="371"/>
      <c r="Q348" s="370"/>
      <c r="R348" s="370"/>
      <c r="S348" s="372"/>
      <c r="T348" s="373"/>
      <c r="U348" s="374"/>
      <c r="V348" s="375"/>
      <c r="W348" s="376"/>
      <c r="X348" s="377"/>
      <c r="Y348" s="29">
        <v>8</v>
      </c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  <c r="CF348" s="29"/>
      <c r="CG348" s="29"/>
      <c r="CH348" s="29"/>
      <c r="CI348" s="29"/>
      <c r="CJ348" s="29"/>
      <c r="CK348" s="29"/>
      <c r="CL348" s="29"/>
      <c r="CM348" s="29"/>
      <c r="CN348" s="29"/>
      <c r="CO348" s="29"/>
      <c r="CP348" s="29"/>
      <c r="CQ348" s="29"/>
      <c r="CR348" s="29"/>
      <c r="CS348" s="29"/>
      <c r="CT348" s="29"/>
      <c r="CU348" s="29"/>
      <c r="CV348" s="29"/>
      <c r="CW348" s="29"/>
    </row>
    <row r="349" spans="1:108" s="6" customFormat="1" ht="19.5" customHeight="1" x14ac:dyDescent="0.35">
      <c r="B349" s="364" t="s">
        <v>243</v>
      </c>
      <c r="C349" s="365"/>
      <c r="D349" s="366"/>
      <c r="E349" s="367"/>
      <c r="F349" s="368"/>
      <c r="G349" s="264"/>
      <c r="H349" s="265"/>
      <c r="I349" s="265"/>
      <c r="J349" s="265"/>
      <c r="K349" s="265"/>
      <c r="L349" s="265"/>
      <c r="M349" s="266"/>
      <c r="N349" s="369"/>
      <c r="O349" s="370"/>
      <c r="P349" s="371"/>
      <c r="Q349" s="370"/>
      <c r="R349" s="370"/>
      <c r="S349" s="372"/>
      <c r="T349" s="373"/>
      <c r="U349" s="374"/>
      <c r="V349" s="375"/>
      <c r="W349" s="376"/>
      <c r="X349" s="377"/>
      <c r="Y349" s="29">
        <v>9</v>
      </c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  <c r="CF349" s="29"/>
      <c r="CG349" s="29"/>
      <c r="CH349" s="29"/>
      <c r="CI349" s="29"/>
      <c r="CJ349" s="29"/>
      <c r="CK349" s="29"/>
      <c r="CL349" s="29"/>
      <c r="CM349" s="29"/>
      <c r="CN349" s="29"/>
      <c r="CO349" s="29"/>
      <c r="CP349" s="29"/>
      <c r="CQ349" s="29"/>
      <c r="CR349" s="29"/>
      <c r="CS349" s="29"/>
      <c r="CT349" s="29"/>
      <c r="CU349" s="29"/>
      <c r="CV349" s="29"/>
      <c r="CW349" s="29"/>
    </row>
    <row r="350" spans="1:108" s="6" customFormat="1" ht="19.5" customHeight="1" x14ac:dyDescent="0.35">
      <c r="B350" s="364" t="s">
        <v>244</v>
      </c>
      <c r="C350" s="365"/>
      <c r="D350" s="366"/>
      <c r="E350" s="367"/>
      <c r="F350" s="368"/>
      <c r="G350" s="264"/>
      <c r="H350" s="265"/>
      <c r="I350" s="265"/>
      <c r="J350" s="265"/>
      <c r="K350" s="265"/>
      <c r="L350" s="265"/>
      <c r="M350" s="266"/>
      <c r="N350" s="369"/>
      <c r="O350" s="370"/>
      <c r="P350" s="371"/>
      <c r="Q350" s="370"/>
      <c r="R350" s="370"/>
      <c r="S350" s="372"/>
      <c r="T350" s="373"/>
      <c r="U350" s="374"/>
      <c r="V350" s="375"/>
      <c r="W350" s="376"/>
      <c r="X350" s="377"/>
      <c r="Y350" s="29">
        <v>10</v>
      </c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  <c r="CF350" s="29"/>
      <c r="CG350" s="29"/>
      <c r="CH350" s="29"/>
      <c r="CI350" s="29"/>
      <c r="CJ350" s="29"/>
      <c r="CK350" s="29"/>
      <c r="CL350" s="29"/>
      <c r="CM350" s="29"/>
      <c r="CN350" s="29"/>
      <c r="CO350" s="29"/>
      <c r="CP350" s="29"/>
      <c r="CQ350" s="29"/>
      <c r="CR350" s="29"/>
      <c r="CS350" s="29"/>
      <c r="CT350" s="29"/>
      <c r="CU350" s="29"/>
      <c r="CV350" s="29"/>
      <c r="CW350" s="29"/>
    </row>
    <row r="351" spans="1:108" s="6" customFormat="1" ht="19.5" customHeight="1" x14ac:dyDescent="0.35">
      <c r="B351" s="364" t="s">
        <v>245</v>
      </c>
      <c r="C351" s="365"/>
      <c r="D351" s="366"/>
      <c r="E351" s="367"/>
      <c r="F351" s="368"/>
      <c r="G351" s="264"/>
      <c r="H351" s="265"/>
      <c r="I351" s="265"/>
      <c r="J351" s="265"/>
      <c r="K351" s="265"/>
      <c r="L351" s="265"/>
      <c r="M351" s="266"/>
      <c r="N351" s="369"/>
      <c r="O351" s="370"/>
      <c r="P351" s="371"/>
      <c r="Q351" s="370"/>
      <c r="R351" s="370"/>
      <c r="S351" s="372"/>
      <c r="T351" s="373"/>
      <c r="U351" s="374"/>
      <c r="V351" s="375"/>
      <c r="W351" s="376"/>
      <c r="X351" s="377"/>
      <c r="Y351" s="29">
        <v>11</v>
      </c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  <c r="CF351" s="29"/>
      <c r="CG351" s="29"/>
      <c r="CH351" s="29"/>
      <c r="CI351" s="29"/>
      <c r="CJ351" s="29"/>
      <c r="CK351" s="29"/>
      <c r="CL351" s="29"/>
      <c r="CM351" s="29"/>
      <c r="CN351" s="29"/>
      <c r="CO351" s="29"/>
      <c r="CP351" s="29"/>
      <c r="CQ351" s="29"/>
      <c r="CR351" s="29"/>
      <c r="CS351" s="29"/>
      <c r="CT351" s="29"/>
      <c r="CU351" s="29"/>
      <c r="CV351" s="29"/>
      <c r="CW351" s="29"/>
    </row>
    <row r="352" spans="1:108" s="6" customFormat="1" ht="19.5" customHeight="1" x14ac:dyDescent="0.35">
      <c r="B352" s="364" t="s">
        <v>246</v>
      </c>
      <c r="C352" s="365"/>
      <c r="D352" s="366"/>
      <c r="E352" s="367"/>
      <c r="F352" s="368"/>
      <c r="G352" s="264"/>
      <c r="H352" s="265"/>
      <c r="I352" s="265"/>
      <c r="J352" s="265"/>
      <c r="K352" s="265"/>
      <c r="L352" s="265"/>
      <c r="M352" s="266"/>
      <c r="N352" s="369"/>
      <c r="O352" s="370"/>
      <c r="P352" s="371"/>
      <c r="Q352" s="370"/>
      <c r="R352" s="370"/>
      <c r="S352" s="372"/>
      <c r="T352" s="373"/>
      <c r="U352" s="374"/>
      <c r="V352" s="375"/>
      <c r="W352" s="376"/>
      <c r="X352" s="377"/>
      <c r="Y352" s="29">
        <v>12</v>
      </c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  <c r="CF352" s="29"/>
      <c r="CG352" s="29"/>
      <c r="CH352" s="29"/>
      <c r="CI352" s="29"/>
      <c r="CJ352" s="29"/>
      <c r="CK352" s="29"/>
      <c r="CL352" s="29"/>
      <c r="CM352" s="29"/>
      <c r="CN352" s="29"/>
      <c r="CO352" s="29"/>
      <c r="CP352" s="29"/>
      <c r="CQ352" s="29"/>
      <c r="CR352" s="29"/>
      <c r="CS352" s="29"/>
      <c r="CT352" s="29"/>
      <c r="CU352" s="29"/>
      <c r="CV352" s="29"/>
      <c r="CW352" s="29"/>
    </row>
    <row r="353" spans="2:101" s="6" customFormat="1" ht="19.5" customHeight="1" x14ac:dyDescent="0.35">
      <c r="B353" s="364" t="s">
        <v>247</v>
      </c>
      <c r="C353" s="365"/>
      <c r="D353" s="366"/>
      <c r="E353" s="367"/>
      <c r="F353" s="368"/>
      <c r="G353" s="264"/>
      <c r="H353" s="265"/>
      <c r="I353" s="265"/>
      <c r="J353" s="265"/>
      <c r="K353" s="265"/>
      <c r="L353" s="265"/>
      <c r="M353" s="266"/>
      <c r="N353" s="369"/>
      <c r="O353" s="370"/>
      <c r="P353" s="371"/>
      <c r="Q353" s="370"/>
      <c r="R353" s="370"/>
      <c r="S353" s="372"/>
      <c r="T353" s="373"/>
      <c r="U353" s="374"/>
      <c r="V353" s="375"/>
      <c r="W353" s="376"/>
      <c r="X353" s="377"/>
      <c r="Y353" s="29">
        <v>13</v>
      </c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  <c r="CF353" s="29"/>
      <c r="CG353" s="29"/>
      <c r="CH353" s="29"/>
      <c r="CI353" s="29"/>
      <c r="CJ353" s="29"/>
      <c r="CK353" s="29"/>
      <c r="CL353" s="29"/>
      <c r="CM353" s="29"/>
      <c r="CN353" s="29"/>
      <c r="CO353" s="29"/>
      <c r="CP353" s="29"/>
      <c r="CQ353" s="29"/>
      <c r="CR353" s="29"/>
      <c r="CS353" s="29"/>
      <c r="CT353" s="29"/>
      <c r="CU353" s="29"/>
      <c r="CV353" s="29"/>
      <c r="CW353" s="29"/>
    </row>
    <row r="354" spans="2:101" s="6" customFormat="1" ht="19.5" customHeight="1" x14ac:dyDescent="0.35">
      <c r="B354" s="364" t="s">
        <v>248</v>
      </c>
      <c r="C354" s="365"/>
      <c r="D354" s="366"/>
      <c r="E354" s="367"/>
      <c r="F354" s="368"/>
      <c r="G354" s="264"/>
      <c r="H354" s="265"/>
      <c r="I354" s="265"/>
      <c r="J354" s="265"/>
      <c r="K354" s="265"/>
      <c r="L354" s="265"/>
      <c r="M354" s="266"/>
      <c r="N354" s="369"/>
      <c r="O354" s="370"/>
      <c r="P354" s="371"/>
      <c r="Q354" s="370"/>
      <c r="R354" s="370"/>
      <c r="S354" s="372"/>
      <c r="T354" s="373"/>
      <c r="U354" s="374"/>
      <c r="V354" s="375"/>
      <c r="W354" s="376"/>
      <c r="X354" s="377"/>
      <c r="Y354" s="29">
        <v>14</v>
      </c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  <c r="CF354" s="29"/>
      <c r="CG354" s="29"/>
      <c r="CH354" s="29"/>
      <c r="CI354" s="29"/>
      <c r="CJ354" s="29"/>
      <c r="CK354" s="29"/>
      <c r="CL354" s="29"/>
      <c r="CM354" s="29"/>
      <c r="CN354" s="29"/>
      <c r="CO354" s="29"/>
      <c r="CP354" s="29"/>
      <c r="CQ354" s="29"/>
      <c r="CR354" s="29"/>
      <c r="CS354" s="29"/>
      <c r="CT354" s="29"/>
      <c r="CU354" s="29"/>
      <c r="CV354" s="29"/>
      <c r="CW354" s="29"/>
    </row>
    <row r="355" spans="2:101" s="6" customFormat="1" ht="19.5" customHeight="1" x14ac:dyDescent="0.35">
      <c r="B355" s="364" t="s">
        <v>249</v>
      </c>
      <c r="C355" s="365"/>
      <c r="D355" s="366"/>
      <c r="E355" s="367"/>
      <c r="F355" s="368"/>
      <c r="G355" s="264"/>
      <c r="H355" s="265"/>
      <c r="I355" s="265"/>
      <c r="J355" s="265"/>
      <c r="K355" s="265"/>
      <c r="L355" s="265"/>
      <c r="M355" s="266"/>
      <c r="N355" s="369"/>
      <c r="O355" s="370"/>
      <c r="P355" s="371"/>
      <c r="Q355" s="370"/>
      <c r="R355" s="370"/>
      <c r="S355" s="372"/>
      <c r="T355" s="373"/>
      <c r="U355" s="374"/>
      <c r="V355" s="375"/>
      <c r="W355" s="376"/>
      <c r="X355" s="377"/>
      <c r="Y355" s="29">
        <v>15</v>
      </c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  <c r="CF355" s="29"/>
      <c r="CG355" s="29"/>
      <c r="CH355" s="29"/>
      <c r="CI355" s="29"/>
      <c r="CJ355" s="29"/>
      <c r="CK355" s="29"/>
      <c r="CL355" s="29"/>
      <c r="CM355" s="29"/>
      <c r="CN355" s="29"/>
      <c r="CO355" s="29"/>
      <c r="CP355" s="29"/>
      <c r="CQ355" s="29"/>
      <c r="CR355" s="29"/>
      <c r="CS355" s="29"/>
      <c r="CT355" s="29"/>
      <c r="CU355" s="29"/>
      <c r="CV355" s="29"/>
      <c r="CW355" s="29"/>
    </row>
    <row r="356" spans="2:101" s="6" customFormat="1" ht="19.5" customHeight="1" x14ac:dyDescent="0.35">
      <c r="B356" s="364" t="s">
        <v>250</v>
      </c>
      <c r="C356" s="365"/>
      <c r="D356" s="366"/>
      <c r="E356" s="367"/>
      <c r="F356" s="368"/>
      <c r="G356" s="264"/>
      <c r="H356" s="265"/>
      <c r="I356" s="265"/>
      <c r="J356" s="265"/>
      <c r="K356" s="265"/>
      <c r="L356" s="265"/>
      <c r="M356" s="266"/>
      <c r="N356" s="369"/>
      <c r="O356" s="370"/>
      <c r="P356" s="371"/>
      <c r="Q356" s="370"/>
      <c r="R356" s="370"/>
      <c r="S356" s="372"/>
      <c r="T356" s="373"/>
      <c r="U356" s="374"/>
      <c r="V356" s="375"/>
      <c r="W356" s="376"/>
      <c r="X356" s="377"/>
      <c r="Y356" s="29">
        <v>16</v>
      </c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  <c r="CF356" s="29"/>
      <c r="CG356" s="29"/>
      <c r="CH356" s="29"/>
      <c r="CI356" s="29"/>
      <c r="CJ356" s="29"/>
      <c r="CK356" s="29"/>
      <c r="CL356" s="29"/>
      <c r="CM356" s="29"/>
      <c r="CN356" s="29"/>
      <c r="CO356" s="29"/>
      <c r="CP356" s="29"/>
      <c r="CQ356" s="29"/>
      <c r="CR356" s="29"/>
      <c r="CS356" s="29"/>
      <c r="CT356" s="29"/>
      <c r="CU356" s="29"/>
      <c r="CV356" s="29"/>
      <c r="CW356" s="29"/>
    </row>
    <row r="357" spans="2:101" s="6" customFormat="1" ht="19.5" customHeight="1" x14ac:dyDescent="0.35">
      <c r="B357" s="364" t="s">
        <v>251</v>
      </c>
      <c r="C357" s="365"/>
      <c r="D357" s="366"/>
      <c r="E357" s="367"/>
      <c r="F357" s="368"/>
      <c r="G357" s="264"/>
      <c r="H357" s="265"/>
      <c r="I357" s="265"/>
      <c r="J357" s="265"/>
      <c r="K357" s="265"/>
      <c r="L357" s="265"/>
      <c r="M357" s="266"/>
      <c r="N357" s="369"/>
      <c r="O357" s="370"/>
      <c r="P357" s="371"/>
      <c r="Q357" s="370"/>
      <c r="R357" s="370"/>
      <c r="S357" s="372"/>
      <c r="T357" s="373"/>
      <c r="U357" s="374"/>
      <c r="V357" s="375"/>
      <c r="W357" s="376"/>
      <c r="X357" s="377"/>
      <c r="Y357" s="29">
        <v>17</v>
      </c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  <c r="CF357" s="29"/>
      <c r="CG357" s="29"/>
      <c r="CH357" s="29"/>
      <c r="CI357" s="29"/>
      <c r="CJ357" s="29"/>
      <c r="CK357" s="29"/>
      <c r="CL357" s="29"/>
      <c r="CM357" s="29"/>
      <c r="CN357" s="29"/>
      <c r="CO357" s="29"/>
      <c r="CP357" s="29"/>
      <c r="CQ357" s="29"/>
      <c r="CR357" s="29"/>
      <c r="CS357" s="29"/>
      <c r="CT357" s="29"/>
      <c r="CU357" s="29"/>
      <c r="CV357" s="29"/>
      <c r="CW357" s="29"/>
    </row>
    <row r="358" spans="2:101" s="6" customFormat="1" ht="19.5" customHeight="1" x14ac:dyDescent="0.35">
      <c r="B358" s="364" t="s">
        <v>252</v>
      </c>
      <c r="C358" s="365"/>
      <c r="D358" s="366"/>
      <c r="E358" s="367"/>
      <c r="F358" s="368"/>
      <c r="G358" s="264"/>
      <c r="H358" s="265"/>
      <c r="I358" s="265"/>
      <c r="J358" s="265"/>
      <c r="K358" s="265"/>
      <c r="L358" s="265"/>
      <c r="M358" s="266"/>
      <c r="N358" s="369"/>
      <c r="O358" s="370"/>
      <c r="P358" s="371"/>
      <c r="Q358" s="370"/>
      <c r="R358" s="370"/>
      <c r="S358" s="372"/>
      <c r="T358" s="373"/>
      <c r="U358" s="374"/>
      <c r="V358" s="375"/>
      <c r="W358" s="376"/>
      <c r="X358" s="377"/>
      <c r="Y358" s="29">
        <v>18</v>
      </c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  <c r="CF358" s="29"/>
      <c r="CG358" s="29"/>
      <c r="CH358" s="29"/>
      <c r="CI358" s="29"/>
      <c r="CJ358" s="29"/>
      <c r="CK358" s="29"/>
      <c r="CL358" s="29"/>
      <c r="CM358" s="29"/>
      <c r="CN358" s="29"/>
      <c r="CO358" s="29"/>
      <c r="CP358" s="29"/>
      <c r="CQ358" s="29"/>
      <c r="CR358" s="29"/>
      <c r="CS358" s="29"/>
      <c r="CT358" s="29"/>
      <c r="CU358" s="29"/>
      <c r="CV358" s="29"/>
      <c r="CW358" s="29"/>
    </row>
    <row r="359" spans="2:101" s="6" customFormat="1" ht="19.5" customHeight="1" x14ac:dyDescent="0.35">
      <c r="B359" s="364" t="s">
        <v>253</v>
      </c>
      <c r="C359" s="365"/>
      <c r="D359" s="366"/>
      <c r="E359" s="367"/>
      <c r="F359" s="368"/>
      <c r="G359" s="264"/>
      <c r="H359" s="265"/>
      <c r="I359" s="265"/>
      <c r="J359" s="265"/>
      <c r="K359" s="265"/>
      <c r="L359" s="265"/>
      <c r="M359" s="266"/>
      <c r="N359" s="369"/>
      <c r="O359" s="370"/>
      <c r="P359" s="371"/>
      <c r="Q359" s="370"/>
      <c r="R359" s="370"/>
      <c r="S359" s="372"/>
      <c r="T359" s="373"/>
      <c r="U359" s="374"/>
      <c r="V359" s="375"/>
      <c r="W359" s="376"/>
      <c r="X359" s="377"/>
      <c r="Y359" s="29">
        <v>19</v>
      </c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  <c r="CF359" s="29"/>
      <c r="CG359" s="29"/>
      <c r="CH359" s="29"/>
      <c r="CI359" s="29"/>
      <c r="CJ359" s="29"/>
      <c r="CK359" s="29"/>
      <c r="CL359" s="29"/>
      <c r="CM359" s="29"/>
      <c r="CN359" s="29"/>
      <c r="CO359" s="29"/>
      <c r="CP359" s="29"/>
      <c r="CQ359" s="29"/>
      <c r="CR359" s="29"/>
      <c r="CS359" s="29"/>
      <c r="CT359" s="29"/>
      <c r="CU359" s="29"/>
      <c r="CV359" s="29"/>
      <c r="CW359" s="29"/>
    </row>
    <row r="360" spans="2:101" s="6" customFormat="1" ht="19.5" customHeight="1" x14ac:dyDescent="0.35">
      <c r="B360" s="364" t="s">
        <v>254</v>
      </c>
      <c r="C360" s="365"/>
      <c r="D360" s="366"/>
      <c r="E360" s="367"/>
      <c r="F360" s="368"/>
      <c r="G360" s="264"/>
      <c r="H360" s="265"/>
      <c r="I360" s="265"/>
      <c r="J360" s="265"/>
      <c r="K360" s="265"/>
      <c r="L360" s="265"/>
      <c r="M360" s="266"/>
      <c r="N360" s="369"/>
      <c r="O360" s="370"/>
      <c r="P360" s="371"/>
      <c r="Q360" s="370"/>
      <c r="R360" s="370"/>
      <c r="S360" s="372"/>
      <c r="T360" s="373"/>
      <c r="U360" s="374"/>
      <c r="V360" s="375"/>
      <c r="W360" s="376"/>
      <c r="X360" s="377"/>
      <c r="Y360" s="29">
        <v>20</v>
      </c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  <c r="CF360" s="29"/>
      <c r="CG360" s="29"/>
      <c r="CH360" s="29"/>
      <c r="CI360" s="29"/>
      <c r="CJ360" s="29"/>
      <c r="CK360" s="29"/>
      <c r="CL360" s="29"/>
      <c r="CM360" s="29"/>
      <c r="CN360" s="29"/>
      <c r="CO360" s="29"/>
      <c r="CP360" s="29"/>
      <c r="CQ360" s="29"/>
      <c r="CR360" s="29"/>
      <c r="CS360" s="29"/>
      <c r="CT360" s="29"/>
      <c r="CU360" s="29"/>
      <c r="CV360" s="29"/>
      <c r="CW360" s="29"/>
    </row>
    <row r="361" spans="2:101" s="6" customFormat="1" ht="19.5" customHeight="1" x14ac:dyDescent="0.35">
      <c r="B361" s="364" t="s">
        <v>255</v>
      </c>
      <c r="C361" s="365"/>
      <c r="D361" s="366"/>
      <c r="E361" s="367"/>
      <c r="F361" s="368"/>
      <c r="G361" s="264"/>
      <c r="H361" s="265"/>
      <c r="I361" s="265"/>
      <c r="J361" s="265"/>
      <c r="K361" s="265"/>
      <c r="L361" s="265"/>
      <c r="M361" s="266"/>
      <c r="N361" s="369"/>
      <c r="O361" s="370"/>
      <c r="P361" s="371"/>
      <c r="Q361" s="370"/>
      <c r="R361" s="370"/>
      <c r="S361" s="372"/>
      <c r="T361" s="373"/>
      <c r="U361" s="374"/>
      <c r="V361" s="375"/>
      <c r="W361" s="376"/>
      <c r="X361" s="377"/>
      <c r="Y361" s="29">
        <v>21</v>
      </c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  <c r="CF361" s="29"/>
      <c r="CG361" s="29"/>
      <c r="CH361" s="29"/>
      <c r="CI361" s="29"/>
      <c r="CJ361" s="29"/>
      <c r="CK361" s="29"/>
      <c r="CL361" s="29"/>
      <c r="CM361" s="29"/>
      <c r="CN361" s="29"/>
      <c r="CO361" s="29"/>
      <c r="CP361" s="29"/>
      <c r="CQ361" s="29"/>
      <c r="CR361" s="29"/>
      <c r="CS361" s="29"/>
      <c r="CT361" s="29"/>
      <c r="CU361" s="29"/>
      <c r="CV361" s="29"/>
      <c r="CW361" s="29"/>
    </row>
    <row r="362" spans="2:101" s="6" customFormat="1" ht="19.5" customHeight="1" x14ac:dyDescent="0.35">
      <c r="B362" s="364" t="s">
        <v>256</v>
      </c>
      <c r="C362" s="365"/>
      <c r="D362" s="366"/>
      <c r="E362" s="367"/>
      <c r="F362" s="368"/>
      <c r="G362" s="264"/>
      <c r="H362" s="265"/>
      <c r="I362" s="265"/>
      <c r="J362" s="265"/>
      <c r="K362" s="265"/>
      <c r="L362" s="265"/>
      <c r="M362" s="266"/>
      <c r="N362" s="369"/>
      <c r="O362" s="370"/>
      <c r="P362" s="371"/>
      <c r="Q362" s="370"/>
      <c r="R362" s="370"/>
      <c r="S362" s="372"/>
      <c r="T362" s="373"/>
      <c r="U362" s="374"/>
      <c r="V362" s="375"/>
      <c r="W362" s="376"/>
      <c r="X362" s="377"/>
      <c r="Y362" s="29">
        <v>22</v>
      </c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  <c r="CF362" s="29"/>
      <c r="CG362" s="29"/>
      <c r="CH362" s="29"/>
      <c r="CI362" s="29"/>
      <c r="CJ362" s="29"/>
      <c r="CK362" s="29"/>
      <c r="CL362" s="29"/>
      <c r="CM362" s="29"/>
      <c r="CN362" s="29"/>
      <c r="CO362" s="29"/>
      <c r="CP362" s="29"/>
      <c r="CQ362" s="29"/>
      <c r="CR362" s="29"/>
      <c r="CS362" s="29"/>
      <c r="CT362" s="29"/>
      <c r="CU362" s="29"/>
      <c r="CV362" s="29"/>
      <c r="CW362" s="29"/>
    </row>
    <row r="363" spans="2:101" s="6" customFormat="1" ht="19.5" customHeight="1" x14ac:dyDescent="0.35">
      <c r="B363" s="364" t="s">
        <v>257</v>
      </c>
      <c r="C363" s="365"/>
      <c r="D363" s="366"/>
      <c r="E363" s="367"/>
      <c r="F363" s="368"/>
      <c r="G363" s="264"/>
      <c r="H363" s="265"/>
      <c r="I363" s="265"/>
      <c r="J363" s="265"/>
      <c r="K363" s="265"/>
      <c r="L363" s="265"/>
      <c r="M363" s="266"/>
      <c r="N363" s="369"/>
      <c r="O363" s="370"/>
      <c r="P363" s="371"/>
      <c r="Q363" s="370"/>
      <c r="R363" s="370"/>
      <c r="S363" s="372"/>
      <c r="T363" s="373"/>
      <c r="U363" s="374"/>
      <c r="V363" s="375"/>
      <c r="W363" s="376"/>
      <c r="X363" s="377"/>
      <c r="Y363" s="29">
        <v>23</v>
      </c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  <c r="CF363" s="29"/>
      <c r="CG363" s="29"/>
      <c r="CH363" s="29"/>
      <c r="CI363" s="29"/>
      <c r="CJ363" s="29"/>
      <c r="CK363" s="29"/>
      <c r="CL363" s="29"/>
      <c r="CM363" s="29"/>
      <c r="CN363" s="29"/>
      <c r="CO363" s="29"/>
      <c r="CP363" s="29"/>
      <c r="CQ363" s="29"/>
      <c r="CR363" s="29"/>
      <c r="CS363" s="29"/>
      <c r="CT363" s="29"/>
      <c r="CU363" s="29"/>
      <c r="CV363" s="29"/>
      <c r="CW363" s="29"/>
    </row>
    <row r="364" spans="2:101" s="6" customFormat="1" ht="19.5" customHeight="1" x14ac:dyDescent="0.35">
      <c r="B364" s="364" t="s">
        <v>258</v>
      </c>
      <c r="C364" s="365"/>
      <c r="D364" s="366"/>
      <c r="E364" s="367"/>
      <c r="F364" s="368"/>
      <c r="G364" s="264"/>
      <c r="H364" s="265"/>
      <c r="I364" s="265"/>
      <c r="J364" s="265"/>
      <c r="K364" s="265"/>
      <c r="L364" s="265"/>
      <c r="M364" s="266"/>
      <c r="N364" s="369"/>
      <c r="O364" s="370"/>
      <c r="P364" s="371"/>
      <c r="Q364" s="370"/>
      <c r="R364" s="370"/>
      <c r="S364" s="372"/>
      <c r="T364" s="373"/>
      <c r="U364" s="374"/>
      <c r="V364" s="375"/>
      <c r="W364" s="376"/>
      <c r="X364" s="377"/>
      <c r="Y364" s="29">
        <v>24</v>
      </c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  <c r="CF364" s="29"/>
      <c r="CG364" s="29"/>
      <c r="CH364" s="29"/>
      <c r="CI364" s="29"/>
      <c r="CJ364" s="29"/>
      <c r="CK364" s="29"/>
      <c r="CL364" s="29"/>
      <c r="CM364" s="29"/>
      <c r="CN364" s="29"/>
      <c r="CO364" s="29"/>
      <c r="CP364" s="29"/>
      <c r="CQ364" s="29"/>
      <c r="CR364" s="29"/>
      <c r="CS364" s="29"/>
      <c r="CT364" s="29"/>
      <c r="CU364" s="29"/>
      <c r="CV364" s="29"/>
      <c r="CW364" s="29"/>
    </row>
    <row r="365" spans="2:101" s="6" customFormat="1" ht="19.5" customHeight="1" x14ac:dyDescent="0.35">
      <c r="B365" s="364" t="s">
        <v>259</v>
      </c>
      <c r="C365" s="365"/>
      <c r="D365" s="366"/>
      <c r="E365" s="367"/>
      <c r="F365" s="368"/>
      <c r="G365" s="264"/>
      <c r="H365" s="265"/>
      <c r="I365" s="265"/>
      <c r="J365" s="265"/>
      <c r="K365" s="265"/>
      <c r="L365" s="265"/>
      <c r="M365" s="266"/>
      <c r="N365" s="369"/>
      <c r="O365" s="370"/>
      <c r="P365" s="371"/>
      <c r="Q365" s="370"/>
      <c r="R365" s="370"/>
      <c r="S365" s="372"/>
      <c r="T365" s="373"/>
      <c r="U365" s="374"/>
      <c r="V365" s="375"/>
      <c r="W365" s="376"/>
      <c r="X365" s="377"/>
      <c r="Y365" s="29">
        <v>25</v>
      </c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  <c r="CF365" s="29"/>
      <c r="CG365" s="29"/>
      <c r="CH365" s="29"/>
      <c r="CI365" s="29"/>
      <c r="CJ365" s="29"/>
      <c r="CK365" s="29"/>
      <c r="CL365" s="29"/>
      <c r="CM365" s="29"/>
      <c r="CN365" s="29"/>
      <c r="CO365" s="29"/>
      <c r="CP365" s="29"/>
      <c r="CQ365" s="29"/>
      <c r="CR365" s="29"/>
      <c r="CS365" s="29"/>
      <c r="CT365" s="29"/>
      <c r="CU365" s="29"/>
      <c r="CV365" s="29"/>
      <c r="CW365" s="29"/>
    </row>
    <row r="366" spans="2:101" s="6" customFormat="1" ht="19.5" customHeight="1" x14ac:dyDescent="0.35">
      <c r="B366" s="364" t="s">
        <v>260</v>
      </c>
      <c r="C366" s="365"/>
      <c r="D366" s="366"/>
      <c r="E366" s="367"/>
      <c r="F366" s="368"/>
      <c r="G366" s="264"/>
      <c r="H366" s="265"/>
      <c r="I366" s="265"/>
      <c r="J366" s="265"/>
      <c r="K366" s="265"/>
      <c r="L366" s="265"/>
      <c r="M366" s="266"/>
      <c r="N366" s="369"/>
      <c r="O366" s="370"/>
      <c r="P366" s="371"/>
      <c r="Q366" s="370"/>
      <c r="R366" s="370"/>
      <c r="S366" s="372"/>
      <c r="T366" s="373"/>
      <c r="U366" s="374"/>
      <c r="V366" s="375"/>
      <c r="W366" s="376"/>
      <c r="X366" s="377"/>
      <c r="Y366" s="29">
        <v>26</v>
      </c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  <c r="CF366" s="29"/>
      <c r="CG366" s="29"/>
      <c r="CH366" s="29"/>
      <c r="CI366" s="29"/>
      <c r="CJ366" s="29"/>
      <c r="CK366" s="29"/>
      <c r="CL366" s="29"/>
      <c r="CM366" s="29"/>
      <c r="CN366" s="29"/>
      <c r="CO366" s="29"/>
      <c r="CP366" s="29"/>
      <c r="CQ366" s="29"/>
      <c r="CR366" s="29"/>
      <c r="CS366" s="29"/>
      <c r="CT366" s="29"/>
      <c r="CU366" s="29"/>
      <c r="CV366" s="29"/>
      <c r="CW366" s="29"/>
    </row>
    <row r="367" spans="2:101" s="6" customFormat="1" ht="19.5" customHeight="1" x14ac:dyDescent="0.35">
      <c r="B367" s="364" t="s">
        <v>261</v>
      </c>
      <c r="C367" s="365"/>
      <c r="D367" s="366"/>
      <c r="E367" s="367"/>
      <c r="F367" s="368"/>
      <c r="G367" s="264"/>
      <c r="H367" s="265"/>
      <c r="I367" s="265"/>
      <c r="J367" s="265"/>
      <c r="K367" s="265"/>
      <c r="L367" s="265"/>
      <c r="M367" s="266"/>
      <c r="N367" s="369"/>
      <c r="O367" s="370"/>
      <c r="P367" s="371"/>
      <c r="Q367" s="370"/>
      <c r="R367" s="370"/>
      <c r="S367" s="372"/>
      <c r="T367" s="373"/>
      <c r="U367" s="374"/>
      <c r="V367" s="375"/>
      <c r="W367" s="376"/>
      <c r="X367" s="377"/>
      <c r="Y367" s="29">
        <v>27</v>
      </c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  <c r="CF367" s="29"/>
      <c r="CG367" s="29"/>
      <c r="CH367" s="29"/>
      <c r="CI367" s="29"/>
      <c r="CJ367" s="29"/>
      <c r="CK367" s="29"/>
      <c r="CL367" s="29"/>
      <c r="CM367" s="29"/>
      <c r="CN367" s="29"/>
      <c r="CO367" s="29"/>
      <c r="CP367" s="29"/>
      <c r="CQ367" s="29"/>
      <c r="CR367" s="29"/>
      <c r="CS367" s="29"/>
      <c r="CT367" s="29"/>
      <c r="CU367" s="29"/>
      <c r="CV367" s="29"/>
      <c r="CW367" s="29"/>
    </row>
    <row r="368" spans="2:101" s="6" customFormat="1" ht="19.5" customHeight="1" x14ac:dyDescent="0.35">
      <c r="B368" s="364" t="s">
        <v>262</v>
      </c>
      <c r="C368" s="365"/>
      <c r="D368" s="366"/>
      <c r="E368" s="367"/>
      <c r="F368" s="368"/>
      <c r="G368" s="264"/>
      <c r="H368" s="265"/>
      <c r="I368" s="265"/>
      <c r="J368" s="265"/>
      <c r="K368" s="265"/>
      <c r="L368" s="265"/>
      <c r="M368" s="266"/>
      <c r="N368" s="369"/>
      <c r="O368" s="370"/>
      <c r="P368" s="371"/>
      <c r="Q368" s="370"/>
      <c r="R368" s="370"/>
      <c r="S368" s="372"/>
      <c r="T368" s="373"/>
      <c r="U368" s="374"/>
      <c r="V368" s="375"/>
      <c r="W368" s="376"/>
      <c r="X368" s="377"/>
      <c r="Y368" s="29">
        <v>28</v>
      </c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  <c r="CF368" s="29"/>
      <c r="CG368" s="29"/>
      <c r="CH368" s="29"/>
      <c r="CI368" s="29"/>
      <c r="CJ368" s="29"/>
      <c r="CK368" s="29"/>
      <c r="CL368" s="29"/>
      <c r="CM368" s="29"/>
      <c r="CN368" s="29"/>
      <c r="CO368" s="29"/>
      <c r="CP368" s="29"/>
      <c r="CQ368" s="29"/>
      <c r="CR368" s="29"/>
      <c r="CS368" s="29"/>
      <c r="CT368" s="29"/>
      <c r="CU368" s="29"/>
      <c r="CV368" s="29"/>
      <c r="CW368" s="29"/>
    </row>
    <row r="369" spans="1:108" s="6" customFormat="1" ht="19.5" customHeight="1" x14ac:dyDescent="0.35">
      <c r="B369" s="364" t="s">
        <v>263</v>
      </c>
      <c r="C369" s="365"/>
      <c r="D369" s="366"/>
      <c r="E369" s="367"/>
      <c r="F369" s="368"/>
      <c r="G369" s="264"/>
      <c r="H369" s="265"/>
      <c r="I369" s="265"/>
      <c r="J369" s="265"/>
      <c r="K369" s="265"/>
      <c r="L369" s="265"/>
      <c r="M369" s="266"/>
      <c r="N369" s="369"/>
      <c r="O369" s="370"/>
      <c r="P369" s="371"/>
      <c r="Q369" s="370"/>
      <c r="R369" s="370"/>
      <c r="S369" s="372"/>
      <c r="T369" s="373"/>
      <c r="U369" s="374"/>
      <c r="V369" s="375"/>
      <c r="W369" s="376"/>
      <c r="X369" s="377"/>
      <c r="Y369" s="29">
        <v>29</v>
      </c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  <c r="CF369" s="29"/>
      <c r="CG369" s="29"/>
      <c r="CH369" s="29"/>
      <c r="CI369" s="29"/>
      <c r="CJ369" s="29"/>
      <c r="CK369" s="29"/>
      <c r="CL369" s="29"/>
      <c r="CM369" s="29"/>
      <c r="CN369" s="29"/>
      <c r="CO369" s="29"/>
      <c r="CP369" s="29"/>
      <c r="CQ369" s="29"/>
      <c r="CR369" s="29"/>
      <c r="CS369" s="29"/>
      <c r="CT369" s="29"/>
      <c r="CU369" s="29"/>
      <c r="CV369" s="29"/>
      <c r="CW369" s="29"/>
    </row>
    <row r="370" spans="1:108" s="6" customFormat="1" ht="19.5" customHeight="1" x14ac:dyDescent="0.35">
      <c r="B370" s="364" t="s">
        <v>264</v>
      </c>
      <c r="C370" s="365"/>
      <c r="D370" s="366"/>
      <c r="E370" s="367"/>
      <c r="F370" s="368"/>
      <c r="G370" s="264"/>
      <c r="H370" s="265"/>
      <c r="I370" s="265"/>
      <c r="J370" s="265"/>
      <c r="K370" s="265"/>
      <c r="L370" s="265"/>
      <c r="M370" s="266"/>
      <c r="N370" s="369"/>
      <c r="O370" s="370"/>
      <c r="P370" s="371"/>
      <c r="Q370" s="370"/>
      <c r="R370" s="370"/>
      <c r="S370" s="372"/>
      <c r="T370" s="373"/>
      <c r="U370" s="374"/>
      <c r="V370" s="375"/>
      <c r="W370" s="376"/>
      <c r="X370" s="377"/>
      <c r="Y370" s="29">
        <v>30</v>
      </c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  <c r="CF370" s="29"/>
      <c r="CG370" s="29"/>
      <c r="CH370" s="29"/>
      <c r="CI370" s="29"/>
      <c r="CJ370" s="29"/>
      <c r="CK370" s="29"/>
      <c r="CL370" s="29"/>
      <c r="CM370" s="29"/>
      <c r="CN370" s="29"/>
      <c r="CO370" s="29"/>
      <c r="CP370" s="29"/>
      <c r="CQ370" s="29"/>
      <c r="CR370" s="29"/>
      <c r="CS370" s="29"/>
      <c r="CT370" s="29"/>
      <c r="CU370" s="29"/>
      <c r="CV370" s="29"/>
      <c r="CW370" s="29"/>
    </row>
    <row r="371" spans="1:108" s="6" customFormat="1" ht="19.5" customHeight="1" x14ac:dyDescent="0.35">
      <c r="B371" s="364" t="s">
        <v>265</v>
      </c>
      <c r="C371" s="365"/>
      <c r="D371" s="366"/>
      <c r="E371" s="367"/>
      <c r="F371" s="368"/>
      <c r="G371" s="264"/>
      <c r="H371" s="265"/>
      <c r="I371" s="265"/>
      <c r="J371" s="265"/>
      <c r="K371" s="265"/>
      <c r="L371" s="265"/>
      <c r="M371" s="266"/>
      <c r="N371" s="369"/>
      <c r="O371" s="370"/>
      <c r="P371" s="371"/>
      <c r="Q371" s="370"/>
      <c r="R371" s="370"/>
      <c r="S371" s="372"/>
      <c r="T371" s="373"/>
      <c r="U371" s="374"/>
      <c r="V371" s="375"/>
      <c r="W371" s="376"/>
      <c r="X371" s="377"/>
      <c r="Y371" s="29">
        <v>31</v>
      </c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  <c r="CF371" s="29"/>
      <c r="CG371" s="29"/>
      <c r="CH371" s="29"/>
      <c r="CI371" s="29"/>
      <c r="CJ371" s="29"/>
      <c r="CK371" s="29"/>
      <c r="CL371" s="29"/>
      <c r="CM371" s="29"/>
      <c r="CN371" s="29"/>
      <c r="CO371" s="29"/>
      <c r="CP371" s="29"/>
      <c r="CQ371" s="29"/>
      <c r="CR371" s="29"/>
      <c r="CS371" s="29"/>
      <c r="CT371" s="29"/>
      <c r="CU371" s="29"/>
      <c r="CV371" s="29"/>
      <c r="CW371" s="29"/>
    </row>
    <row r="372" spans="1:108" s="6" customFormat="1" ht="19.5" customHeight="1" x14ac:dyDescent="0.35">
      <c r="B372" s="364" t="s">
        <v>266</v>
      </c>
      <c r="C372" s="365"/>
      <c r="D372" s="366"/>
      <c r="E372" s="367"/>
      <c r="F372" s="368"/>
      <c r="G372" s="264"/>
      <c r="H372" s="265"/>
      <c r="I372" s="265"/>
      <c r="J372" s="265"/>
      <c r="K372" s="265"/>
      <c r="L372" s="265"/>
      <c r="M372" s="266"/>
      <c r="N372" s="369"/>
      <c r="O372" s="370"/>
      <c r="P372" s="371"/>
      <c r="Q372" s="370"/>
      <c r="R372" s="370"/>
      <c r="S372" s="372"/>
      <c r="T372" s="373"/>
      <c r="U372" s="374"/>
      <c r="V372" s="375"/>
      <c r="W372" s="376"/>
      <c r="X372" s="377"/>
      <c r="Y372" s="29">
        <v>32</v>
      </c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  <c r="CF372" s="29"/>
      <c r="CG372" s="29"/>
      <c r="CH372" s="29"/>
      <c r="CI372" s="29"/>
      <c r="CJ372" s="29"/>
      <c r="CK372" s="29"/>
      <c r="CL372" s="29"/>
      <c r="CM372" s="29"/>
      <c r="CN372" s="29"/>
      <c r="CO372" s="29"/>
      <c r="CP372" s="29"/>
      <c r="CQ372" s="29"/>
      <c r="CR372" s="29"/>
      <c r="CS372" s="29"/>
      <c r="CT372" s="29"/>
      <c r="CU372" s="29"/>
      <c r="CV372" s="29"/>
      <c r="CW372" s="29"/>
    </row>
    <row r="373" spans="1:108" s="6" customFormat="1" ht="19.5" customHeight="1" x14ac:dyDescent="0.35">
      <c r="B373" s="364" t="s">
        <v>267</v>
      </c>
      <c r="C373" s="365"/>
      <c r="D373" s="366"/>
      <c r="E373" s="367"/>
      <c r="F373" s="368"/>
      <c r="G373" s="264"/>
      <c r="H373" s="265"/>
      <c r="I373" s="265"/>
      <c r="J373" s="265"/>
      <c r="K373" s="265"/>
      <c r="L373" s="265"/>
      <c r="M373" s="266"/>
      <c r="N373" s="369"/>
      <c r="O373" s="370"/>
      <c r="P373" s="371"/>
      <c r="Q373" s="370"/>
      <c r="R373" s="370"/>
      <c r="S373" s="372"/>
      <c r="T373" s="373"/>
      <c r="U373" s="374"/>
      <c r="V373" s="375"/>
      <c r="W373" s="376"/>
      <c r="X373" s="377"/>
      <c r="Y373" s="29">
        <v>33</v>
      </c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  <c r="CF373" s="29"/>
      <c r="CG373" s="29"/>
      <c r="CH373" s="29"/>
      <c r="CI373" s="29"/>
      <c r="CJ373" s="29"/>
      <c r="CK373" s="29"/>
      <c r="CL373" s="29"/>
      <c r="CM373" s="29"/>
      <c r="CN373" s="29"/>
      <c r="CO373" s="29"/>
      <c r="CP373" s="29"/>
      <c r="CQ373" s="29"/>
      <c r="CR373" s="29"/>
      <c r="CS373" s="29"/>
      <c r="CT373" s="29"/>
      <c r="CU373" s="29"/>
      <c r="CV373" s="29"/>
      <c r="CW373" s="29"/>
    </row>
    <row r="374" spans="1:108" s="6" customFormat="1" ht="15" customHeight="1" x14ac:dyDescent="0.35">
      <c r="A374" s="1"/>
      <c r="B374" s="267" t="s">
        <v>268</v>
      </c>
      <c r="C374" s="268"/>
      <c r="D374" s="269"/>
      <c r="E374" s="270"/>
      <c r="F374" s="271"/>
      <c r="G374" s="272"/>
      <c r="H374" s="273"/>
      <c r="I374" s="273"/>
      <c r="J374" s="273"/>
      <c r="K374" s="273"/>
      <c r="L374" s="273"/>
      <c r="M374" s="274"/>
      <c r="N374" s="275"/>
      <c r="O374" s="276"/>
      <c r="P374" s="277"/>
      <c r="Q374" s="276"/>
      <c r="R374" s="276"/>
      <c r="S374" s="278"/>
      <c r="T374" s="279"/>
      <c r="U374" s="280"/>
      <c r="V374" s="317"/>
      <c r="W374" s="335">
        <f>Q374*-3+T374*-1+V374*-1</f>
        <v>0</v>
      </c>
      <c r="X374" s="339"/>
      <c r="Y374" s="29">
        <v>34</v>
      </c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  <c r="CF374" s="29"/>
      <c r="CG374" s="29"/>
      <c r="CH374" s="29"/>
      <c r="CI374" s="29"/>
      <c r="CJ374" s="29"/>
      <c r="CK374" s="29"/>
      <c r="CL374" s="29"/>
      <c r="CM374" s="29"/>
      <c r="CN374" s="29"/>
      <c r="CO374" s="29"/>
      <c r="CP374" s="29"/>
      <c r="CQ374" s="29"/>
      <c r="CR374" s="29"/>
      <c r="CS374" s="29"/>
      <c r="CT374" s="29"/>
      <c r="CU374" s="29"/>
      <c r="CV374" s="29"/>
      <c r="CW374" s="29"/>
    </row>
    <row r="375" spans="1:108" ht="15" customHeight="1" x14ac:dyDescent="0.35">
      <c r="B375" s="267" t="s">
        <v>269</v>
      </c>
      <c r="C375" s="268"/>
      <c r="D375" s="269"/>
      <c r="E375" s="270"/>
      <c r="F375" s="271"/>
      <c r="G375" s="272"/>
      <c r="H375" s="273"/>
      <c r="I375" s="273"/>
      <c r="J375" s="273"/>
      <c r="K375" s="273"/>
      <c r="L375" s="273"/>
      <c r="M375" s="274"/>
      <c r="N375" s="275"/>
      <c r="O375" s="276"/>
      <c r="P375" s="277"/>
      <c r="Q375" s="276"/>
      <c r="R375" s="276"/>
      <c r="S375" s="278"/>
      <c r="T375" s="279"/>
      <c r="U375" s="280"/>
      <c r="V375" s="317"/>
      <c r="W375" s="335">
        <f t="shared" ref="W375:W380" si="7">Q375*-3+T375*-1+V375*-1</f>
        <v>0</v>
      </c>
      <c r="X375" s="339"/>
      <c r="Y375" s="29">
        <v>35</v>
      </c>
      <c r="CX375" s="1"/>
      <c r="CY375" s="1"/>
      <c r="CZ375" s="1"/>
      <c r="DA375" s="1"/>
      <c r="DB375" s="1"/>
      <c r="DC375" s="1"/>
      <c r="DD375" s="1"/>
    </row>
    <row r="376" spans="1:108" ht="15" customHeight="1" x14ac:dyDescent="0.35">
      <c r="B376" s="267" t="s">
        <v>270</v>
      </c>
      <c r="C376" s="268"/>
      <c r="D376" s="269"/>
      <c r="E376" s="270"/>
      <c r="F376" s="271"/>
      <c r="G376" s="272"/>
      <c r="H376" s="273"/>
      <c r="I376" s="273"/>
      <c r="J376" s="273"/>
      <c r="K376" s="273"/>
      <c r="L376" s="273"/>
      <c r="M376" s="274"/>
      <c r="N376" s="275"/>
      <c r="O376" s="276"/>
      <c r="P376" s="277"/>
      <c r="Q376" s="276"/>
      <c r="R376" s="276"/>
      <c r="S376" s="278"/>
      <c r="T376" s="279"/>
      <c r="U376" s="280"/>
      <c r="V376" s="317"/>
      <c r="W376" s="335">
        <f t="shared" si="7"/>
        <v>0</v>
      </c>
      <c r="X376" s="339"/>
      <c r="Y376" s="29">
        <v>36</v>
      </c>
      <c r="CX376" s="1"/>
      <c r="CY376" s="1"/>
      <c r="CZ376" s="1"/>
      <c r="DA376" s="1"/>
      <c r="DB376" s="1"/>
      <c r="DC376" s="1"/>
      <c r="DD376" s="1"/>
    </row>
    <row r="377" spans="1:108" ht="15" customHeight="1" x14ac:dyDescent="0.35">
      <c r="B377" s="267" t="s">
        <v>271</v>
      </c>
      <c r="C377" s="268"/>
      <c r="D377" s="269"/>
      <c r="E377" s="270"/>
      <c r="F377" s="271"/>
      <c r="G377" s="272"/>
      <c r="H377" s="273"/>
      <c r="I377" s="273"/>
      <c r="J377" s="273"/>
      <c r="K377" s="273"/>
      <c r="L377" s="273"/>
      <c r="M377" s="274"/>
      <c r="N377" s="275"/>
      <c r="O377" s="276"/>
      <c r="P377" s="277"/>
      <c r="Q377" s="276"/>
      <c r="R377" s="276"/>
      <c r="S377" s="278"/>
      <c r="T377" s="279"/>
      <c r="U377" s="280"/>
      <c r="V377" s="317"/>
      <c r="W377" s="335">
        <f t="shared" si="7"/>
        <v>0</v>
      </c>
      <c r="X377" s="339"/>
      <c r="Y377" s="29">
        <v>37</v>
      </c>
      <c r="CX377" s="1"/>
      <c r="CY377" s="1"/>
      <c r="CZ377" s="1"/>
      <c r="DA377" s="1"/>
      <c r="DB377" s="1"/>
      <c r="DC377" s="1"/>
      <c r="DD377" s="1"/>
    </row>
    <row r="378" spans="1:108" ht="15" customHeight="1" x14ac:dyDescent="0.35">
      <c r="B378" s="267" t="s">
        <v>272</v>
      </c>
      <c r="C378" s="268"/>
      <c r="D378" s="269"/>
      <c r="E378" s="270"/>
      <c r="F378" s="271"/>
      <c r="G378" s="272"/>
      <c r="H378" s="273"/>
      <c r="I378" s="273"/>
      <c r="J378" s="273"/>
      <c r="K378" s="273"/>
      <c r="L378" s="273"/>
      <c r="M378" s="274"/>
      <c r="N378" s="275"/>
      <c r="O378" s="276"/>
      <c r="P378" s="277"/>
      <c r="Q378" s="276"/>
      <c r="R378" s="276"/>
      <c r="S378" s="278"/>
      <c r="T378" s="279"/>
      <c r="U378" s="280"/>
      <c r="V378" s="317"/>
      <c r="W378" s="335">
        <f t="shared" si="7"/>
        <v>0</v>
      </c>
      <c r="X378" s="339"/>
      <c r="Y378" s="29">
        <v>38</v>
      </c>
      <c r="CX378" s="1"/>
      <c r="CY378" s="1"/>
      <c r="CZ378" s="1"/>
      <c r="DA378" s="1"/>
      <c r="DB378" s="1"/>
      <c r="DC378" s="1"/>
      <c r="DD378" s="1"/>
    </row>
    <row r="379" spans="1:108" ht="15" customHeight="1" x14ac:dyDescent="0.35">
      <c r="B379" s="267" t="s">
        <v>273</v>
      </c>
      <c r="C379" s="268"/>
      <c r="D379" s="269"/>
      <c r="E379" s="270"/>
      <c r="F379" s="271"/>
      <c r="G379" s="272"/>
      <c r="H379" s="273"/>
      <c r="I379" s="273"/>
      <c r="J379" s="273"/>
      <c r="K379" s="273"/>
      <c r="L379" s="273"/>
      <c r="M379" s="274"/>
      <c r="N379" s="275"/>
      <c r="O379" s="276"/>
      <c r="P379" s="277"/>
      <c r="Q379" s="276"/>
      <c r="R379" s="276"/>
      <c r="S379" s="278"/>
      <c r="T379" s="279"/>
      <c r="U379" s="280"/>
      <c r="V379" s="317"/>
      <c r="W379" s="335">
        <f t="shared" si="7"/>
        <v>0</v>
      </c>
      <c r="X379" s="339"/>
      <c r="Y379" s="29">
        <v>39</v>
      </c>
      <c r="CX379" s="1"/>
      <c r="CY379" s="1"/>
      <c r="CZ379" s="1"/>
      <c r="DA379" s="1"/>
      <c r="DB379" s="1"/>
      <c r="DC379" s="1"/>
      <c r="DD379" s="1"/>
    </row>
    <row r="380" spans="1:108" ht="15" customHeight="1" thickBot="1" x14ac:dyDescent="0.4">
      <c r="B380" s="282" t="s">
        <v>274</v>
      </c>
      <c r="C380" s="283"/>
      <c r="D380" s="284"/>
      <c r="E380" s="285"/>
      <c r="F380" s="286"/>
      <c r="G380" s="287"/>
      <c r="H380" s="288"/>
      <c r="I380" s="288"/>
      <c r="J380" s="288"/>
      <c r="K380" s="288"/>
      <c r="L380" s="288"/>
      <c r="M380" s="289"/>
      <c r="N380" s="290"/>
      <c r="O380" s="291"/>
      <c r="P380" s="292"/>
      <c r="Q380" s="291"/>
      <c r="R380" s="291"/>
      <c r="S380" s="293"/>
      <c r="T380" s="294"/>
      <c r="U380" s="295"/>
      <c r="V380" s="318"/>
      <c r="W380" s="335">
        <f t="shared" si="7"/>
        <v>0</v>
      </c>
      <c r="X380" s="340"/>
      <c r="Y380" s="29">
        <v>40</v>
      </c>
      <c r="CX380" s="1"/>
      <c r="CY380" s="1"/>
      <c r="CZ380" s="1"/>
      <c r="DA380" s="1"/>
      <c r="DB380" s="1"/>
      <c r="DC380" s="1"/>
      <c r="DD380" s="1"/>
    </row>
    <row r="381" spans="1:108" ht="15" customHeight="1" thickBot="1" x14ac:dyDescent="0.25">
      <c r="B381" s="171"/>
      <c r="C381" s="241"/>
      <c r="D381" s="250"/>
      <c r="E381" s="251"/>
      <c r="F381" s="252"/>
      <c r="G381" s="255"/>
      <c r="H381" s="245"/>
      <c r="I381" s="245"/>
      <c r="J381" s="245"/>
      <c r="K381" s="245"/>
      <c r="L381" s="245"/>
      <c r="M381" s="246"/>
      <c r="N381" s="257"/>
      <c r="O381" s="192">
        <f>SUM(O341:O380)</f>
        <v>0</v>
      </c>
      <c r="P381" s="191" t="e">
        <f>AVERAGE(P341:P380)</f>
        <v>#DIV/0!</v>
      </c>
      <c r="Q381" s="191"/>
      <c r="R381" s="192">
        <f>SUM(R341:R380)</f>
        <v>0</v>
      </c>
      <c r="S381" s="191" t="e">
        <f>AVERAGE(S341:S380)</f>
        <v>#DIV/0!</v>
      </c>
      <c r="T381" s="191"/>
      <c r="U381" s="253" t="e">
        <f>AVERAGE(U341:U380)</f>
        <v>#DIV/0!</v>
      </c>
      <c r="V381" s="303"/>
      <c r="W381" s="336"/>
      <c r="X381" s="341"/>
      <c r="CX381" s="1"/>
      <c r="CY381" s="1"/>
      <c r="CZ381" s="1"/>
      <c r="DA381" s="1"/>
      <c r="DB381" s="1"/>
      <c r="DC381" s="1"/>
      <c r="DD381" s="1"/>
    </row>
    <row r="382" spans="1:108" ht="15" customHeight="1" x14ac:dyDescent="0.2">
      <c r="B382" s="3"/>
      <c r="C382" s="3"/>
      <c r="D382" s="3"/>
      <c r="E382" s="15"/>
      <c r="F382" s="3"/>
      <c r="G382" s="187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28"/>
      <c r="X382" s="3"/>
    </row>
    <row r="383" spans="1:108" ht="15" customHeight="1" x14ac:dyDescent="0.2">
      <c r="B383" s="3"/>
      <c r="C383" s="3"/>
      <c r="D383" s="3"/>
      <c r="E383" s="15"/>
      <c r="F383" s="3"/>
      <c r="G383" s="187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28"/>
      <c r="X383" s="3"/>
    </row>
    <row r="384" spans="1:108" ht="15" customHeight="1" x14ac:dyDescent="0.2">
      <c r="A384" s="24"/>
    </row>
    <row r="385" spans="1:1" ht="15" customHeight="1" x14ac:dyDescent="0.2">
      <c r="A385" s="24"/>
    </row>
    <row r="386" spans="1:1" ht="15" customHeight="1" x14ac:dyDescent="0.2">
      <c r="A386" s="24"/>
    </row>
    <row r="387" spans="1:1" ht="15" hidden="1" customHeight="1" x14ac:dyDescent="0.2">
      <c r="A387" s="24"/>
    </row>
    <row r="388" spans="1:1" ht="15" hidden="1" customHeight="1" x14ac:dyDescent="0.2">
      <c r="A388" s="24"/>
    </row>
    <row r="389" spans="1:1" ht="15" hidden="1" customHeight="1" x14ac:dyDescent="0.2">
      <c r="A389" s="24"/>
    </row>
    <row r="390" spans="1:1" ht="15" hidden="1" customHeight="1" x14ac:dyDescent="0.2">
      <c r="A390" s="24"/>
    </row>
    <row r="391" spans="1:1" ht="15" hidden="1" customHeight="1" x14ac:dyDescent="0.2">
      <c r="A391" s="24"/>
    </row>
    <row r="392" spans="1:1" ht="15" hidden="1" customHeight="1" x14ac:dyDescent="0.2">
      <c r="A392" s="24"/>
    </row>
    <row r="393" spans="1:1" ht="15" hidden="1" customHeight="1" x14ac:dyDescent="0.2">
      <c r="A393" s="24"/>
    </row>
    <row r="394" spans="1:1" ht="15" hidden="1" customHeight="1" x14ac:dyDescent="0.2">
      <c r="A394" s="24"/>
    </row>
    <row r="395" spans="1:1" ht="15" hidden="1" customHeight="1" x14ac:dyDescent="0.2">
      <c r="A395" s="24"/>
    </row>
    <row r="396" spans="1:1" ht="15" hidden="1" customHeight="1" x14ac:dyDescent="0.2">
      <c r="A396" s="24"/>
    </row>
    <row r="397" spans="1:1" ht="15" hidden="1" customHeight="1" x14ac:dyDescent="0.2">
      <c r="A397" s="24"/>
    </row>
    <row r="398" spans="1:1" ht="15" hidden="1" customHeight="1" x14ac:dyDescent="0.2">
      <c r="A398" s="24"/>
    </row>
    <row r="399" spans="1:1" ht="15" hidden="1" customHeight="1" x14ac:dyDescent="0.2">
      <c r="A399" s="24"/>
    </row>
    <row r="400" spans="1:1" ht="15" hidden="1" customHeight="1" x14ac:dyDescent="0.2">
      <c r="A400" s="24"/>
    </row>
    <row r="401" spans="2:24" s="24" customFormat="1" ht="59.25" customHeight="1" x14ac:dyDescent="0.2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28"/>
      <c r="X401" s="3"/>
    </row>
    <row r="402" spans="2:24" s="24" customFormat="1" ht="11.25" customHeight="1" thickBot="1" x14ac:dyDescent="0.25">
      <c r="B402" s="401" t="s">
        <v>50</v>
      </c>
      <c r="C402" s="40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327"/>
      <c r="X402" s="1"/>
    </row>
    <row r="403" spans="2:24" s="24" customFormat="1" ht="12.95" customHeight="1" thickBot="1" x14ac:dyDescent="0.25">
      <c r="B403" s="389" t="s">
        <v>1</v>
      </c>
      <c r="C403" s="387" t="s">
        <v>77</v>
      </c>
      <c r="D403" s="389" t="s">
        <v>51</v>
      </c>
      <c r="E403" s="385" t="s">
        <v>4</v>
      </c>
      <c r="F403" s="391" t="s">
        <v>111</v>
      </c>
      <c r="G403" s="398" t="s">
        <v>52</v>
      </c>
      <c r="H403" s="399"/>
      <c r="I403" s="399"/>
      <c r="J403" s="399"/>
      <c r="K403" s="399"/>
      <c r="L403" s="399"/>
      <c r="M403" s="399"/>
      <c r="N403" s="399"/>
      <c r="O403" s="399"/>
      <c r="P403" s="400"/>
      <c r="Q403" s="393" t="s">
        <v>53</v>
      </c>
      <c r="R403" s="394"/>
      <c r="S403" s="394"/>
      <c r="T403" s="394"/>
      <c r="U403" s="394"/>
      <c r="V403" s="394"/>
      <c r="W403" s="395"/>
      <c r="X403" s="187"/>
    </row>
    <row r="404" spans="2:24" s="24" customFormat="1" ht="29.25" customHeight="1" thickBot="1" x14ac:dyDescent="0.25">
      <c r="B404" s="396"/>
      <c r="C404" s="388"/>
      <c r="D404" s="390"/>
      <c r="E404" s="397"/>
      <c r="F404" s="392"/>
      <c r="G404" s="140" t="s">
        <v>54</v>
      </c>
      <c r="H404" s="9" t="s">
        <v>55</v>
      </c>
      <c r="I404" s="9" t="s">
        <v>56</v>
      </c>
      <c r="J404" s="9" t="s">
        <v>57</v>
      </c>
      <c r="K404" s="9" t="s">
        <v>58</v>
      </c>
      <c r="L404" s="9" t="s">
        <v>59</v>
      </c>
      <c r="M404" s="9" t="s">
        <v>60</v>
      </c>
      <c r="N404" s="9" t="s">
        <v>61</v>
      </c>
      <c r="O404" s="141" t="s">
        <v>62</v>
      </c>
      <c r="P404" s="151" t="s">
        <v>63</v>
      </c>
      <c r="Q404" s="152" t="s">
        <v>54</v>
      </c>
      <c r="R404" s="153" t="s">
        <v>55</v>
      </c>
      <c r="S404" s="153" t="s">
        <v>56</v>
      </c>
      <c r="T404" s="153" t="s">
        <v>57</v>
      </c>
      <c r="U404" s="153" t="s">
        <v>58</v>
      </c>
      <c r="V404" s="153" t="s">
        <v>59</v>
      </c>
      <c r="W404" s="329" t="s">
        <v>60</v>
      </c>
      <c r="X404" s="302"/>
    </row>
    <row r="405" spans="2:24" s="24" customFormat="1" ht="16.5" customHeight="1" x14ac:dyDescent="0.2">
      <c r="B405" s="259" t="s">
        <v>75</v>
      </c>
      <c r="C405" s="145"/>
      <c r="D405" s="142"/>
      <c r="E405" s="12"/>
      <c r="F405" s="32"/>
      <c r="G405" s="34"/>
      <c r="H405" s="35"/>
      <c r="I405" s="35"/>
      <c r="J405" s="35"/>
      <c r="K405" s="35"/>
      <c r="L405" s="35"/>
      <c r="M405" s="35"/>
      <c r="N405" s="35"/>
      <c r="O405" s="35"/>
      <c r="P405" s="155"/>
      <c r="Q405" s="183"/>
      <c r="R405" s="184"/>
      <c r="S405" s="184"/>
      <c r="T405" s="184"/>
      <c r="U405" s="185"/>
      <c r="V405" s="185"/>
      <c r="W405" s="330"/>
      <c r="X405" s="24">
        <v>1</v>
      </c>
    </row>
    <row r="406" spans="2:24" s="24" customFormat="1" ht="16.5" customHeight="1" x14ac:dyDescent="0.2">
      <c r="B406" s="364" t="s">
        <v>76</v>
      </c>
      <c r="C406" s="360"/>
      <c r="D406" s="361"/>
      <c r="E406" s="349"/>
      <c r="F406" s="358"/>
      <c r="G406" s="378"/>
      <c r="H406" s="299"/>
      <c r="I406" s="299"/>
      <c r="J406" s="299"/>
      <c r="K406" s="299"/>
      <c r="L406" s="299"/>
      <c r="M406" s="299"/>
      <c r="N406" s="299"/>
      <c r="O406" s="299"/>
      <c r="P406" s="379"/>
      <c r="Q406" s="156"/>
      <c r="R406" s="157"/>
      <c r="S406" s="157"/>
      <c r="T406" s="157"/>
      <c r="U406" s="158"/>
      <c r="V406" s="158"/>
      <c r="W406" s="380"/>
      <c r="X406" s="24">
        <v>2</v>
      </c>
    </row>
    <row r="407" spans="2:24" s="24" customFormat="1" ht="16.5" customHeight="1" x14ac:dyDescent="0.2">
      <c r="B407" s="364" t="s">
        <v>66</v>
      </c>
      <c r="C407" s="360"/>
      <c r="D407" s="361"/>
      <c r="E407" s="349"/>
      <c r="F407" s="358"/>
      <c r="G407" s="378"/>
      <c r="H407" s="299"/>
      <c r="I407" s="299"/>
      <c r="J407" s="299"/>
      <c r="K407" s="299"/>
      <c r="L407" s="299"/>
      <c r="M407" s="299"/>
      <c r="N407" s="299"/>
      <c r="O407" s="299"/>
      <c r="P407" s="379"/>
      <c r="Q407" s="156"/>
      <c r="R407" s="157"/>
      <c r="S407" s="157"/>
      <c r="T407" s="157"/>
      <c r="U407" s="158"/>
      <c r="V407" s="158"/>
      <c r="W407" s="380"/>
      <c r="X407" s="24">
        <v>3</v>
      </c>
    </row>
    <row r="408" spans="2:24" s="24" customFormat="1" ht="16.5" customHeight="1" x14ac:dyDescent="0.2">
      <c r="B408" s="364" t="s">
        <v>67</v>
      </c>
      <c r="C408" s="360"/>
      <c r="D408" s="361"/>
      <c r="E408" s="349"/>
      <c r="F408" s="358"/>
      <c r="G408" s="378"/>
      <c r="H408" s="299"/>
      <c r="I408" s="299"/>
      <c r="J408" s="299"/>
      <c r="K408" s="299"/>
      <c r="L408" s="299"/>
      <c r="M408" s="299"/>
      <c r="N408" s="299"/>
      <c r="O408" s="299"/>
      <c r="P408" s="379"/>
      <c r="Q408" s="156"/>
      <c r="R408" s="157"/>
      <c r="S408" s="157"/>
      <c r="T408" s="157"/>
      <c r="U408" s="158"/>
      <c r="V408" s="158"/>
      <c r="W408" s="380"/>
      <c r="X408" s="24">
        <v>4</v>
      </c>
    </row>
    <row r="409" spans="2:24" s="24" customFormat="1" ht="16.5" customHeight="1" x14ac:dyDescent="0.2">
      <c r="B409" s="364" t="s">
        <v>68</v>
      </c>
      <c r="C409" s="360"/>
      <c r="D409" s="361"/>
      <c r="E409" s="349"/>
      <c r="F409" s="358"/>
      <c r="G409" s="378"/>
      <c r="H409" s="299"/>
      <c r="I409" s="299"/>
      <c r="J409" s="299"/>
      <c r="K409" s="299"/>
      <c r="L409" s="299"/>
      <c r="M409" s="299"/>
      <c r="N409" s="299"/>
      <c r="O409" s="299"/>
      <c r="P409" s="379"/>
      <c r="Q409" s="156"/>
      <c r="R409" s="157"/>
      <c r="S409" s="157"/>
      <c r="T409" s="157"/>
      <c r="U409" s="158"/>
      <c r="V409" s="158"/>
      <c r="W409" s="380"/>
      <c r="X409" s="24">
        <v>5</v>
      </c>
    </row>
    <row r="410" spans="2:24" s="24" customFormat="1" ht="16.5" customHeight="1" x14ac:dyDescent="0.2">
      <c r="B410" s="364" t="s">
        <v>69</v>
      </c>
      <c r="C410" s="360"/>
      <c r="D410" s="361"/>
      <c r="E410" s="349"/>
      <c r="F410" s="358"/>
      <c r="G410" s="378"/>
      <c r="H410" s="299"/>
      <c r="I410" s="299"/>
      <c r="J410" s="299"/>
      <c r="K410" s="299"/>
      <c r="L410" s="299"/>
      <c r="M410" s="299"/>
      <c r="N410" s="299"/>
      <c r="O410" s="299"/>
      <c r="P410" s="379"/>
      <c r="Q410" s="156"/>
      <c r="R410" s="157"/>
      <c r="S410" s="157"/>
      <c r="T410" s="157"/>
      <c r="U410" s="158"/>
      <c r="V410" s="158"/>
      <c r="W410" s="380"/>
      <c r="X410" s="24">
        <v>6</v>
      </c>
    </row>
    <row r="411" spans="2:24" s="24" customFormat="1" ht="16.5" customHeight="1" x14ac:dyDescent="0.2">
      <c r="B411" s="364" t="s">
        <v>70</v>
      </c>
      <c r="C411" s="360"/>
      <c r="D411" s="361"/>
      <c r="E411" s="349"/>
      <c r="F411" s="358"/>
      <c r="G411" s="378"/>
      <c r="H411" s="299"/>
      <c r="I411" s="299"/>
      <c r="J411" s="299"/>
      <c r="K411" s="299"/>
      <c r="L411" s="299"/>
      <c r="M411" s="299"/>
      <c r="N411" s="299"/>
      <c r="O411" s="299"/>
      <c r="P411" s="379"/>
      <c r="Q411" s="156"/>
      <c r="R411" s="157"/>
      <c r="S411" s="157"/>
      <c r="T411" s="157"/>
      <c r="U411" s="158"/>
      <c r="V411" s="158"/>
      <c r="W411" s="380"/>
      <c r="X411" s="24">
        <v>7</v>
      </c>
    </row>
    <row r="412" spans="2:24" s="24" customFormat="1" ht="16.5" customHeight="1" x14ac:dyDescent="0.2">
      <c r="B412" s="364" t="s">
        <v>71</v>
      </c>
      <c r="C412" s="360"/>
      <c r="D412" s="361"/>
      <c r="E412" s="349"/>
      <c r="F412" s="358"/>
      <c r="G412" s="378"/>
      <c r="H412" s="299"/>
      <c r="I412" s="299"/>
      <c r="J412" s="299"/>
      <c r="K412" s="299"/>
      <c r="L412" s="299"/>
      <c r="M412" s="299"/>
      <c r="N412" s="299"/>
      <c r="O412" s="299"/>
      <c r="P412" s="379"/>
      <c r="Q412" s="156"/>
      <c r="R412" s="157"/>
      <c r="S412" s="157"/>
      <c r="T412" s="157"/>
      <c r="U412" s="158"/>
      <c r="V412" s="158"/>
      <c r="W412" s="380"/>
      <c r="X412" s="24">
        <v>8</v>
      </c>
    </row>
    <row r="413" spans="2:24" s="24" customFormat="1" ht="16.5" customHeight="1" x14ac:dyDescent="0.2">
      <c r="B413" s="364" t="s">
        <v>243</v>
      </c>
      <c r="C413" s="360"/>
      <c r="D413" s="361"/>
      <c r="E413" s="349"/>
      <c r="F413" s="358"/>
      <c r="G413" s="378"/>
      <c r="H413" s="299"/>
      <c r="I413" s="299"/>
      <c r="J413" s="299"/>
      <c r="K413" s="299"/>
      <c r="L413" s="299"/>
      <c r="M413" s="299"/>
      <c r="N413" s="299"/>
      <c r="O413" s="299"/>
      <c r="P413" s="379"/>
      <c r="Q413" s="156"/>
      <c r="R413" s="157"/>
      <c r="S413" s="157"/>
      <c r="T413" s="157"/>
      <c r="U413" s="158"/>
      <c r="V413" s="158"/>
      <c r="W413" s="380"/>
      <c r="X413" s="24">
        <v>9</v>
      </c>
    </row>
    <row r="414" spans="2:24" s="24" customFormat="1" ht="16.5" customHeight="1" x14ac:dyDescent="0.2">
      <c r="B414" s="364" t="s">
        <v>244</v>
      </c>
      <c r="C414" s="360"/>
      <c r="D414" s="361"/>
      <c r="E414" s="349"/>
      <c r="F414" s="358"/>
      <c r="G414" s="378"/>
      <c r="H414" s="299"/>
      <c r="I414" s="299"/>
      <c r="J414" s="299"/>
      <c r="K414" s="299"/>
      <c r="L414" s="299"/>
      <c r="M414" s="299"/>
      <c r="N414" s="299"/>
      <c r="O414" s="299"/>
      <c r="P414" s="379"/>
      <c r="Q414" s="156"/>
      <c r="R414" s="157"/>
      <c r="S414" s="157"/>
      <c r="T414" s="157"/>
      <c r="U414" s="158"/>
      <c r="V414" s="158"/>
      <c r="W414" s="380"/>
      <c r="X414" s="24">
        <v>10</v>
      </c>
    </row>
    <row r="415" spans="2:24" s="24" customFormat="1" ht="16.5" customHeight="1" x14ac:dyDescent="0.2">
      <c r="B415" s="364" t="s">
        <v>245</v>
      </c>
      <c r="C415" s="360"/>
      <c r="D415" s="361"/>
      <c r="E415" s="349"/>
      <c r="F415" s="358"/>
      <c r="G415" s="378"/>
      <c r="H415" s="299"/>
      <c r="I415" s="299"/>
      <c r="J415" s="299"/>
      <c r="K415" s="299"/>
      <c r="L415" s="299"/>
      <c r="M415" s="299"/>
      <c r="N415" s="299"/>
      <c r="O415" s="299"/>
      <c r="P415" s="379"/>
      <c r="Q415" s="156"/>
      <c r="R415" s="157"/>
      <c r="S415" s="157"/>
      <c r="T415" s="157"/>
      <c r="U415" s="158"/>
      <c r="V415" s="158"/>
      <c r="W415" s="380"/>
      <c r="X415" s="24">
        <v>11</v>
      </c>
    </row>
    <row r="416" spans="2:24" s="24" customFormat="1" ht="16.5" customHeight="1" x14ac:dyDescent="0.2">
      <c r="B416" s="364" t="s">
        <v>246</v>
      </c>
      <c r="C416" s="360"/>
      <c r="D416" s="361"/>
      <c r="E416" s="349"/>
      <c r="F416" s="358"/>
      <c r="G416" s="378"/>
      <c r="H416" s="299"/>
      <c r="I416" s="299"/>
      <c r="J416" s="299"/>
      <c r="K416" s="299"/>
      <c r="L416" s="299"/>
      <c r="M416" s="299"/>
      <c r="N416" s="299"/>
      <c r="O416" s="299"/>
      <c r="P416" s="379"/>
      <c r="Q416" s="156"/>
      <c r="R416" s="157"/>
      <c r="S416" s="157"/>
      <c r="T416" s="157"/>
      <c r="U416" s="158"/>
      <c r="V416" s="158"/>
      <c r="W416" s="380"/>
      <c r="X416" s="24">
        <v>12</v>
      </c>
    </row>
    <row r="417" spans="2:24" s="24" customFormat="1" ht="16.5" customHeight="1" x14ac:dyDescent="0.2">
      <c r="B417" s="364" t="s">
        <v>247</v>
      </c>
      <c r="C417" s="360"/>
      <c r="D417" s="361"/>
      <c r="E417" s="349"/>
      <c r="F417" s="358"/>
      <c r="G417" s="378"/>
      <c r="H417" s="299"/>
      <c r="I417" s="299"/>
      <c r="J417" s="299"/>
      <c r="K417" s="299"/>
      <c r="L417" s="299"/>
      <c r="M417" s="299"/>
      <c r="N417" s="299"/>
      <c r="O417" s="299"/>
      <c r="P417" s="379"/>
      <c r="Q417" s="156"/>
      <c r="R417" s="157"/>
      <c r="S417" s="157"/>
      <c r="T417" s="157"/>
      <c r="U417" s="158"/>
      <c r="V417" s="158"/>
      <c r="W417" s="380"/>
      <c r="X417" s="24">
        <v>13</v>
      </c>
    </row>
    <row r="418" spans="2:24" s="24" customFormat="1" ht="16.5" customHeight="1" x14ac:dyDescent="0.2">
      <c r="B418" s="364" t="s">
        <v>248</v>
      </c>
      <c r="C418" s="360"/>
      <c r="D418" s="361"/>
      <c r="E418" s="349"/>
      <c r="F418" s="358"/>
      <c r="G418" s="378"/>
      <c r="H418" s="299"/>
      <c r="I418" s="299"/>
      <c r="J418" s="299"/>
      <c r="K418" s="299"/>
      <c r="L418" s="299"/>
      <c r="M418" s="299"/>
      <c r="N418" s="299"/>
      <c r="O418" s="299"/>
      <c r="P418" s="379"/>
      <c r="Q418" s="156"/>
      <c r="R418" s="157"/>
      <c r="S418" s="157"/>
      <c r="T418" s="157"/>
      <c r="U418" s="158"/>
      <c r="V418" s="158"/>
      <c r="W418" s="380"/>
      <c r="X418" s="24">
        <v>14</v>
      </c>
    </row>
    <row r="419" spans="2:24" s="24" customFormat="1" ht="16.5" customHeight="1" x14ac:dyDescent="0.2">
      <c r="B419" s="364" t="s">
        <v>249</v>
      </c>
      <c r="C419" s="360"/>
      <c r="D419" s="361"/>
      <c r="E419" s="349"/>
      <c r="F419" s="358"/>
      <c r="G419" s="378"/>
      <c r="H419" s="299"/>
      <c r="I419" s="299"/>
      <c r="J419" s="299"/>
      <c r="K419" s="299"/>
      <c r="L419" s="299"/>
      <c r="M419" s="299"/>
      <c r="N419" s="299"/>
      <c r="O419" s="299"/>
      <c r="P419" s="379"/>
      <c r="Q419" s="156"/>
      <c r="R419" s="157"/>
      <c r="S419" s="157"/>
      <c r="T419" s="157"/>
      <c r="U419" s="158"/>
      <c r="V419" s="158"/>
      <c r="W419" s="380"/>
      <c r="X419" s="24">
        <v>15</v>
      </c>
    </row>
    <row r="420" spans="2:24" s="24" customFormat="1" ht="16.5" customHeight="1" x14ac:dyDescent="0.2">
      <c r="B420" s="364" t="s">
        <v>250</v>
      </c>
      <c r="C420" s="360"/>
      <c r="D420" s="361"/>
      <c r="E420" s="349"/>
      <c r="F420" s="358"/>
      <c r="G420" s="378"/>
      <c r="H420" s="299"/>
      <c r="I420" s="299"/>
      <c r="J420" s="299"/>
      <c r="K420" s="299"/>
      <c r="L420" s="299"/>
      <c r="M420" s="299"/>
      <c r="N420" s="299"/>
      <c r="O420" s="299"/>
      <c r="P420" s="379"/>
      <c r="Q420" s="156"/>
      <c r="R420" s="157"/>
      <c r="S420" s="157"/>
      <c r="T420" s="157"/>
      <c r="U420" s="158"/>
      <c r="V420" s="158"/>
      <c r="W420" s="380"/>
      <c r="X420" s="24">
        <v>16</v>
      </c>
    </row>
    <row r="421" spans="2:24" s="24" customFormat="1" ht="16.5" customHeight="1" x14ac:dyDescent="0.2">
      <c r="B421" s="364" t="s">
        <v>251</v>
      </c>
      <c r="C421" s="360"/>
      <c r="D421" s="361"/>
      <c r="E421" s="349"/>
      <c r="F421" s="358"/>
      <c r="G421" s="378"/>
      <c r="H421" s="299"/>
      <c r="I421" s="299"/>
      <c r="J421" s="299"/>
      <c r="K421" s="299"/>
      <c r="L421" s="299"/>
      <c r="M421" s="299"/>
      <c r="N421" s="299"/>
      <c r="O421" s="299"/>
      <c r="P421" s="379"/>
      <c r="Q421" s="156"/>
      <c r="R421" s="157"/>
      <c r="S421" s="157"/>
      <c r="T421" s="157"/>
      <c r="U421" s="158"/>
      <c r="V421" s="158"/>
      <c r="W421" s="380"/>
      <c r="X421" s="24">
        <v>17</v>
      </c>
    </row>
    <row r="422" spans="2:24" s="24" customFormat="1" ht="16.5" customHeight="1" x14ac:dyDescent="0.2">
      <c r="B422" s="364" t="s">
        <v>252</v>
      </c>
      <c r="C422" s="360"/>
      <c r="D422" s="361"/>
      <c r="E422" s="349"/>
      <c r="F422" s="358"/>
      <c r="G422" s="378"/>
      <c r="H422" s="299"/>
      <c r="I422" s="299"/>
      <c r="J422" s="299"/>
      <c r="K422" s="299"/>
      <c r="L422" s="299"/>
      <c r="M422" s="299"/>
      <c r="N422" s="299"/>
      <c r="O422" s="299"/>
      <c r="P422" s="379"/>
      <c r="Q422" s="156"/>
      <c r="R422" s="157"/>
      <c r="S422" s="157"/>
      <c r="T422" s="157"/>
      <c r="U422" s="158"/>
      <c r="V422" s="158"/>
      <c r="W422" s="380"/>
      <c r="X422" s="24">
        <v>18</v>
      </c>
    </row>
    <row r="423" spans="2:24" s="24" customFormat="1" ht="16.5" customHeight="1" x14ac:dyDescent="0.2">
      <c r="B423" s="364" t="s">
        <v>253</v>
      </c>
      <c r="C423" s="360"/>
      <c r="D423" s="361"/>
      <c r="E423" s="349"/>
      <c r="F423" s="358"/>
      <c r="G423" s="378"/>
      <c r="H423" s="299"/>
      <c r="I423" s="299"/>
      <c r="J423" s="299"/>
      <c r="K423" s="299"/>
      <c r="L423" s="299"/>
      <c r="M423" s="299"/>
      <c r="N423" s="299"/>
      <c r="O423" s="299"/>
      <c r="P423" s="379"/>
      <c r="Q423" s="156"/>
      <c r="R423" s="157"/>
      <c r="S423" s="157"/>
      <c r="T423" s="157"/>
      <c r="U423" s="158"/>
      <c r="V423" s="158"/>
      <c r="W423" s="380"/>
      <c r="X423" s="24">
        <v>19</v>
      </c>
    </row>
    <row r="424" spans="2:24" s="24" customFormat="1" ht="16.5" customHeight="1" x14ac:dyDescent="0.2">
      <c r="B424" s="364" t="s">
        <v>254</v>
      </c>
      <c r="C424" s="360"/>
      <c r="D424" s="361"/>
      <c r="E424" s="349"/>
      <c r="F424" s="358"/>
      <c r="G424" s="378"/>
      <c r="H424" s="299"/>
      <c r="I424" s="299"/>
      <c r="J424" s="299"/>
      <c r="K424" s="299"/>
      <c r="L424" s="299"/>
      <c r="M424" s="299"/>
      <c r="N424" s="299"/>
      <c r="O424" s="299"/>
      <c r="P424" s="379"/>
      <c r="Q424" s="156"/>
      <c r="R424" s="157"/>
      <c r="S424" s="157"/>
      <c r="T424" s="157"/>
      <c r="U424" s="158"/>
      <c r="V424" s="158"/>
      <c r="W424" s="380"/>
      <c r="X424" s="24">
        <v>20</v>
      </c>
    </row>
    <row r="425" spans="2:24" s="24" customFormat="1" ht="16.5" customHeight="1" x14ac:dyDescent="0.2">
      <c r="B425" s="364" t="s">
        <v>255</v>
      </c>
      <c r="C425" s="360"/>
      <c r="D425" s="361"/>
      <c r="E425" s="349"/>
      <c r="F425" s="358"/>
      <c r="G425" s="378"/>
      <c r="H425" s="299"/>
      <c r="I425" s="299"/>
      <c r="J425" s="299"/>
      <c r="K425" s="299"/>
      <c r="L425" s="299"/>
      <c r="M425" s="299"/>
      <c r="N425" s="299"/>
      <c r="O425" s="299"/>
      <c r="P425" s="379"/>
      <c r="Q425" s="156"/>
      <c r="R425" s="157"/>
      <c r="S425" s="157"/>
      <c r="T425" s="157"/>
      <c r="U425" s="158"/>
      <c r="V425" s="158"/>
      <c r="W425" s="380"/>
      <c r="X425" s="24">
        <v>21</v>
      </c>
    </row>
    <row r="426" spans="2:24" s="24" customFormat="1" ht="16.5" customHeight="1" x14ac:dyDescent="0.2">
      <c r="B426" s="364" t="s">
        <v>256</v>
      </c>
      <c r="C426" s="360"/>
      <c r="D426" s="361"/>
      <c r="E426" s="349"/>
      <c r="F426" s="358"/>
      <c r="G426" s="378"/>
      <c r="H426" s="299"/>
      <c r="I426" s="299"/>
      <c r="J426" s="299"/>
      <c r="K426" s="299"/>
      <c r="L426" s="299"/>
      <c r="M426" s="299"/>
      <c r="N426" s="299"/>
      <c r="O426" s="299"/>
      <c r="P426" s="379"/>
      <c r="Q426" s="156"/>
      <c r="R426" s="157"/>
      <c r="S426" s="157"/>
      <c r="T426" s="157"/>
      <c r="U426" s="158"/>
      <c r="V426" s="158"/>
      <c r="W426" s="380"/>
      <c r="X426" s="24">
        <v>22</v>
      </c>
    </row>
    <row r="427" spans="2:24" s="24" customFormat="1" ht="16.5" customHeight="1" x14ac:dyDescent="0.2">
      <c r="B427" s="364" t="s">
        <v>257</v>
      </c>
      <c r="C427" s="360"/>
      <c r="D427" s="361"/>
      <c r="E427" s="349"/>
      <c r="F427" s="358"/>
      <c r="G427" s="378"/>
      <c r="H427" s="299"/>
      <c r="I427" s="299"/>
      <c r="J427" s="299"/>
      <c r="K427" s="299"/>
      <c r="L427" s="299"/>
      <c r="M427" s="299"/>
      <c r="N427" s="299"/>
      <c r="O427" s="299"/>
      <c r="P427" s="379"/>
      <c r="Q427" s="156"/>
      <c r="R427" s="157"/>
      <c r="S427" s="157"/>
      <c r="T427" s="157"/>
      <c r="U427" s="158"/>
      <c r="V427" s="158"/>
      <c r="W427" s="380"/>
      <c r="X427" s="24">
        <v>23</v>
      </c>
    </row>
    <row r="428" spans="2:24" s="24" customFormat="1" ht="16.5" customHeight="1" x14ac:dyDescent="0.2">
      <c r="B428" s="364" t="s">
        <v>258</v>
      </c>
      <c r="C428" s="360"/>
      <c r="D428" s="361"/>
      <c r="E428" s="349"/>
      <c r="F428" s="358"/>
      <c r="G428" s="378"/>
      <c r="H428" s="299"/>
      <c r="I428" s="299"/>
      <c r="J428" s="299"/>
      <c r="K428" s="299"/>
      <c r="L428" s="299"/>
      <c r="M428" s="299"/>
      <c r="N428" s="299"/>
      <c r="O428" s="299"/>
      <c r="P428" s="379"/>
      <c r="Q428" s="156"/>
      <c r="R428" s="157"/>
      <c r="S428" s="157"/>
      <c r="T428" s="157"/>
      <c r="U428" s="158"/>
      <c r="V428" s="158"/>
      <c r="W428" s="380"/>
      <c r="X428" s="24">
        <v>24</v>
      </c>
    </row>
    <row r="429" spans="2:24" s="24" customFormat="1" ht="16.5" customHeight="1" x14ac:dyDescent="0.2">
      <c r="B429" s="364" t="s">
        <v>259</v>
      </c>
      <c r="C429" s="360"/>
      <c r="D429" s="361"/>
      <c r="E429" s="349"/>
      <c r="F429" s="358"/>
      <c r="G429" s="378"/>
      <c r="H429" s="299"/>
      <c r="I429" s="299"/>
      <c r="J429" s="299"/>
      <c r="K429" s="299"/>
      <c r="L429" s="299"/>
      <c r="M429" s="299"/>
      <c r="N429" s="299"/>
      <c r="O429" s="299"/>
      <c r="P429" s="379"/>
      <c r="Q429" s="156"/>
      <c r="R429" s="157"/>
      <c r="S429" s="157"/>
      <c r="T429" s="157"/>
      <c r="U429" s="158"/>
      <c r="V429" s="158"/>
      <c r="W429" s="380"/>
      <c r="X429" s="24">
        <v>25</v>
      </c>
    </row>
    <row r="430" spans="2:24" s="24" customFormat="1" ht="16.5" customHeight="1" x14ac:dyDescent="0.2">
      <c r="B430" s="364" t="s">
        <v>260</v>
      </c>
      <c r="C430" s="360"/>
      <c r="D430" s="361"/>
      <c r="E430" s="349"/>
      <c r="F430" s="358"/>
      <c r="G430" s="378"/>
      <c r="H430" s="299"/>
      <c r="I430" s="299"/>
      <c r="J430" s="299"/>
      <c r="K430" s="299"/>
      <c r="L430" s="299"/>
      <c r="M430" s="299"/>
      <c r="N430" s="299"/>
      <c r="O430" s="299"/>
      <c r="P430" s="379"/>
      <c r="Q430" s="156"/>
      <c r="R430" s="157"/>
      <c r="S430" s="157"/>
      <c r="T430" s="157"/>
      <c r="U430" s="158"/>
      <c r="V430" s="158"/>
      <c r="W430" s="380"/>
      <c r="X430" s="24">
        <v>26</v>
      </c>
    </row>
    <row r="431" spans="2:24" s="24" customFormat="1" ht="16.5" customHeight="1" x14ac:dyDescent="0.2">
      <c r="B431" s="364" t="s">
        <v>261</v>
      </c>
      <c r="C431" s="360"/>
      <c r="D431" s="361"/>
      <c r="E431" s="349"/>
      <c r="F431" s="358"/>
      <c r="G431" s="378"/>
      <c r="H431" s="299"/>
      <c r="I431" s="299"/>
      <c r="J431" s="299"/>
      <c r="K431" s="299"/>
      <c r="L431" s="299"/>
      <c r="M431" s="299"/>
      <c r="N431" s="299"/>
      <c r="O431" s="299"/>
      <c r="P431" s="379"/>
      <c r="Q431" s="156"/>
      <c r="R431" s="157"/>
      <c r="S431" s="157"/>
      <c r="T431" s="157"/>
      <c r="U431" s="158"/>
      <c r="V431" s="158"/>
      <c r="W431" s="380"/>
      <c r="X431" s="24">
        <v>27</v>
      </c>
    </row>
    <row r="432" spans="2:24" s="24" customFormat="1" ht="16.5" customHeight="1" x14ac:dyDescent="0.2">
      <c r="B432" s="364" t="s">
        <v>262</v>
      </c>
      <c r="C432" s="360"/>
      <c r="D432" s="361"/>
      <c r="E432" s="349"/>
      <c r="F432" s="358"/>
      <c r="G432" s="378"/>
      <c r="H432" s="299"/>
      <c r="I432" s="299"/>
      <c r="J432" s="299"/>
      <c r="K432" s="299"/>
      <c r="L432" s="299"/>
      <c r="M432" s="299"/>
      <c r="N432" s="299"/>
      <c r="O432" s="299"/>
      <c r="P432" s="379"/>
      <c r="Q432" s="156"/>
      <c r="R432" s="157"/>
      <c r="S432" s="157"/>
      <c r="T432" s="157"/>
      <c r="U432" s="158"/>
      <c r="V432" s="158"/>
      <c r="W432" s="380"/>
      <c r="X432" s="24">
        <v>28</v>
      </c>
    </row>
    <row r="433" spans="1:24" s="24" customFormat="1" ht="16.5" customHeight="1" x14ac:dyDescent="0.2">
      <c r="B433" s="364" t="s">
        <v>263</v>
      </c>
      <c r="C433" s="360"/>
      <c r="D433" s="361"/>
      <c r="E433" s="349"/>
      <c r="F433" s="358"/>
      <c r="G433" s="378"/>
      <c r="H433" s="299"/>
      <c r="I433" s="299"/>
      <c r="J433" s="299"/>
      <c r="K433" s="299"/>
      <c r="L433" s="299"/>
      <c r="M433" s="299"/>
      <c r="N433" s="299"/>
      <c r="O433" s="299"/>
      <c r="P433" s="379"/>
      <c r="Q433" s="156"/>
      <c r="R433" s="157"/>
      <c r="S433" s="157"/>
      <c r="T433" s="157"/>
      <c r="U433" s="158"/>
      <c r="V433" s="158"/>
      <c r="W433" s="380"/>
      <c r="X433" s="24">
        <v>29</v>
      </c>
    </row>
    <row r="434" spans="1:24" s="24" customFormat="1" ht="16.5" customHeight="1" x14ac:dyDescent="0.2">
      <c r="B434" s="364" t="s">
        <v>264</v>
      </c>
      <c r="C434" s="360"/>
      <c r="D434" s="361"/>
      <c r="E434" s="349"/>
      <c r="F434" s="358"/>
      <c r="G434" s="378"/>
      <c r="H434" s="299"/>
      <c r="I434" s="299"/>
      <c r="J434" s="299"/>
      <c r="K434" s="299"/>
      <c r="L434" s="299"/>
      <c r="M434" s="299"/>
      <c r="N434" s="299"/>
      <c r="O434" s="299"/>
      <c r="P434" s="379"/>
      <c r="Q434" s="156"/>
      <c r="R434" s="157"/>
      <c r="S434" s="157"/>
      <c r="T434" s="157"/>
      <c r="U434" s="158"/>
      <c r="V434" s="158"/>
      <c r="W434" s="380"/>
      <c r="X434" s="24">
        <v>30</v>
      </c>
    </row>
    <row r="435" spans="1:24" s="24" customFormat="1" ht="16.5" customHeight="1" x14ac:dyDescent="0.2">
      <c r="B435" s="364" t="s">
        <v>265</v>
      </c>
      <c r="C435" s="360"/>
      <c r="D435" s="361"/>
      <c r="E435" s="349"/>
      <c r="F435" s="358"/>
      <c r="G435" s="378"/>
      <c r="H435" s="299"/>
      <c r="I435" s="299"/>
      <c r="J435" s="299"/>
      <c r="K435" s="299"/>
      <c r="L435" s="299"/>
      <c r="M435" s="299"/>
      <c r="N435" s="299"/>
      <c r="O435" s="299"/>
      <c r="P435" s="379"/>
      <c r="Q435" s="156"/>
      <c r="R435" s="157"/>
      <c r="S435" s="157"/>
      <c r="T435" s="157"/>
      <c r="U435" s="158"/>
      <c r="V435" s="158"/>
      <c r="W435" s="380"/>
      <c r="X435" s="24">
        <v>31</v>
      </c>
    </row>
    <row r="436" spans="1:24" s="24" customFormat="1" ht="16.5" customHeight="1" x14ac:dyDescent="0.2">
      <c r="B436" s="364" t="s">
        <v>266</v>
      </c>
      <c r="C436" s="360"/>
      <c r="D436" s="361"/>
      <c r="E436" s="349"/>
      <c r="F436" s="358"/>
      <c r="G436" s="378"/>
      <c r="H436" s="299"/>
      <c r="I436" s="299"/>
      <c r="J436" s="299"/>
      <c r="K436" s="299"/>
      <c r="L436" s="299"/>
      <c r="M436" s="299"/>
      <c r="N436" s="299"/>
      <c r="O436" s="299"/>
      <c r="P436" s="379"/>
      <c r="Q436" s="156"/>
      <c r="R436" s="157"/>
      <c r="S436" s="157"/>
      <c r="T436" s="157"/>
      <c r="U436" s="158"/>
      <c r="V436" s="158"/>
      <c r="W436" s="380"/>
      <c r="X436" s="24">
        <v>32</v>
      </c>
    </row>
    <row r="437" spans="1:24" s="24" customFormat="1" ht="16.5" customHeight="1" x14ac:dyDescent="0.2">
      <c r="B437" s="364" t="s">
        <v>267</v>
      </c>
      <c r="C437" s="360"/>
      <c r="D437" s="361"/>
      <c r="E437" s="349"/>
      <c r="F437" s="358"/>
      <c r="G437" s="378"/>
      <c r="H437" s="299"/>
      <c r="I437" s="299"/>
      <c r="J437" s="299"/>
      <c r="K437" s="299"/>
      <c r="L437" s="299"/>
      <c r="M437" s="299"/>
      <c r="N437" s="299"/>
      <c r="O437" s="299"/>
      <c r="P437" s="379"/>
      <c r="Q437" s="156"/>
      <c r="R437" s="157"/>
      <c r="S437" s="157"/>
      <c r="T437" s="157"/>
      <c r="U437" s="158"/>
      <c r="V437" s="158"/>
      <c r="W437" s="380"/>
      <c r="X437" s="24">
        <v>33</v>
      </c>
    </row>
    <row r="438" spans="1:24" s="24" customFormat="1" ht="15" customHeight="1" x14ac:dyDescent="0.2">
      <c r="B438" s="267" t="s">
        <v>268</v>
      </c>
      <c r="C438" s="146"/>
      <c r="D438" s="143"/>
      <c r="E438" s="13"/>
      <c r="F438" s="43"/>
      <c r="G438" s="45"/>
      <c r="H438" s="46"/>
      <c r="I438" s="46"/>
      <c r="J438" s="46"/>
      <c r="K438" s="46"/>
      <c r="L438" s="46"/>
      <c r="M438" s="46"/>
      <c r="N438" s="46"/>
      <c r="O438" s="46"/>
      <c r="P438" s="160"/>
      <c r="Q438" s="161"/>
      <c r="R438" s="162"/>
      <c r="S438" s="162"/>
      <c r="T438" s="162"/>
      <c r="U438" s="163"/>
      <c r="V438" s="163"/>
      <c r="W438" s="331"/>
      <c r="X438" s="24">
        <v>34</v>
      </c>
    </row>
    <row r="439" spans="1:24" s="24" customFormat="1" ht="15" customHeight="1" x14ac:dyDescent="0.2">
      <c r="B439" s="267" t="s">
        <v>269</v>
      </c>
      <c r="C439" s="146"/>
      <c r="D439" s="143"/>
      <c r="E439" s="13"/>
      <c r="F439" s="43"/>
      <c r="G439" s="45"/>
      <c r="H439" s="46"/>
      <c r="I439" s="46"/>
      <c r="J439" s="46"/>
      <c r="K439" s="46"/>
      <c r="L439" s="46"/>
      <c r="M439" s="46"/>
      <c r="N439" s="46"/>
      <c r="O439" s="46"/>
      <c r="P439" s="160"/>
      <c r="Q439" s="161"/>
      <c r="R439" s="162"/>
      <c r="S439" s="162"/>
      <c r="T439" s="162"/>
      <c r="U439" s="163"/>
      <c r="V439" s="163"/>
      <c r="W439" s="331"/>
      <c r="X439" s="24">
        <v>35</v>
      </c>
    </row>
    <row r="440" spans="1:24" s="24" customFormat="1" ht="15" customHeight="1" x14ac:dyDescent="0.2">
      <c r="B440" s="267" t="s">
        <v>270</v>
      </c>
      <c r="C440" s="146"/>
      <c r="D440" s="143"/>
      <c r="E440" s="13"/>
      <c r="F440" s="43"/>
      <c r="G440" s="45"/>
      <c r="H440" s="46"/>
      <c r="I440" s="46"/>
      <c r="J440" s="46"/>
      <c r="K440" s="46"/>
      <c r="L440" s="46"/>
      <c r="M440" s="46"/>
      <c r="N440" s="46"/>
      <c r="O440" s="46"/>
      <c r="P440" s="160"/>
      <c r="Q440" s="161"/>
      <c r="R440" s="162"/>
      <c r="S440" s="162"/>
      <c r="T440" s="162"/>
      <c r="U440" s="163"/>
      <c r="V440" s="163"/>
      <c r="W440" s="331"/>
      <c r="X440" s="24">
        <v>36</v>
      </c>
    </row>
    <row r="441" spans="1:24" s="24" customFormat="1" ht="15" customHeight="1" x14ac:dyDescent="0.2">
      <c r="B441" s="267" t="s">
        <v>271</v>
      </c>
      <c r="C441" s="146"/>
      <c r="D441" s="143"/>
      <c r="E441" s="13"/>
      <c r="F441" s="43"/>
      <c r="G441" s="45"/>
      <c r="H441" s="46"/>
      <c r="I441" s="46"/>
      <c r="J441" s="46"/>
      <c r="K441" s="46"/>
      <c r="L441" s="46"/>
      <c r="M441" s="46"/>
      <c r="N441" s="46"/>
      <c r="O441" s="46"/>
      <c r="P441" s="160"/>
      <c r="Q441" s="161"/>
      <c r="R441" s="162"/>
      <c r="S441" s="162"/>
      <c r="T441" s="162"/>
      <c r="U441" s="163"/>
      <c r="V441" s="163"/>
      <c r="W441" s="331"/>
      <c r="X441" s="24">
        <v>37</v>
      </c>
    </row>
    <row r="442" spans="1:24" s="24" customFormat="1" ht="15" customHeight="1" x14ac:dyDescent="0.2">
      <c r="B442" s="267" t="s">
        <v>272</v>
      </c>
      <c r="C442" s="146"/>
      <c r="D442" s="143"/>
      <c r="E442" s="13"/>
      <c r="F442" s="43"/>
      <c r="G442" s="45"/>
      <c r="H442" s="46"/>
      <c r="I442" s="46"/>
      <c r="J442" s="46"/>
      <c r="K442" s="46"/>
      <c r="L442" s="46"/>
      <c r="M442" s="46"/>
      <c r="N442" s="46"/>
      <c r="O442" s="46"/>
      <c r="P442" s="160"/>
      <c r="Q442" s="161"/>
      <c r="R442" s="162"/>
      <c r="S442" s="162"/>
      <c r="T442" s="162"/>
      <c r="U442" s="163"/>
      <c r="V442" s="163"/>
      <c r="W442" s="331"/>
      <c r="X442" s="24">
        <v>38</v>
      </c>
    </row>
    <row r="443" spans="1:24" s="24" customFormat="1" ht="15" customHeight="1" x14ac:dyDescent="0.2">
      <c r="B443" s="282" t="s">
        <v>273</v>
      </c>
      <c r="C443" s="146"/>
      <c r="D443" s="143"/>
      <c r="E443" s="13"/>
      <c r="F443" s="43"/>
      <c r="G443" s="45"/>
      <c r="H443" s="46"/>
      <c r="I443" s="46"/>
      <c r="J443" s="46"/>
      <c r="K443" s="46"/>
      <c r="L443" s="46"/>
      <c r="M443" s="46"/>
      <c r="N443" s="46"/>
      <c r="O443" s="46"/>
      <c r="P443" s="160"/>
      <c r="Q443" s="161"/>
      <c r="R443" s="162"/>
      <c r="S443" s="162"/>
      <c r="T443" s="162"/>
      <c r="U443" s="163"/>
      <c r="V443" s="163"/>
      <c r="W443" s="331"/>
      <c r="X443" s="24">
        <v>39</v>
      </c>
    </row>
    <row r="444" spans="1:24" s="24" customFormat="1" ht="15" customHeight="1" thickBot="1" x14ac:dyDescent="0.25">
      <c r="B444" s="383" t="s">
        <v>274</v>
      </c>
      <c r="C444" s="147"/>
      <c r="D444" s="144"/>
      <c r="E444" s="14"/>
      <c r="F444" s="54"/>
      <c r="G444" s="56"/>
      <c r="H444" s="57"/>
      <c r="I444" s="57"/>
      <c r="J444" s="57"/>
      <c r="K444" s="57"/>
      <c r="L444" s="57"/>
      <c r="M444" s="57"/>
      <c r="N444" s="57"/>
      <c r="O444" s="57"/>
      <c r="P444" s="165"/>
      <c r="Q444" s="166"/>
      <c r="R444" s="167"/>
      <c r="S444" s="167"/>
      <c r="T444" s="167"/>
      <c r="U444" s="168"/>
      <c r="V444" s="168"/>
      <c r="W444" s="332"/>
      <c r="X444" s="24">
        <v>40</v>
      </c>
    </row>
    <row r="445" spans="1:24" s="24" customFormat="1" ht="1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327"/>
      <c r="X445" s="1"/>
    </row>
    <row r="452" spans="108:108" ht="12.95" customHeight="1" x14ac:dyDescent="0.2">
      <c r="DD452" s="1"/>
    </row>
    <row r="453" spans="108:108" ht="12.95" customHeight="1" x14ac:dyDescent="0.2">
      <c r="DD453" s="1"/>
    </row>
    <row r="454" spans="108:108" ht="12.95" customHeight="1" x14ac:dyDescent="0.2">
      <c r="DD454" s="1"/>
    </row>
    <row r="455" spans="108:108" ht="12.95" customHeight="1" x14ac:dyDescent="0.2">
      <c r="DD455" s="1"/>
    </row>
    <row r="456" spans="108:108" ht="12.95" customHeight="1" x14ac:dyDescent="0.2">
      <c r="DD456" s="1"/>
    </row>
    <row r="457" spans="108:108" ht="12.95" customHeight="1" x14ac:dyDescent="0.2">
      <c r="DD457" s="1"/>
    </row>
    <row r="458" spans="108:108" ht="12.95" customHeight="1" x14ac:dyDescent="0.2">
      <c r="DD458" s="1"/>
    </row>
    <row r="459" spans="108:108" ht="12.95" customHeight="1" x14ac:dyDescent="0.2">
      <c r="DD459" s="1"/>
    </row>
    <row r="460" spans="108:108" ht="12.95" customHeight="1" x14ac:dyDescent="0.2">
      <c r="DD460" s="1"/>
    </row>
    <row r="461" spans="108:108" ht="12.95" customHeight="1" x14ac:dyDescent="0.2">
      <c r="DD461" s="1"/>
    </row>
    <row r="462" spans="108:108" ht="12.95" customHeight="1" x14ac:dyDescent="0.2">
      <c r="DD462" s="1"/>
    </row>
    <row r="463" spans="108:108" ht="12.95" customHeight="1" x14ac:dyDescent="0.2">
      <c r="DD463" s="1"/>
    </row>
    <row r="464" spans="108:108" ht="12.95" customHeight="1" x14ac:dyDescent="0.2">
      <c r="DD464" s="1"/>
    </row>
    <row r="465" spans="108:108" ht="12.95" customHeight="1" x14ac:dyDescent="0.2">
      <c r="DD465" s="1"/>
    </row>
    <row r="466" spans="108:108" ht="12.95" customHeight="1" x14ac:dyDescent="0.2">
      <c r="DD466" s="1"/>
    </row>
    <row r="467" spans="108:108" ht="12.95" customHeight="1" x14ac:dyDescent="0.2">
      <c r="DD467" s="1"/>
    </row>
    <row r="468" spans="108:108" ht="12.95" customHeight="1" x14ac:dyDescent="0.2">
      <c r="DD468" s="1"/>
    </row>
    <row r="469" spans="108:108" ht="12.95" customHeight="1" x14ac:dyDescent="0.2">
      <c r="DD469" s="1"/>
    </row>
    <row r="470" spans="108:108" ht="12.95" customHeight="1" x14ac:dyDescent="0.2">
      <c r="DD470" s="1"/>
    </row>
    <row r="471" spans="108:108" ht="12.95" customHeight="1" x14ac:dyDescent="0.2">
      <c r="DD471" s="1"/>
    </row>
    <row r="472" spans="108:108" ht="12.95" customHeight="1" x14ac:dyDescent="0.2">
      <c r="DD472" s="1"/>
    </row>
    <row r="473" spans="108:108" ht="12.95" customHeight="1" x14ac:dyDescent="0.2">
      <c r="DD473" s="1"/>
    </row>
    <row r="474" spans="108:108" ht="12.95" customHeight="1" x14ac:dyDescent="0.2">
      <c r="DD474" s="1"/>
    </row>
    <row r="475" spans="108:108" ht="12.95" customHeight="1" x14ac:dyDescent="0.2">
      <c r="DD475" s="1"/>
    </row>
    <row r="476" spans="108:108" ht="12.95" customHeight="1" x14ac:dyDescent="0.2">
      <c r="DD476" s="1"/>
    </row>
    <row r="477" spans="108:108" ht="12.95" customHeight="1" x14ac:dyDescent="0.2">
      <c r="DD477" s="1"/>
    </row>
    <row r="478" spans="108:108" ht="12.95" customHeight="1" x14ac:dyDescent="0.2">
      <c r="DD478" s="1"/>
    </row>
    <row r="479" spans="108:108" ht="12.95" customHeight="1" x14ac:dyDescent="0.2">
      <c r="DD479" s="1"/>
    </row>
    <row r="480" spans="108:108" ht="12.95" customHeight="1" x14ac:dyDescent="0.2">
      <c r="DD480" s="1"/>
    </row>
    <row r="481" spans="108:108" ht="12.95" customHeight="1" x14ac:dyDescent="0.2">
      <c r="DD481" s="1"/>
    </row>
    <row r="482" spans="108:108" ht="12.95" customHeight="1" x14ac:dyDescent="0.2">
      <c r="DD482" s="1"/>
    </row>
    <row r="483" spans="108:108" ht="12.95" customHeight="1" x14ac:dyDescent="0.2">
      <c r="DD483" s="1"/>
    </row>
    <row r="484" spans="108:108" ht="12.95" customHeight="1" x14ac:dyDescent="0.2">
      <c r="DD484" s="1"/>
    </row>
  </sheetData>
  <sheetProtection autoFilter="0"/>
  <mergeCells count="49">
    <mergeCell ref="B402:C402"/>
    <mergeCell ref="Q403:W403"/>
    <mergeCell ref="B403:B404"/>
    <mergeCell ref="C403:C404"/>
    <mergeCell ref="D403:D404"/>
    <mergeCell ref="E403:E404"/>
    <mergeCell ref="F403:F404"/>
    <mergeCell ref="G403:P403"/>
    <mergeCell ref="B339:B340"/>
    <mergeCell ref="C339:C340"/>
    <mergeCell ref="D339:D340"/>
    <mergeCell ref="E339:E340"/>
    <mergeCell ref="F339:F340"/>
    <mergeCell ref="F243:F244"/>
    <mergeCell ref="B291:B292"/>
    <mergeCell ref="C291:C292"/>
    <mergeCell ref="D291:D292"/>
    <mergeCell ref="E291:E292"/>
    <mergeCell ref="F291:F292"/>
    <mergeCell ref="B243:B244"/>
    <mergeCell ref="C243:C244"/>
    <mergeCell ref="D243:D244"/>
    <mergeCell ref="E243:E244"/>
    <mergeCell ref="B147:B148"/>
    <mergeCell ref="C147:C148"/>
    <mergeCell ref="D147:D148"/>
    <mergeCell ref="E147:E148"/>
    <mergeCell ref="F147:F148"/>
    <mergeCell ref="B195:B196"/>
    <mergeCell ref="C195:C196"/>
    <mergeCell ref="D195:D196"/>
    <mergeCell ref="E195:E196"/>
    <mergeCell ref="F195:F196"/>
    <mergeCell ref="B51:B52"/>
    <mergeCell ref="C51:C52"/>
    <mergeCell ref="D51:D52"/>
    <mergeCell ref="E51:E52"/>
    <mergeCell ref="F51:F52"/>
    <mergeCell ref="B99:B100"/>
    <mergeCell ref="C99:C100"/>
    <mergeCell ref="D99:D100"/>
    <mergeCell ref="E99:E100"/>
    <mergeCell ref="F99:F100"/>
    <mergeCell ref="B1:W1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193" max="23" man="1"/>
    <brk id="336" max="2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3EE81-6AC9-4CB7-8DD6-69E7AC5EF68D}">
  <sheetPr>
    <tabColor theme="4" tint="-0.249977111117893"/>
  </sheetPr>
  <dimension ref="A1:DD484"/>
  <sheetViews>
    <sheetView topLeftCell="A366" zoomScaleNormal="100" zoomScaleSheetLayoutView="100" workbookViewId="0">
      <selection activeCell="A335" sqref="A335:XFD361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4.75" style="1" customWidth="1"/>
    <col min="7" max="24" width="5.125" style="1" customWidth="1"/>
    <col min="25" max="108" width="9" style="24"/>
    <col min="109" max="16384" width="9" style="1"/>
  </cols>
  <sheetData>
    <row r="1" spans="2:108" ht="17.25" customHeight="1" x14ac:dyDescent="0.2">
      <c r="B1" s="384" t="s">
        <v>100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297"/>
    </row>
    <row r="2" spans="2:108" s="5" customFormat="1" ht="15" customHeight="1" thickBot="1" x14ac:dyDescent="0.25">
      <c r="B2" s="2" t="s">
        <v>0</v>
      </c>
      <c r="C2" s="2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</row>
    <row r="3" spans="2:108" s="6" customFormat="1" ht="13.5" customHeight="1" thickBot="1" x14ac:dyDescent="0.25">
      <c r="B3" s="385" t="s">
        <v>1</v>
      </c>
      <c r="C3" s="387" t="s">
        <v>77</v>
      </c>
      <c r="D3" s="389" t="s">
        <v>2</v>
      </c>
      <c r="E3" s="385" t="s">
        <v>3</v>
      </c>
      <c r="F3" s="391" t="s">
        <v>111</v>
      </c>
      <c r="G3" s="213"/>
      <c r="H3" s="254" t="s">
        <v>5</v>
      </c>
      <c r="I3" s="254"/>
      <c r="J3" s="254"/>
      <c r="K3" s="254"/>
      <c r="L3" s="254"/>
      <c r="M3" s="254"/>
      <c r="N3" s="247" t="s">
        <v>6</v>
      </c>
      <c r="O3" s="248"/>
      <c r="P3" s="248"/>
      <c r="Q3" s="248"/>
      <c r="R3" s="248"/>
      <c r="S3" s="248"/>
      <c r="T3" s="248"/>
      <c r="U3" s="248"/>
      <c r="V3" s="248"/>
      <c r="W3" s="249"/>
      <c r="X3" s="249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</row>
    <row r="4" spans="2:108" s="6" customFormat="1" ht="40.5" customHeight="1" thickBot="1" x14ac:dyDescent="0.25">
      <c r="B4" s="386"/>
      <c r="C4" s="388"/>
      <c r="D4" s="390"/>
      <c r="E4" s="386"/>
      <c r="F4" s="392"/>
      <c r="G4" s="256" t="s">
        <v>123</v>
      </c>
      <c r="H4" s="153" t="s">
        <v>125</v>
      </c>
      <c r="I4" s="153" t="s">
        <v>127</v>
      </c>
      <c r="J4" s="153" t="s">
        <v>129</v>
      </c>
      <c r="K4" s="153" t="s">
        <v>158</v>
      </c>
      <c r="L4" s="153" t="s">
        <v>160</v>
      </c>
      <c r="M4" s="258" t="s">
        <v>162</v>
      </c>
      <c r="N4" s="304" t="s">
        <v>106</v>
      </c>
      <c r="O4" s="207" t="s">
        <v>18</v>
      </c>
      <c r="P4" s="207" t="s">
        <v>19</v>
      </c>
      <c r="Q4" s="207" t="s">
        <v>110</v>
      </c>
      <c r="R4" s="207" t="s">
        <v>20</v>
      </c>
      <c r="S4" s="305" t="s">
        <v>21</v>
      </c>
      <c r="T4" s="305" t="s">
        <v>109</v>
      </c>
      <c r="U4" s="306" t="s">
        <v>22</v>
      </c>
      <c r="V4" s="315" t="s">
        <v>110</v>
      </c>
      <c r="W4" s="304" t="s">
        <v>134</v>
      </c>
      <c r="X4" s="307" t="s">
        <v>111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</row>
    <row r="5" spans="2:108" ht="14.25" customHeight="1" x14ac:dyDescent="0.35">
      <c r="B5" s="259" t="s">
        <v>241</v>
      </c>
      <c r="C5" s="260"/>
      <c r="D5" s="261"/>
      <c r="E5" s="262"/>
      <c r="F5" s="263"/>
      <c r="G5" s="264"/>
      <c r="H5" s="265"/>
      <c r="I5" s="265"/>
      <c r="J5" s="265"/>
      <c r="K5" s="265"/>
      <c r="L5" s="265"/>
      <c r="M5" s="266"/>
      <c r="N5" s="308"/>
      <c r="O5" s="309"/>
      <c r="P5" s="310"/>
      <c r="Q5" s="309"/>
      <c r="R5" s="309"/>
      <c r="S5" s="311"/>
      <c r="T5" s="312"/>
      <c r="U5" s="313"/>
      <c r="V5" s="316"/>
      <c r="W5" s="319">
        <f>Q5*-3+T5*-1+V5*-1</f>
        <v>0</v>
      </c>
      <c r="X5" s="322"/>
      <c r="Y5" s="201"/>
      <c r="CZ5" s="1"/>
      <c r="DA5" s="1"/>
      <c r="DB5" s="1"/>
      <c r="DC5" s="1"/>
      <c r="DD5" s="1"/>
    </row>
    <row r="6" spans="2:108" ht="14.25" customHeight="1" x14ac:dyDescent="0.35">
      <c r="B6" s="364" t="s">
        <v>207</v>
      </c>
      <c r="C6" s="365"/>
      <c r="D6" s="366"/>
      <c r="E6" s="367"/>
      <c r="F6" s="368"/>
      <c r="G6" s="264"/>
      <c r="H6" s="265"/>
      <c r="I6" s="265"/>
      <c r="J6" s="265"/>
      <c r="K6" s="265"/>
      <c r="L6" s="265"/>
      <c r="M6" s="266"/>
      <c r="N6" s="369"/>
      <c r="O6" s="370"/>
      <c r="P6" s="371"/>
      <c r="Q6" s="370"/>
      <c r="R6" s="370"/>
      <c r="S6" s="372"/>
      <c r="T6" s="373"/>
      <c r="U6" s="374"/>
      <c r="V6" s="375"/>
      <c r="W6" s="381"/>
      <c r="X6" s="382"/>
      <c r="Y6" s="201"/>
      <c r="CZ6" s="1"/>
      <c r="DA6" s="1"/>
      <c r="DB6" s="1"/>
      <c r="DC6" s="1"/>
      <c r="DD6" s="1"/>
    </row>
    <row r="7" spans="2:108" ht="14.25" customHeight="1" x14ac:dyDescent="0.35">
      <c r="B7" s="364" t="s">
        <v>209</v>
      </c>
      <c r="C7" s="365"/>
      <c r="D7" s="366"/>
      <c r="E7" s="367"/>
      <c r="F7" s="368"/>
      <c r="G7" s="264"/>
      <c r="H7" s="265"/>
      <c r="I7" s="265"/>
      <c r="J7" s="265"/>
      <c r="K7" s="265"/>
      <c r="L7" s="265"/>
      <c r="M7" s="266"/>
      <c r="N7" s="369"/>
      <c r="O7" s="370"/>
      <c r="P7" s="371"/>
      <c r="Q7" s="370"/>
      <c r="R7" s="370"/>
      <c r="S7" s="372"/>
      <c r="T7" s="373"/>
      <c r="U7" s="374"/>
      <c r="V7" s="375"/>
      <c r="W7" s="381"/>
      <c r="X7" s="382"/>
      <c r="Y7" s="201"/>
      <c r="CZ7" s="1"/>
      <c r="DA7" s="1"/>
      <c r="DB7" s="1"/>
      <c r="DC7" s="1"/>
      <c r="DD7" s="1"/>
    </row>
    <row r="8" spans="2:108" ht="14.25" customHeight="1" x14ac:dyDescent="0.35">
      <c r="B8" s="364" t="s">
        <v>91</v>
      </c>
      <c r="C8" s="365"/>
      <c r="D8" s="366"/>
      <c r="E8" s="367"/>
      <c r="F8" s="368"/>
      <c r="G8" s="264"/>
      <c r="H8" s="265"/>
      <c r="I8" s="265"/>
      <c r="J8" s="265"/>
      <c r="K8" s="265"/>
      <c r="L8" s="265"/>
      <c r="M8" s="266"/>
      <c r="N8" s="369"/>
      <c r="O8" s="370"/>
      <c r="P8" s="371"/>
      <c r="Q8" s="370"/>
      <c r="R8" s="370"/>
      <c r="S8" s="372"/>
      <c r="T8" s="373"/>
      <c r="U8" s="374"/>
      <c r="V8" s="375"/>
      <c r="W8" s="381"/>
      <c r="X8" s="382"/>
      <c r="Y8" s="201"/>
      <c r="CZ8" s="1"/>
      <c r="DA8" s="1"/>
      <c r="DB8" s="1"/>
      <c r="DC8" s="1"/>
      <c r="DD8" s="1"/>
    </row>
    <row r="9" spans="2:108" ht="14.25" customHeight="1" x14ac:dyDescent="0.35">
      <c r="B9" s="364" t="s">
        <v>92</v>
      </c>
      <c r="C9" s="365"/>
      <c r="D9" s="366"/>
      <c r="E9" s="367"/>
      <c r="F9" s="368"/>
      <c r="G9" s="264"/>
      <c r="H9" s="265"/>
      <c r="I9" s="265"/>
      <c r="J9" s="265"/>
      <c r="K9" s="265"/>
      <c r="L9" s="265"/>
      <c r="M9" s="266"/>
      <c r="N9" s="369"/>
      <c r="O9" s="370"/>
      <c r="P9" s="371"/>
      <c r="Q9" s="370"/>
      <c r="R9" s="370"/>
      <c r="S9" s="372"/>
      <c r="T9" s="373"/>
      <c r="U9" s="374"/>
      <c r="V9" s="375"/>
      <c r="W9" s="381"/>
      <c r="X9" s="382"/>
      <c r="Y9" s="201"/>
      <c r="CZ9" s="1"/>
      <c r="DA9" s="1"/>
      <c r="DB9" s="1"/>
      <c r="DC9" s="1"/>
      <c r="DD9" s="1"/>
    </row>
    <row r="10" spans="2:108" ht="14.25" customHeight="1" x14ac:dyDescent="0.35">
      <c r="B10" s="364" t="s">
        <v>93</v>
      </c>
      <c r="C10" s="365"/>
      <c r="D10" s="366"/>
      <c r="E10" s="367"/>
      <c r="F10" s="368"/>
      <c r="G10" s="264"/>
      <c r="H10" s="265"/>
      <c r="I10" s="265"/>
      <c r="J10" s="265"/>
      <c r="K10" s="265"/>
      <c r="L10" s="265"/>
      <c r="M10" s="266"/>
      <c r="N10" s="369"/>
      <c r="O10" s="370"/>
      <c r="P10" s="371"/>
      <c r="Q10" s="370"/>
      <c r="R10" s="370"/>
      <c r="S10" s="372"/>
      <c r="T10" s="373"/>
      <c r="U10" s="374"/>
      <c r="V10" s="375"/>
      <c r="W10" s="381"/>
      <c r="X10" s="382"/>
      <c r="Y10" s="201"/>
      <c r="CZ10" s="1"/>
      <c r="DA10" s="1"/>
      <c r="DB10" s="1"/>
      <c r="DC10" s="1"/>
      <c r="DD10" s="1"/>
    </row>
    <row r="11" spans="2:108" ht="14.25" customHeight="1" x14ac:dyDescent="0.35">
      <c r="B11" s="364" t="s">
        <v>94</v>
      </c>
      <c r="C11" s="365"/>
      <c r="D11" s="366"/>
      <c r="E11" s="367"/>
      <c r="F11" s="368"/>
      <c r="G11" s="264"/>
      <c r="H11" s="265"/>
      <c r="I11" s="265"/>
      <c r="J11" s="265"/>
      <c r="K11" s="265"/>
      <c r="L11" s="265"/>
      <c r="M11" s="266"/>
      <c r="N11" s="369"/>
      <c r="O11" s="370"/>
      <c r="P11" s="371"/>
      <c r="Q11" s="370"/>
      <c r="R11" s="370"/>
      <c r="S11" s="372"/>
      <c r="T11" s="373"/>
      <c r="U11" s="374"/>
      <c r="V11" s="375"/>
      <c r="W11" s="381"/>
      <c r="X11" s="382"/>
      <c r="Y11" s="201"/>
      <c r="CZ11" s="1"/>
      <c r="DA11" s="1"/>
      <c r="DB11" s="1"/>
      <c r="DC11" s="1"/>
      <c r="DD11" s="1"/>
    </row>
    <row r="12" spans="2:108" ht="14.25" customHeight="1" x14ac:dyDescent="0.35">
      <c r="B12" s="364" t="s">
        <v>95</v>
      </c>
      <c r="C12" s="365"/>
      <c r="D12" s="366"/>
      <c r="E12" s="367"/>
      <c r="F12" s="368"/>
      <c r="G12" s="264"/>
      <c r="H12" s="265"/>
      <c r="I12" s="265"/>
      <c r="J12" s="265"/>
      <c r="K12" s="265"/>
      <c r="L12" s="265"/>
      <c r="M12" s="266"/>
      <c r="N12" s="369"/>
      <c r="O12" s="370"/>
      <c r="P12" s="371"/>
      <c r="Q12" s="370"/>
      <c r="R12" s="370"/>
      <c r="S12" s="372"/>
      <c r="T12" s="373"/>
      <c r="U12" s="374"/>
      <c r="V12" s="375"/>
      <c r="W12" s="381"/>
      <c r="X12" s="382"/>
      <c r="Y12" s="201"/>
      <c r="CZ12" s="1"/>
      <c r="DA12" s="1"/>
      <c r="DB12" s="1"/>
      <c r="DC12" s="1"/>
      <c r="DD12" s="1"/>
    </row>
    <row r="13" spans="2:108" ht="14.25" customHeight="1" x14ac:dyDescent="0.35">
      <c r="B13" s="364" t="s">
        <v>96</v>
      </c>
      <c r="C13" s="365"/>
      <c r="D13" s="366"/>
      <c r="E13" s="367"/>
      <c r="F13" s="368"/>
      <c r="G13" s="264"/>
      <c r="H13" s="265"/>
      <c r="I13" s="265"/>
      <c r="J13" s="265"/>
      <c r="K13" s="265"/>
      <c r="L13" s="265"/>
      <c r="M13" s="266"/>
      <c r="N13" s="369"/>
      <c r="O13" s="370"/>
      <c r="P13" s="371"/>
      <c r="Q13" s="370"/>
      <c r="R13" s="370"/>
      <c r="S13" s="372"/>
      <c r="T13" s="373"/>
      <c r="U13" s="374"/>
      <c r="V13" s="375"/>
      <c r="W13" s="381"/>
      <c r="X13" s="382"/>
      <c r="Y13" s="201"/>
      <c r="CZ13" s="1"/>
      <c r="DA13" s="1"/>
      <c r="DB13" s="1"/>
      <c r="DC13" s="1"/>
      <c r="DD13" s="1"/>
    </row>
    <row r="14" spans="2:108" ht="14.25" customHeight="1" x14ac:dyDescent="0.35">
      <c r="B14" s="364" t="s">
        <v>210</v>
      </c>
      <c r="C14" s="365"/>
      <c r="D14" s="366"/>
      <c r="E14" s="367"/>
      <c r="F14" s="368"/>
      <c r="G14" s="264"/>
      <c r="H14" s="265"/>
      <c r="I14" s="265"/>
      <c r="J14" s="265"/>
      <c r="K14" s="265"/>
      <c r="L14" s="265"/>
      <c r="M14" s="266"/>
      <c r="N14" s="369"/>
      <c r="O14" s="370"/>
      <c r="P14" s="371"/>
      <c r="Q14" s="370"/>
      <c r="R14" s="370"/>
      <c r="S14" s="372"/>
      <c r="T14" s="373"/>
      <c r="U14" s="374"/>
      <c r="V14" s="375"/>
      <c r="W14" s="381"/>
      <c r="X14" s="382"/>
      <c r="Y14" s="201"/>
      <c r="CZ14" s="1"/>
      <c r="DA14" s="1"/>
      <c r="DB14" s="1"/>
      <c r="DC14" s="1"/>
      <c r="DD14" s="1"/>
    </row>
    <row r="15" spans="2:108" ht="14.25" customHeight="1" x14ac:dyDescent="0.35">
      <c r="B15" s="364" t="s">
        <v>211</v>
      </c>
      <c r="C15" s="365"/>
      <c r="D15" s="366"/>
      <c r="E15" s="367"/>
      <c r="F15" s="368"/>
      <c r="G15" s="264"/>
      <c r="H15" s="265"/>
      <c r="I15" s="265"/>
      <c r="J15" s="265"/>
      <c r="K15" s="265"/>
      <c r="L15" s="265"/>
      <c r="M15" s="266"/>
      <c r="N15" s="369"/>
      <c r="O15" s="370"/>
      <c r="P15" s="371"/>
      <c r="Q15" s="370"/>
      <c r="R15" s="370"/>
      <c r="S15" s="372"/>
      <c r="T15" s="373"/>
      <c r="U15" s="374"/>
      <c r="V15" s="375"/>
      <c r="W15" s="381"/>
      <c r="X15" s="382"/>
      <c r="Y15" s="201"/>
      <c r="CZ15" s="1"/>
      <c r="DA15" s="1"/>
      <c r="DB15" s="1"/>
      <c r="DC15" s="1"/>
      <c r="DD15" s="1"/>
    </row>
    <row r="16" spans="2:108" ht="14.25" customHeight="1" x14ac:dyDescent="0.35">
      <c r="B16" s="364" t="s">
        <v>212</v>
      </c>
      <c r="C16" s="365"/>
      <c r="D16" s="366"/>
      <c r="E16" s="367"/>
      <c r="F16" s="368"/>
      <c r="G16" s="264"/>
      <c r="H16" s="265"/>
      <c r="I16" s="265"/>
      <c r="J16" s="265"/>
      <c r="K16" s="265"/>
      <c r="L16" s="265"/>
      <c r="M16" s="266"/>
      <c r="N16" s="369"/>
      <c r="O16" s="370"/>
      <c r="P16" s="371"/>
      <c r="Q16" s="370"/>
      <c r="R16" s="370"/>
      <c r="S16" s="372"/>
      <c r="T16" s="373"/>
      <c r="U16" s="374"/>
      <c r="V16" s="375"/>
      <c r="W16" s="381"/>
      <c r="X16" s="382"/>
      <c r="Y16" s="201"/>
      <c r="CZ16" s="1"/>
      <c r="DA16" s="1"/>
      <c r="DB16" s="1"/>
      <c r="DC16" s="1"/>
      <c r="DD16" s="1"/>
    </row>
    <row r="17" spans="2:108" ht="14.25" customHeight="1" x14ac:dyDescent="0.35">
      <c r="B17" s="364" t="s">
        <v>213</v>
      </c>
      <c r="C17" s="365"/>
      <c r="D17" s="366"/>
      <c r="E17" s="367"/>
      <c r="F17" s="368"/>
      <c r="G17" s="264"/>
      <c r="H17" s="265"/>
      <c r="I17" s="265"/>
      <c r="J17" s="265"/>
      <c r="K17" s="265"/>
      <c r="L17" s="265"/>
      <c r="M17" s="266"/>
      <c r="N17" s="369"/>
      <c r="O17" s="370"/>
      <c r="P17" s="371"/>
      <c r="Q17" s="370"/>
      <c r="R17" s="370"/>
      <c r="S17" s="372"/>
      <c r="T17" s="373"/>
      <c r="U17" s="374"/>
      <c r="V17" s="375"/>
      <c r="W17" s="381"/>
      <c r="X17" s="382"/>
      <c r="Y17" s="201"/>
      <c r="CZ17" s="1"/>
      <c r="DA17" s="1"/>
      <c r="DB17" s="1"/>
      <c r="DC17" s="1"/>
      <c r="DD17" s="1"/>
    </row>
    <row r="18" spans="2:108" ht="14.25" customHeight="1" x14ac:dyDescent="0.35">
      <c r="B18" s="364" t="s">
        <v>214</v>
      </c>
      <c r="C18" s="365"/>
      <c r="D18" s="366"/>
      <c r="E18" s="367"/>
      <c r="F18" s="368"/>
      <c r="G18" s="264"/>
      <c r="H18" s="265"/>
      <c r="I18" s="265"/>
      <c r="J18" s="265"/>
      <c r="K18" s="265"/>
      <c r="L18" s="265"/>
      <c r="M18" s="266"/>
      <c r="N18" s="369"/>
      <c r="O18" s="370"/>
      <c r="P18" s="371"/>
      <c r="Q18" s="370"/>
      <c r="R18" s="370"/>
      <c r="S18" s="372"/>
      <c r="T18" s="373"/>
      <c r="U18" s="374"/>
      <c r="V18" s="375"/>
      <c r="W18" s="381"/>
      <c r="X18" s="382"/>
      <c r="Y18" s="201"/>
      <c r="CZ18" s="1"/>
      <c r="DA18" s="1"/>
      <c r="DB18" s="1"/>
      <c r="DC18" s="1"/>
      <c r="DD18" s="1"/>
    </row>
    <row r="19" spans="2:108" ht="14.25" customHeight="1" x14ac:dyDescent="0.35">
      <c r="B19" s="364" t="s">
        <v>215</v>
      </c>
      <c r="C19" s="365"/>
      <c r="D19" s="366"/>
      <c r="E19" s="367"/>
      <c r="F19" s="368"/>
      <c r="G19" s="264"/>
      <c r="H19" s="265"/>
      <c r="I19" s="265"/>
      <c r="J19" s="265"/>
      <c r="K19" s="265"/>
      <c r="L19" s="265"/>
      <c r="M19" s="266"/>
      <c r="N19" s="369"/>
      <c r="O19" s="370"/>
      <c r="P19" s="371"/>
      <c r="Q19" s="370"/>
      <c r="R19" s="370"/>
      <c r="S19" s="372"/>
      <c r="T19" s="373"/>
      <c r="U19" s="374"/>
      <c r="V19" s="375"/>
      <c r="W19" s="381"/>
      <c r="X19" s="382"/>
      <c r="Y19" s="201"/>
      <c r="CZ19" s="1"/>
      <c r="DA19" s="1"/>
      <c r="DB19" s="1"/>
      <c r="DC19" s="1"/>
      <c r="DD19" s="1"/>
    </row>
    <row r="20" spans="2:108" ht="14.25" customHeight="1" x14ac:dyDescent="0.35">
      <c r="B20" s="364" t="s">
        <v>216</v>
      </c>
      <c r="C20" s="365"/>
      <c r="D20" s="366"/>
      <c r="E20" s="367"/>
      <c r="F20" s="368"/>
      <c r="G20" s="264"/>
      <c r="H20" s="265"/>
      <c r="I20" s="265"/>
      <c r="J20" s="265"/>
      <c r="K20" s="265"/>
      <c r="L20" s="265"/>
      <c r="M20" s="266"/>
      <c r="N20" s="369"/>
      <c r="O20" s="370"/>
      <c r="P20" s="371"/>
      <c r="Q20" s="370"/>
      <c r="R20" s="370"/>
      <c r="S20" s="372"/>
      <c r="T20" s="373"/>
      <c r="U20" s="374"/>
      <c r="V20" s="375"/>
      <c r="W20" s="381"/>
      <c r="X20" s="382"/>
      <c r="Y20" s="201"/>
      <c r="CZ20" s="1"/>
      <c r="DA20" s="1"/>
      <c r="DB20" s="1"/>
      <c r="DC20" s="1"/>
      <c r="DD20" s="1"/>
    </row>
    <row r="21" spans="2:108" ht="14.25" customHeight="1" x14ac:dyDescent="0.35">
      <c r="B21" s="364" t="s">
        <v>217</v>
      </c>
      <c r="C21" s="365"/>
      <c r="D21" s="366"/>
      <c r="E21" s="367"/>
      <c r="F21" s="368"/>
      <c r="G21" s="264"/>
      <c r="H21" s="265"/>
      <c r="I21" s="265"/>
      <c r="J21" s="265"/>
      <c r="K21" s="265"/>
      <c r="L21" s="265"/>
      <c r="M21" s="266"/>
      <c r="N21" s="369"/>
      <c r="O21" s="370"/>
      <c r="P21" s="371"/>
      <c r="Q21" s="370"/>
      <c r="R21" s="370"/>
      <c r="S21" s="372"/>
      <c r="T21" s="373"/>
      <c r="U21" s="374"/>
      <c r="V21" s="375"/>
      <c r="W21" s="381"/>
      <c r="X21" s="382"/>
      <c r="Y21" s="201"/>
      <c r="CZ21" s="1"/>
      <c r="DA21" s="1"/>
      <c r="DB21" s="1"/>
      <c r="DC21" s="1"/>
      <c r="DD21" s="1"/>
    </row>
    <row r="22" spans="2:108" ht="14.25" customHeight="1" x14ac:dyDescent="0.35">
      <c r="B22" s="364" t="s">
        <v>218</v>
      </c>
      <c r="C22" s="365"/>
      <c r="D22" s="366"/>
      <c r="E22" s="367"/>
      <c r="F22" s="368"/>
      <c r="G22" s="264"/>
      <c r="H22" s="265"/>
      <c r="I22" s="265"/>
      <c r="J22" s="265"/>
      <c r="K22" s="265"/>
      <c r="L22" s="265"/>
      <c r="M22" s="266"/>
      <c r="N22" s="369"/>
      <c r="O22" s="370"/>
      <c r="P22" s="371"/>
      <c r="Q22" s="370"/>
      <c r="R22" s="370"/>
      <c r="S22" s="372"/>
      <c r="T22" s="373"/>
      <c r="U22" s="374"/>
      <c r="V22" s="375"/>
      <c r="W22" s="381"/>
      <c r="X22" s="382"/>
      <c r="Y22" s="201"/>
      <c r="CZ22" s="1"/>
      <c r="DA22" s="1"/>
      <c r="DB22" s="1"/>
      <c r="DC22" s="1"/>
      <c r="DD22" s="1"/>
    </row>
    <row r="23" spans="2:108" ht="14.25" customHeight="1" x14ac:dyDescent="0.35">
      <c r="B23" s="364" t="s">
        <v>219</v>
      </c>
      <c r="C23" s="365"/>
      <c r="D23" s="366"/>
      <c r="E23" s="367"/>
      <c r="F23" s="368"/>
      <c r="G23" s="264"/>
      <c r="H23" s="265"/>
      <c r="I23" s="265"/>
      <c r="J23" s="265"/>
      <c r="K23" s="265"/>
      <c r="L23" s="265"/>
      <c r="M23" s="266"/>
      <c r="N23" s="369"/>
      <c r="O23" s="370"/>
      <c r="P23" s="371"/>
      <c r="Q23" s="370"/>
      <c r="R23" s="370"/>
      <c r="S23" s="372"/>
      <c r="T23" s="373"/>
      <c r="U23" s="374"/>
      <c r="V23" s="375"/>
      <c r="W23" s="381"/>
      <c r="X23" s="382"/>
      <c r="Y23" s="201"/>
      <c r="CZ23" s="1"/>
      <c r="DA23" s="1"/>
      <c r="DB23" s="1"/>
      <c r="DC23" s="1"/>
      <c r="DD23" s="1"/>
    </row>
    <row r="24" spans="2:108" ht="14.25" customHeight="1" x14ac:dyDescent="0.35">
      <c r="B24" s="364" t="s">
        <v>220</v>
      </c>
      <c r="C24" s="365"/>
      <c r="D24" s="366"/>
      <c r="E24" s="367"/>
      <c r="F24" s="368"/>
      <c r="G24" s="264"/>
      <c r="H24" s="265"/>
      <c r="I24" s="265"/>
      <c r="J24" s="265"/>
      <c r="K24" s="265"/>
      <c r="L24" s="265"/>
      <c r="M24" s="266"/>
      <c r="N24" s="369"/>
      <c r="O24" s="370"/>
      <c r="P24" s="371"/>
      <c r="Q24" s="370"/>
      <c r="R24" s="370"/>
      <c r="S24" s="372"/>
      <c r="T24" s="373"/>
      <c r="U24" s="374"/>
      <c r="V24" s="375"/>
      <c r="W24" s="381"/>
      <c r="X24" s="382"/>
      <c r="Y24" s="201"/>
      <c r="CZ24" s="1"/>
      <c r="DA24" s="1"/>
      <c r="DB24" s="1"/>
      <c r="DC24" s="1"/>
      <c r="DD24" s="1"/>
    </row>
    <row r="25" spans="2:108" ht="14.25" customHeight="1" x14ac:dyDescent="0.35">
      <c r="B25" s="364" t="s">
        <v>221</v>
      </c>
      <c r="C25" s="365"/>
      <c r="D25" s="366"/>
      <c r="E25" s="367"/>
      <c r="F25" s="368"/>
      <c r="G25" s="264"/>
      <c r="H25" s="265"/>
      <c r="I25" s="265"/>
      <c r="J25" s="265"/>
      <c r="K25" s="265"/>
      <c r="L25" s="265"/>
      <c r="M25" s="266"/>
      <c r="N25" s="369"/>
      <c r="O25" s="370"/>
      <c r="P25" s="371"/>
      <c r="Q25" s="370"/>
      <c r="R25" s="370"/>
      <c r="S25" s="372"/>
      <c r="T25" s="373"/>
      <c r="U25" s="374"/>
      <c r="V25" s="375"/>
      <c r="W25" s="381"/>
      <c r="X25" s="382"/>
      <c r="Y25" s="201"/>
      <c r="CZ25" s="1"/>
      <c r="DA25" s="1"/>
      <c r="DB25" s="1"/>
      <c r="DC25" s="1"/>
      <c r="DD25" s="1"/>
    </row>
    <row r="26" spans="2:108" ht="14.25" customHeight="1" x14ac:dyDescent="0.35">
      <c r="B26" s="364" t="s">
        <v>222</v>
      </c>
      <c r="C26" s="365"/>
      <c r="D26" s="366"/>
      <c r="E26" s="367"/>
      <c r="F26" s="368"/>
      <c r="G26" s="264"/>
      <c r="H26" s="265"/>
      <c r="I26" s="265"/>
      <c r="J26" s="265"/>
      <c r="K26" s="265"/>
      <c r="L26" s="265"/>
      <c r="M26" s="266"/>
      <c r="N26" s="369"/>
      <c r="O26" s="370"/>
      <c r="P26" s="371"/>
      <c r="Q26" s="370"/>
      <c r="R26" s="370"/>
      <c r="S26" s="372"/>
      <c r="T26" s="373"/>
      <c r="U26" s="374"/>
      <c r="V26" s="375"/>
      <c r="W26" s="381"/>
      <c r="X26" s="382"/>
      <c r="Y26" s="201"/>
      <c r="CZ26" s="1"/>
      <c r="DA26" s="1"/>
      <c r="DB26" s="1"/>
      <c r="DC26" s="1"/>
      <c r="DD26" s="1"/>
    </row>
    <row r="27" spans="2:108" ht="14.25" customHeight="1" x14ac:dyDescent="0.35">
      <c r="B27" s="364" t="s">
        <v>223</v>
      </c>
      <c r="C27" s="365"/>
      <c r="D27" s="366"/>
      <c r="E27" s="367"/>
      <c r="F27" s="368"/>
      <c r="G27" s="264"/>
      <c r="H27" s="265"/>
      <c r="I27" s="265"/>
      <c r="J27" s="265"/>
      <c r="K27" s="265"/>
      <c r="L27" s="265"/>
      <c r="M27" s="266"/>
      <c r="N27" s="369"/>
      <c r="O27" s="370"/>
      <c r="P27" s="371"/>
      <c r="Q27" s="370"/>
      <c r="R27" s="370"/>
      <c r="S27" s="372"/>
      <c r="T27" s="373"/>
      <c r="U27" s="374"/>
      <c r="V27" s="375"/>
      <c r="W27" s="381"/>
      <c r="X27" s="382"/>
      <c r="Y27" s="201"/>
      <c r="CZ27" s="1"/>
      <c r="DA27" s="1"/>
      <c r="DB27" s="1"/>
      <c r="DC27" s="1"/>
      <c r="DD27" s="1"/>
    </row>
    <row r="28" spans="2:108" ht="14.25" customHeight="1" x14ac:dyDescent="0.35">
      <c r="B28" s="364" t="s">
        <v>224</v>
      </c>
      <c r="C28" s="365"/>
      <c r="D28" s="366"/>
      <c r="E28" s="367"/>
      <c r="F28" s="368"/>
      <c r="G28" s="264"/>
      <c r="H28" s="265"/>
      <c r="I28" s="265"/>
      <c r="J28" s="265"/>
      <c r="K28" s="265"/>
      <c r="L28" s="265"/>
      <c r="M28" s="266"/>
      <c r="N28" s="369"/>
      <c r="O28" s="370"/>
      <c r="P28" s="371"/>
      <c r="Q28" s="370"/>
      <c r="R28" s="370"/>
      <c r="S28" s="372"/>
      <c r="T28" s="373"/>
      <c r="U28" s="374"/>
      <c r="V28" s="375"/>
      <c r="W28" s="381"/>
      <c r="X28" s="382"/>
      <c r="Y28" s="201"/>
      <c r="CZ28" s="1"/>
      <c r="DA28" s="1"/>
      <c r="DB28" s="1"/>
      <c r="DC28" s="1"/>
      <c r="DD28" s="1"/>
    </row>
    <row r="29" spans="2:108" ht="14.25" customHeight="1" x14ac:dyDescent="0.35">
      <c r="B29" s="364" t="s">
        <v>225</v>
      </c>
      <c r="C29" s="365"/>
      <c r="D29" s="366"/>
      <c r="E29" s="367"/>
      <c r="F29" s="368"/>
      <c r="G29" s="264"/>
      <c r="H29" s="265"/>
      <c r="I29" s="265"/>
      <c r="J29" s="265"/>
      <c r="K29" s="265"/>
      <c r="L29" s="265"/>
      <c r="M29" s="266"/>
      <c r="N29" s="369"/>
      <c r="O29" s="370"/>
      <c r="P29" s="371"/>
      <c r="Q29" s="370"/>
      <c r="R29" s="370"/>
      <c r="S29" s="372"/>
      <c r="T29" s="373"/>
      <c r="U29" s="374"/>
      <c r="V29" s="375"/>
      <c r="W29" s="381"/>
      <c r="X29" s="382"/>
      <c r="Y29" s="201"/>
      <c r="CZ29" s="1"/>
      <c r="DA29" s="1"/>
      <c r="DB29" s="1"/>
      <c r="DC29" s="1"/>
      <c r="DD29" s="1"/>
    </row>
    <row r="30" spans="2:108" ht="14.25" customHeight="1" x14ac:dyDescent="0.35">
      <c r="B30" s="364" t="s">
        <v>226</v>
      </c>
      <c r="C30" s="365"/>
      <c r="D30" s="366"/>
      <c r="E30" s="367"/>
      <c r="F30" s="368"/>
      <c r="G30" s="264"/>
      <c r="H30" s="265"/>
      <c r="I30" s="265"/>
      <c r="J30" s="265"/>
      <c r="K30" s="265"/>
      <c r="L30" s="265"/>
      <c r="M30" s="266"/>
      <c r="N30" s="369"/>
      <c r="O30" s="370"/>
      <c r="P30" s="371"/>
      <c r="Q30" s="370"/>
      <c r="R30" s="370"/>
      <c r="S30" s="372"/>
      <c r="T30" s="373"/>
      <c r="U30" s="374"/>
      <c r="V30" s="375"/>
      <c r="W30" s="381"/>
      <c r="X30" s="382"/>
      <c r="Y30" s="201"/>
      <c r="CZ30" s="1"/>
      <c r="DA30" s="1"/>
      <c r="DB30" s="1"/>
      <c r="DC30" s="1"/>
      <c r="DD30" s="1"/>
    </row>
    <row r="31" spans="2:108" ht="14.25" customHeight="1" x14ac:dyDescent="0.35">
      <c r="B31" s="364" t="s">
        <v>227</v>
      </c>
      <c r="C31" s="365"/>
      <c r="D31" s="366"/>
      <c r="E31" s="367"/>
      <c r="F31" s="368"/>
      <c r="G31" s="264"/>
      <c r="H31" s="265"/>
      <c r="I31" s="265"/>
      <c r="J31" s="265"/>
      <c r="K31" s="265"/>
      <c r="L31" s="265"/>
      <c r="M31" s="266"/>
      <c r="N31" s="369"/>
      <c r="O31" s="370"/>
      <c r="P31" s="371"/>
      <c r="Q31" s="370"/>
      <c r="R31" s="370"/>
      <c r="S31" s="372"/>
      <c r="T31" s="373"/>
      <c r="U31" s="374"/>
      <c r="V31" s="375"/>
      <c r="W31" s="381"/>
      <c r="X31" s="382"/>
      <c r="Y31" s="201"/>
      <c r="CZ31" s="1"/>
      <c r="DA31" s="1"/>
      <c r="DB31" s="1"/>
      <c r="DC31" s="1"/>
      <c r="DD31" s="1"/>
    </row>
    <row r="32" spans="2:108" ht="14.25" customHeight="1" x14ac:dyDescent="0.35">
      <c r="B32" s="364" t="s">
        <v>228</v>
      </c>
      <c r="C32" s="365"/>
      <c r="D32" s="366"/>
      <c r="E32" s="367"/>
      <c r="F32" s="368"/>
      <c r="G32" s="264"/>
      <c r="H32" s="265"/>
      <c r="I32" s="265"/>
      <c r="J32" s="265"/>
      <c r="K32" s="265"/>
      <c r="L32" s="265"/>
      <c r="M32" s="266"/>
      <c r="N32" s="369"/>
      <c r="O32" s="370"/>
      <c r="P32" s="371"/>
      <c r="Q32" s="370"/>
      <c r="R32" s="370"/>
      <c r="S32" s="372"/>
      <c r="T32" s="373"/>
      <c r="U32" s="374"/>
      <c r="V32" s="375"/>
      <c r="W32" s="381"/>
      <c r="X32" s="382"/>
      <c r="Y32" s="201"/>
      <c r="CZ32" s="1"/>
      <c r="DA32" s="1"/>
      <c r="DB32" s="1"/>
      <c r="DC32" s="1"/>
      <c r="DD32" s="1"/>
    </row>
    <row r="33" spans="2:108" ht="14.25" customHeight="1" x14ac:dyDescent="0.35">
      <c r="B33" s="364" t="s">
        <v>229</v>
      </c>
      <c r="C33" s="365"/>
      <c r="D33" s="366"/>
      <c r="E33" s="367"/>
      <c r="F33" s="368"/>
      <c r="G33" s="264"/>
      <c r="H33" s="265"/>
      <c r="I33" s="265"/>
      <c r="J33" s="265"/>
      <c r="K33" s="265"/>
      <c r="L33" s="265"/>
      <c r="M33" s="266"/>
      <c r="N33" s="369"/>
      <c r="O33" s="370"/>
      <c r="P33" s="371"/>
      <c r="Q33" s="370"/>
      <c r="R33" s="370"/>
      <c r="S33" s="372"/>
      <c r="T33" s="373"/>
      <c r="U33" s="374"/>
      <c r="V33" s="375"/>
      <c r="W33" s="381"/>
      <c r="X33" s="382"/>
      <c r="Y33" s="201"/>
      <c r="CZ33" s="1"/>
      <c r="DA33" s="1"/>
      <c r="DB33" s="1"/>
      <c r="DC33" s="1"/>
      <c r="DD33" s="1"/>
    </row>
    <row r="34" spans="2:108" ht="14.25" customHeight="1" x14ac:dyDescent="0.35">
      <c r="B34" s="364" t="s">
        <v>230</v>
      </c>
      <c r="C34" s="365"/>
      <c r="D34" s="366"/>
      <c r="E34" s="367"/>
      <c r="F34" s="368"/>
      <c r="G34" s="264"/>
      <c r="H34" s="265"/>
      <c r="I34" s="265"/>
      <c r="J34" s="265"/>
      <c r="K34" s="265"/>
      <c r="L34" s="265"/>
      <c r="M34" s="266"/>
      <c r="N34" s="369"/>
      <c r="O34" s="370"/>
      <c r="P34" s="371"/>
      <c r="Q34" s="370"/>
      <c r="R34" s="370"/>
      <c r="S34" s="372"/>
      <c r="T34" s="373"/>
      <c r="U34" s="374"/>
      <c r="V34" s="375"/>
      <c r="W34" s="381"/>
      <c r="X34" s="382"/>
      <c r="Y34" s="201"/>
      <c r="CZ34" s="1"/>
      <c r="DA34" s="1"/>
      <c r="DB34" s="1"/>
      <c r="DC34" s="1"/>
      <c r="DD34" s="1"/>
    </row>
    <row r="35" spans="2:108" ht="14.25" customHeight="1" x14ac:dyDescent="0.35">
      <c r="B35" s="364" t="s">
        <v>231</v>
      </c>
      <c r="C35" s="365"/>
      <c r="D35" s="366"/>
      <c r="E35" s="367"/>
      <c r="F35" s="368"/>
      <c r="G35" s="264"/>
      <c r="H35" s="265"/>
      <c r="I35" s="265"/>
      <c r="J35" s="265"/>
      <c r="K35" s="265"/>
      <c r="L35" s="265"/>
      <c r="M35" s="266"/>
      <c r="N35" s="369"/>
      <c r="O35" s="370"/>
      <c r="P35" s="371"/>
      <c r="Q35" s="370"/>
      <c r="R35" s="370"/>
      <c r="S35" s="372"/>
      <c r="T35" s="373"/>
      <c r="U35" s="374"/>
      <c r="V35" s="375"/>
      <c r="W35" s="381"/>
      <c r="X35" s="382"/>
      <c r="Y35" s="201"/>
      <c r="CZ35" s="1"/>
      <c r="DA35" s="1"/>
      <c r="DB35" s="1"/>
      <c r="DC35" s="1"/>
      <c r="DD35" s="1"/>
    </row>
    <row r="36" spans="2:108" ht="14.25" customHeight="1" x14ac:dyDescent="0.35">
      <c r="B36" s="364" t="s">
        <v>232</v>
      </c>
      <c r="C36" s="365"/>
      <c r="D36" s="366"/>
      <c r="E36" s="367"/>
      <c r="F36" s="368"/>
      <c r="G36" s="264"/>
      <c r="H36" s="265"/>
      <c r="I36" s="265"/>
      <c r="J36" s="265"/>
      <c r="K36" s="265"/>
      <c r="L36" s="265"/>
      <c r="M36" s="266"/>
      <c r="N36" s="369"/>
      <c r="O36" s="370"/>
      <c r="P36" s="371"/>
      <c r="Q36" s="370"/>
      <c r="R36" s="370"/>
      <c r="S36" s="372"/>
      <c r="T36" s="373"/>
      <c r="U36" s="374"/>
      <c r="V36" s="375"/>
      <c r="W36" s="381"/>
      <c r="X36" s="382"/>
      <c r="Y36" s="201"/>
      <c r="CZ36" s="1"/>
      <c r="DA36" s="1"/>
      <c r="DB36" s="1"/>
      <c r="DC36" s="1"/>
      <c r="DD36" s="1"/>
    </row>
    <row r="37" spans="2:108" ht="14.25" customHeight="1" x14ac:dyDescent="0.35">
      <c r="B37" s="364" t="s">
        <v>233</v>
      </c>
      <c r="C37" s="365"/>
      <c r="D37" s="366"/>
      <c r="E37" s="367"/>
      <c r="F37" s="368"/>
      <c r="G37" s="264"/>
      <c r="H37" s="265"/>
      <c r="I37" s="265"/>
      <c r="J37" s="265"/>
      <c r="K37" s="265"/>
      <c r="L37" s="265"/>
      <c r="M37" s="266"/>
      <c r="N37" s="369"/>
      <c r="O37" s="370"/>
      <c r="P37" s="371"/>
      <c r="Q37" s="370"/>
      <c r="R37" s="370"/>
      <c r="S37" s="372"/>
      <c r="T37" s="373"/>
      <c r="U37" s="374"/>
      <c r="V37" s="375"/>
      <c r="W37" s="381"/>
      <c r="X37" s="382"/>
      <c r="Y37" s="201"/>
      <c r="CZ37" s="1"/>
      <c r="DA37" s="1"/>
      <c r="DB37" s="1"/>
      <c r="DC37" s="1"/>
      <c r="DD37" s="1"/>
    </row>
    <row r="38" spans="2:108" ht="14.25" customHeight="1" x14ac:dyDescent="0.35">
      <c r="B38" s="267" t="s">
        <v>234</v>
      </c>
      <c r="C38" s="268"/>
      <c r="D38" s="269"/>
      <c r="E38" s="270"/>
      <c r="F38" s="271"/>
      <c r="G38" s="272"/>
      <c r="H38" s="273"/>
      <c r="I38" s="273"/>
      <c r="J38" s="273"/>
      <c r="K38" s="273"/>
      <c r="L38" s="273"/>
      <c r="M38" s="274"/>
      <c r="N38" s="275"/>
      <c r="O38" s="276"/>
      <c r="P38" s="277"/>
      <c r="Q38" s="276"/>
      <c r="R38" s="276"/>
      <c r="S38" s="278"/>
      <c r="T38" s="279"/>
      <c r="U38" s="280"/>
      <c r="V38" s="317"/>
      <c r="W38" s="320">
        <f>Q38*-3+T38*-1+V38*-1</f>
        <v>0</v>
      </c>
      <c r="X38" s="323"/>
      <c r="Y38" s="201"/>
      <c r="CZ38" s="1"/>
      <c r="DA38" s="1"/>
      <c r="DB38" s="1"/>
      <c r="DC38" s="1"/>
      <c r="DD38" s="1"/>
    </row>
    <row r="39" spans="2:108" ht="14.25" customHeight="1" x14ac:dyDescent="0.35">
      <c r="B39" s="267" t="s">
        <v>235</v>
      </c>
      <c r="C39" s="268"/>
      <c r="D39" s="269"/>
      <c r="E39" s="270"/>
      <c r="F39" s="271"/>
      <c r="G39" s="272"/>
      <c r="H39" s="273"/>
      <c r="I39" s="273"/>
      <c r="J39" s="273"/>
      <c r="K39" s="273"/>
      <c r="L39" s="273"/>
      <c r="M39" s="274"/>
      <c r="N39" s="275"/>
      <c r="O39" s="276"/>
      <c r="P39" s="277"/>
      <c r="Q39" s="276"/>
      <c r="R39" s="276"/>
      <c r="S39" s="278"/>
      <c r="T39" s="279"/>
      <c r="U39" s="280"/>
      <c r="V39" s="317"/>
      <c r="W39" s="320">
        <f t="shared" ref="W39:W44" si="0">Q39*-3+T39*-1+V39*-1</f>
        <v>0</v>
      </c>
      <c r="X39" s="323"/>
      <c r="Y39" s="201"/>
      <c r="CZ39" s="1"/>
      <c r="DA39" s="1"/>
      <c r="DB39" s="1"/>
      <c r="DC39" s="1"/>
      <c r="DD39" s="1"/>
    </row>
    <row r="40" spans="2:108" ht="14.25" customHeight="1" x14ac:dyDescent="0.35">
      <c r="B40" s="267" t="s">
        <v>236</v>
      </c>
      <c r="C40" s="268"/>
      <c r="D40" s="269"/>
      <c r="E40" s="270"/>
      <c r="F40" s="271"/>
      <c r="G40" s="272"/>
      <c r="H40" s="273"/>
      <c r="I40" s="273"/>
      <c r="J40" s="273"/>
      <c r="K40" s="273"/>
      <c r="L40" s="273"/>
      <c r="M40" s="274"/>
      <c r="N40" s="275"/>
      <c r="O40" s="276"/>
      <c r="P40" s="277"/>
      <c r="Q40" s="276"/>
      <c r="R40" s="276"/>
      <c r="S40" s="278"/>
      <c r="T40" s="279"/>
      <c r="U40" s="280"/>
      <c r="V40" s="317"/>
      <c r="W40" s="320">
        <f t="shared" si="0"/>
        <v>0</v>
      </c>
      <c r="X40" s="323"/>
      <c r="Y40" s="201"/>
      <c r="CZ40" s="1"/>
      <c r="DA40" s="1"/>
      <c r="DB40" s="1"/>
      <c r="DC40" s="1"/>
      <c r="DD40" s="1"/>
    </row>
    <row r="41" spans="2:108" ht="14.25" customHeight="1" x14ac:dyDescent="0.35">
      <c r="B41" s="267" t="s">
        <v>237</v>
      </c>
      <c r="C41" s="268"/>
      <c r="D41" s="269"/>
      <c r="E41" s="270"/>
      <c r="F41" s="271"/>
      <c r="G41" s="272"/>
      <c r="H41" s="273"/>
      <c r="I41" s="273"/>
      <c r="J41" s="273"/>
      <c r="K41" s="273"/>
      <c r="L41" s="273"/>
      <c r="M41" s="274"/>
      <c r="N41" s="275"/>
      <c r="O41" s="276"/>
      <c r="P41" s="277"/>
      <c r="Q41" s="276"/>
      <c r="R41" s="276"/>
      <c r="S41" s="278"/>
      <c r="T41" s="279"/>
      <c r="U41" s="280"/>
      <c r="V41" s="317"/>
      <c r="W41" s="320">
        <f t="shared" si="0"/>
        <v>0</v>
      </c>
      <c r="X41" s="323"/>
      <c r="Y41" s="201"/>
      <c r="CZ41" s="1"/>
      <c r="DA41" s="1"/>
      <c r="DB41" s="1"/>
      <c r="DC41" s="1"/>
      <c r="DD41" s="1"/>
    </row>
    <row r="42" spans="2:108" ht="14.25" customHeight="1" x14ac:dyDescent="0.35">
      <c r="B42" s="267" t="s">
        <v>238</v>
      </c>
      <c r="C42" s="268"/>
      <c r="D42" s="269"/>
      <c r="E42" s="270"/>
      <c r="F42" s="271"/>
      <c r="G42" s="272"/>
      <c r="H42" s="273"/>
      <c r="I42" s="273"/>
      <c r="J42" s="273"/>
      <c r="K42" s="273"/>
      <c r="L42" s="273"/>
      <c r="M42" s="274"/>
      <c r="N42" s="275"/>
      <c r="O42" s="276"/>
      <c r="P42" s="277"/>
      <c r="Q42" s="276"/>
      <c r="R42" s="276"/>
      <c r="S42" s="278"/>
      <c r="T42" s="279"/>
      <c r="U42" s="280"/>
      <c r="V42" s="317"/>
      <c r="W42" s="320">
        <f t="shared" si="0"/>
        <v>0</v>
      </c>
      <c r="X42" s="323"/>
      <c r="Y42" s="201"/>
      <c r="CZ42" s="1"/>
      <c r="DA42" s="1"/>
      <c r="DB42" s="1"/>
      <c r="DC42" s="1"/>
      <c r="DD42" s="1"/>
    </row>
    <row r="43" spans="2:108" ht="14.25" customHeight="1" x14ac:dyDescent="0.35">
      <c r="B43" s="267" t="s">
        <v>239</v>
      </c>
      <c r="C43" s="268"/>
      <c r="D43" s="269"/>
      <c r="E43" s="270"/>
      <c r="F43" s="271"/>
      <c r="G43" s="272"/>
      <c r="H43" s="273"/>
      <c r="I43" s="273"/>
      <c r="J43" s="273"/>
      <c r="K43" s="273"/>
      <c r="L43" s="273"/>
      <c r="M43" s="274"/>
      <c r="N43" s="275"/>
      <c r="O43" s="276"/>
      <c r="P43" s="277"/>
      <c r="Q43" s="276"/>
      <c r="R43" s="276"/>
      <c r="S43" s="278"/>
      <c r="T43" s="279"/>
      <c r="U43" s="280"/>
      <c r="V43" s="317"/>
      <c r="W43" s="320">
        <f t="shared" si="0"/>
        <v>0</v>
      </c>
      <c r="X43" s="323"/>
      <c r="Y43" s="201"/>
      <c r="CZ43" s="1"/>
      <c r="DA43" s="1"/>
      <c r="DB43" s="1"/>
      <c r="DC43" s="1"/>
      <c r="DD43" s="1"/>
    </row>
    <row r="44" spans="2:108" ht="14.25" customHeight="1" thickBot="1" x14ac:dyDescent="0.4">
      <c r="B44" s="282" t="s">
        <v>240</v>
      </c>
      <c r="C44" s="283"/>
      <c r="D44" s="284"/>
      <c r="E44" s="285"/>
      <c r="F44" s="286"/>
      <c r="G44" s="287"/>
      <c r="H44" s="288"/>
      <c r="I44" s="288"/>
      <c r="J44" s="288"/>
      <c r="K44" s="288"/>
      <c r="L44" s="288"/>
      <c r="M44" s="289"/>
      <c r="N44" s="290"/>
      <c r="O44" s="291"/>
      <c r="P44" s="292"/>
      <c r="Q44" s="291"/>
      <c r="R44" s="291"/>
      <c r="S44" s="293"/>
      <c r="T44" s="294"/>
      <c r="U44" s="295"/>
      <c r="V44" s="318"/>
      <c r="W44" s="320">
        <f t="shared" si="0"/>
        <v>0</v>
      </c>
      <c r="X44" s="324"/>
      <c r="Y44" s="201"/>
      <c r="CZ44" s="1"/>
      <c r="DA44" s="1"/>
      <c r="DB44" s="1"/>
      <c r="DC44" s="1"/>
      <c r="DD44" s="1"/>
    </row>
    <row r="45" spans="2:108" ht="14.25" customHeight="1" thickBot="1" x14ac:dyDescent="0.25">
      <c r="B45" s="171"/>
      <c r="C45" s="241"/>
      <c r="D45" s="250"/>
      <c r="E45" s="251"/>
      <c r="F45" s="252"/>
      <c r="G45" s="255"/>
      <c r="H45" s="245"/>
      <c r="I45" s="245"/>
      <c r="J45" s="245"/>
      <c r="K45" s="245"/>
      <c r="L45" s="245"/>
      <c r="M45" s="246"/>
      <c r="N45" s="257"/>
      <c r="O45" s="192">
        <f>SUM(O5:O44)</f>
        <v>0</v>
      </c>
      <c r="P45" s="191" t="e">
        <f>AVERAGE(P5:P44)</f>
        <v>#DIV/0!</v>
      </c>
      <c r="Q45" s="191"/>
      <c r="R45" s="192">
        <f>SUM(R5:R44)</f>
        <v>0</v>
      </c>
      <c r="S45" s="191" t="e">
        <f>AVERAGE(S5:S44)</f>
        <v>#DIV/0!</v>
      </c>
      <c r="T45" s="191"/>
      <c r="U45" s="253" t="e">
        <f>AVERAGE(U5:U44)</f>
        <v>#DIV/0!</v>
      </c>
      <c r="V45" s="303"/>
      <c r="W45" s="257"/>
      <c r="X45" s="193"/>
      <c r="Y45" s="201"/>
      <c r="CZ45" s="1"/>
      <c r="DA45" s="1"/>
      <c r="DB45" s="1"/>
      <c r="DC45" s="1"/>
      <c r="DD45" s="1"/>
    </row>
    <row r="46" spans="2:108" ht="14.25" customHeight="1" x14ac:dyDescent="0.2">
      <c r="B46" s="15"/>
      <c r="C46" s="15"/>
      <c r="D46" s="174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175"/>
      <c r="X46" s="175"/>
    </row>
    <row r="47" spans="2:108" ht="14.25" customHeight="1" x14ac:dyDescent="0.2">
      <c r="B47" s="15"/>
      <c r="C47" s="15"/>
      <c r="D47" s="174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5"/>
      <c r="U47" s="175"/>
      <c r="V47" s="175"/>
      <c r="W47" s="175"/>
      <c r="X47" s="175"/>
    </row>
    <row r="48" spans="2:108" ht="14.25" customHeight="1" x14ac:dyDescent="0.2">
      <c r="B48" s="15"/>
      <c r="C48" s="15"/>
      <c r="D48" s="174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5"/>
      <c r="U48" s="175"/>
      <c r="V48" s="175"/>
      <c r="W48" s="175"/>
      <c r="X48" s="175"/>
    </row>
    <row r="49" spans="1:108" ht="14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spans="1:108" ht="50.25" customHeight="1" thickBot="1" x14ac:dyDescent="0.25">
      <c r="B50" s="17" t="s">
        <v>23</v>
      </c>
      <c r="C50" s="17"/>
    </row>
    <row r="51" spans="1:108" ht="18" customHeight="1" thickBot="1" x14ac:dyDescent="0.25">
      <c r="A51" s="6"/>
      <c r="B51" s="385" t="s">
        <v>1</v>
      </c>
      <c r="C51" s="387" t="s">
        <v>77</v>
      </c>
      <c r="D51" s="389" t="s">
        <v>2</v>
      </c>
      <c r="E51" s="385" t="s">
        <v>3</v>
      </c>
      <c r="F51" s="391" t="s">
        <v>111</v>
      </c>
      <c r="G51" s="213"/>
      <c r="H51" s="254" t="s">
        <v>5</v>
      </c>
      <c r="I51" s="254"/>
      <c r="J51" s="254"/>
      <c r="K51" s="254"/>
      <c r="L51" s="254"/>
      <c r="M51" s="254"/>
      <c r="N51" s="247" t="s">
        <v>6</v>
      </c>
      <c r="O51" s="248"/>
      <c r="P51" s="248"/>
      <c r="Q51" s="248"/>
      <c r="R51" s="248"/>
      <c r="S51" s="248"/>
      <c r="T51" s="248"/>
      <c r="U51" s="248"/>
      <c r="V51" s="248"/>
      <c r="W51" s="249"/>
      <c r="X51" s="249"/>
      <c r="CX51" s="1"/>
      <c r="CY51" s="1"/>
      <c r="CZ51" s="1"/>
      <c r="DA51" s="1"/>
      <c r="DB51" s="1"/>
      <c r="DC51" s="1"/>
      <c r="DD51" s="1"/>
    </row>
    <row r="52" spans="1:108" s="6" customFormat="1" ht="36" customHeight="1" thickBot="1" x14ac:dyDescent="0.25">
      <c r="B52" s="386"/>
      <c r="C52" s="388"/>
      <c r="D52" s="390"/>
      <c r="E52" s="386"/>
      <c r="F52" s="392"/>
      <c r="G52" s="256" t="s">
        <v>122</v>
      </c>
      <c r="H52" s="153" t="s">
        <v>124</v>
      </c>
      <c r="I52" s="153" t="s">
        <v>126</v>
      </c>
      <c r="J52" s="153" t="s">
        <v>128</v>
      </c>
      <c r="K52" s="153" t="s">
        <v>157</v>
      </c>
      <c r="L52" s="153" t="s">
        <v>159</v>
      </c>
      <c r="M52" s="258" t="s">
        <v>161</v>
      </c>
      <c r="N52" s="304" t="s">
        <v>106</v>
      </c>
      <c r="O52" s="207" t="s">
        <v>18</v>
      </c>
      <c r="P52" s="207" t="s">
        <v>19</v>
      </c>
      <c r="Q52" s="207" t="s">
        <v>110</v>
      </c>
      <c r="R52" s="207" t="s">
        <v>20</v>
      </c>
      <c r="S52" s="305" t="s">
        <v>21</v>
      </c>
      <c r="T52" s="305" t="s">
        <v>109</v>
      </c>
      <c r="U52" s="306" t="s">
        <v>22</v>
      </c>
      <c r="V52" s="315" t="s">
        <v>110</v>
      </c>
      <c r="W52" s="304" t="s">
        <v>3</v>
      </c>
      <c r="X52" s="307" t="s">
        <v>133</v>
      </c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  <c r="CF52" s="29"/>
      <c r="CG52" s="29"/>
      <c r="CH52" s="29"/>
      <c r="CI52" s="29"/>
      <c r="CJ52" s="29"/>
      <c r="CK52" s="29"/>
      <c r="CL52" s="29"/>
      <c r="CM52" s="29"/>
      <c r="CN52" s="29"/>
      <c r="CO52" s="29"/>
      <c r="CP52" s="29"/>
      <c r="CQ52" s="29"/>
      <c r="CR52" s="29"/>
      <c r="CS52" s="29"/>
      <c r="CT52" s="29"/>
      <c r="CU52" s="29"/>
      <c r="CV52" s="29"/>
      <c r="CW52" s="29"/>
    </row>
    <row r="53" spans="1:108" s="6" customFormat="1" ht="17.25" customHeight="1" x14ac:dyDescent="0.35">
      <c r="A53" s="1"/>
      <c r="B53" s="259" t="s">
        <v>241</v>
      </c>
      <c r="C53" s="260"/>
      <c r="D53" s="261"/>
      <c r="E53" s="262"/>
      <c r="F53" s="263"/>
      <c r="G53" s="264"/>
      <c r="H53" s="265"/>
      <c r="I53" s="265"/>
      <c r="J53" s="265"/>
      <c r="K53" s="265"/>
      <c r="L53" s="265"/>
      <c r="M53" s="266"/>
      <c r="N53" s="308"/>
      <c r="O53" s="309"/>
      <c r="P53" s="310"/>
      <c r="Q53" s="309"/>
      <c r="R53" s="309"/>
      <c r="S53" s="311"/>
      <c r="T53" s="312"/>
      <c r="U53" s="313"/>
      <c r="V53" s="316"/>
      <c r="W53" s="319">
        <f>Q53*-3+T53*-1+V53*-1</f>
        <v>0</v>
      </c>
      <c r="X53" s="322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  <c r="CF53" s="29"/>
      <c r="CG53" s="29"/>
      <c r="CH53" s="29"/>
      <c r="CI53" s="29"/>
      <c r="CJ53" s="29"/>
      <c r="CK53" s="29"/>
      <c r="CL53" s="29"/>
      <c r="CM53" s="29"/>
      <c r="CN53" s="29"/>
      <c r="CO53" s="29"/>
      <c r="CP53" s="29"/>
      <c r="CQ53" s="29"/>
      <c r="CR53" s="29"/>
      <c r="CS53" s="29"/>
      <c r="CT53" s="29"/>
      <c r="CU53" s="29"/>
      <c r="CV53" s="29"/>
      <c r="CW53" s="29"/>
    </row>
    <row r="54" spans="1:108" s="6" customFormat="1" ht="17.25" customHeight="1" x14ac:dyDescent="0.35">
      <c r="A54" s="1"/>
      <c r="B54" s="364" t="s">
        <v>207</v>
      </c>
      <c r="C54" s="365"/>
      <c r="D54" s="366"/>
      <c r="E54" s="367"/>
      <c r="F54" s="368"/>
      <c r="G54" s="264"/>
      <c r="H54" s="265"/>
      <c r="I54" s="265"/>
      <c r="J54" s="265"/>
      <c r="K54" s="265"/>
      <c r="L54" s="265"/>
      <c r="M54" s="266"/>
      <c r="N54" s="369"/>
      <c r="O54" s="370"/>
      <c r="P54" s="371"/>
      <c r="Q54" s="370"/>
      <c r="R54" s="370"/>
      <c r="S54" s="372"/>
      <c r="T54" s="373"/>
      <c r="U54" s="374"/>
      <c r="V54" s="375"/>
      <c r="W54" s="381"/>
      <c r="X54" s="382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  <c r="CF54" s="29"/>
      <c r="CG54" s="29"/>
      <c r="CH54" s="29"/>
      <c r="CI54" s="29"/>
      <c r="CJ54" s="29"/>
      <c r="CK54" s="29"/>
      <c r="CL54" s="29"/>
      <c r="CM54" s="29"/>
      <c r="CN54" s="29"/>
      <c r="CO54" s="29"/>
      <c r="CP54" s="29"/>
      <c r="CQ54" s="29"/>
      <c r="CR54" s="29"/>
      <c r="CS54" s="29"/>
      <c r="CT54" s="29"/>
      <c r="CU54" s="29"/>
      <c r="CV54" s="29"/>
      <c r="CW54" s="29"/>
    </row>
    <row r="55" spans="1:108" s="6" customFormat="1" ht="17.25" customHeight="1" x14ac:dyDescent="0.35">
      <c r="A55" s="1"/>
      <c r="B55" s="364" t="s">
        <v>209</v>
      </c>
      <c r="C55" s="365"/>
      <c r="D55" s="366"/>
      <c r="E55" s="367"/>
      <c r="F55" s="368"/>
      <c r="G55" s="264"/>
      <c r="H55" s="265"/>
      <c r="I55" s="265"/>
      <c r="J55" s="265"/>
      <c r="K55" s="265"/>
      <c r="L55" s="265"/>
      <c r="M55" s="266"/>
      <c r="N55" s="369"/>
      <c r="O55" s="370"/>
      <c r="P55" s="371"/>
      <c r="Q55" s="370"/>
      <c r="R55" s="370"/>
      <c r="S55" s="372"/>
      <c r="T55" s="373"/>
      <c r="U55" s="374"/>
      <c r="V55" s="375"/>
      <c r="W55" s="381"/>
      <c r="X55" s="382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  <c r="CF55" s="29"/>
      <c r="CG55" s="29"/>
      <c r="CH55" s="29"/>
      <c r="CI55" s="29"/>
      <c r="CJ55" s="29"/>
      <c r="CK55" s="29"/>
      <c r="CL55" s="29"/>
      <c r="CM55" s="29"/>
      <c r="CN55" s="29"/>
      <c r="CO55" s="29"/>
      <c r="CP55" s="29"/>
      <c r="CQ55" s="29"/>
      <c r="CR55" s="29"/>
      <c r="CS55" s="29"/>
      <c r="CT55" s="29"/>
      <c r="CU55" s="29"/>
      <c r="CV55" s="29"/>
      <c r="CW55" s="29"/>
    </row>
    <row r="56" spans="1:108" s="6" customFormat="1" ht="17.25" customHeight="1" x14ac:dyDescent="0.35">
      <c r="A56" s="1"/>
      <c r="B56" s="364" t="s">
        <v>91</v>
      </c>
      <c r="C56" s="365"/>
      <c r="D56" s="366"/>
      <c r="E56" s="367"/>
      <c r="F56" s="368"/>
      <c r="G56" s="264"/>
      <c r="H56" s="265"/>
      <c r="I56" s="265"/>
      <c r="J56" s="265"/>
      <c r="K56" s="265"/>
      <c r="L56" s="265"/>
      <c r="M56" s="266"/>
      <c r="N56" s="369"/>
      <c r="O56" s="370"/>
      <c r="P56" s="371"/>
      <c r="Q56" s="370"/>
      <c r="R56" s="370"/>
      <c r="S56" s="372"/>
      <c r="T56" s="373"/>
      <c r="U56" s="374"/>
      <c r="V56" s="375"/>
      <c r="W56" s="381"/>
      <c r="X56" s="382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  <c r="CF56" s="29"/>
      <c r="CG56" s="29"/>
      <c r="CH56" s="29"/>
      <c r="CI56" s="29"/>
      <c r="CJ56" s="29"/>
      <c r="CK56" s="29"/>
      <c r="CL56" s="29"/>
      <c r="CM56" s="29"/>
      <c r="CN56" s="29"/>
      <c r="CO56" s="29"/>
      <c r="CP56" s="29"/>
      <c r="CQ56" s="29"/>
      <c r="CR56" s="29"/>
      <c r="CS56" s="29"/>
      <c r="CT56" s="29"/>
      <c r="CU56" s="29"/>
      <c r="CV56" s="29"/>
      <c r="CW56" s="29"/>
    </row>
    <row r="57" spans="1:108" s="6" customFormat="1" ht="17.25" customHeight="1" x14ac:dyDescent="0.35">
      <c r="A57" s="1"/>
      <c r="B57" s="364" t="s">
        <v>92</v>
      </c>
      <c r="C57" s="365"/>
      <c r="D57" s="366"/>
      <c r="E57" s="367"/>
      <c r="F57" s="368"/>
      <c r="G57" s="264"/>
      <c r="H57" s="265"/>
      <c r="I57" s="265"/>
      <c r="J57" s="265"/>
      <c r="K57" s="265"/>
      <c r="L57" s="265"/>
      <c r="M57" s="266"/>
      <c r="N57" s="369"/>
      <c r="O57" s="370"/>
      <c r="P57" s="371"/>
      <c r="Q57" s="370"/>
      <c r="R57" s="370"/>
      <c r="S57" s="372"/>
      <c r="T57" s="373"/>
      <c r="U57" s="374"/>
      <c r="V57" s="375"/>
      <c r="W57" s="381"/>
      <c r="X57" s="382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  <c r="CF57" s="29"/>
      <c r="CG57" s="29"/>
      <c r="CH57" s="29"/>
      <c r="CI57" s="29"/>
      <c r="CJ57" s="29"/>
      <c r="CK57" s="29"/>
      <c r="CL57" s="29"/>
      <c r="CM57" s="29"/>
      <c r="CN57" s="29"/>
      <c r="CO57" s="29"/>
      <c r="CP57" s="29"/>
      <c r="CQ57" s="29"/>
      <c r="CR57" s="29"/>
      <c r="CS57" s="29"/>
      <c r="CT57" s="29"/>
      <c r="CU57" s="29"/>
      <c r="CV57" s="29"/>
      <c r="CW57" s="29"/>
    </row>
    <row r="58" spans="1:108" s="6" customFormat="1" ht="17.25" customHeight="1" x14ac:dyDescent="0.35">
      <c r="A58" s="1"/>
      <c r="B58" s="364" t="s">
        <v>93</v>
      </c>
      <c r="C58" s="365"/>
      <c r="D58" s="366"/>
      <c r="E58" s="367"/>
      <c r="F58" s="368"/>
      <c r="G58" s="264"/>
      <c r="H58" s="265"/>
      <c r="I58" s="265"/>
      <c r="J58" s="265"/>
      <c r="K58" s="265"/>
      <c r="L58" s="265"/>
      <c r="M58" s="266"/>
      <c r="N58" s="369"/>
      <c r="O58" s="370"/>
      <c r="P58" s="371"/>
      <c r="Q58" s="370"/>
      <c r="R58" s="370"/>
      <c r="S58" s="372"/>
      <c r="T58" s="373"/>
      <c r="U58" s="374"/>
      <c r="V58" s="375"/>
      <c r="W58" s="381"/>
      <c r="X58" s="382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  <c r="CF58" s="29"/>
      <c r="CG58" s="29"/>
      <c r="CH58" s="29"/>
      <c r="CI58" s="29"/>
      <c r="CJ58" s="29"/>
      <c r="CK58" s="29"/>
      <c r="CL58" s="29"/>
      <c r="CM58" s="29"/>
      <c r="CN58" s="29"/>
      <c r="CO58" s="29"/>
      <c r="CP58" s="29"/>
      <c r="CQ58" s="29"/>
      <c r="CR58" s="29"/>
      <c r="CS58" s="29"/>
      <c r="CT58" s="29"/>
      <c r="CU58" s="29"/>
      <c r="CV58" s="29"/>
      <c r="CW58" s="29"/>
    </row>
    <row r="59" spans="1:108" s="6" customFormat="1" ht="17.25" customHeight="1" x14ac:dyDescent="0.35">
      <c r="A59" s="1"/>
      <c r="B59" s="364" t="s">
        <v>94</v>
      </c>
      <c r="C59" s="365"/>
      <c r="D59" s="366"/>
      <c r="E59" s="367"/>
      <c r="F59" s="368"/>
      <c r="G59" s="264"/>
      <c r="H59" s="265"/>
      <c r="I59" s="265"/>
      <c r="J59" s="265"/>
      <c r="K59" s="265"/>
      <c r="L59" s="265"/>
      <c r="M59" s="266"/>
      <c r="N59" s="369"/>
      <c r="O59" s="370"/>
      <c r="P59" s="371"/>
      <c r="Q59" s="370"/>
      <c r="R59" s="370"/>
      <c r="S59" s="372"/>
      <c r="T59" s="373"/>
      <c r="U59" s="374"/>
      <c r="V59" s="375"/>
      <c r="W59" s="381"/>
      <c r="X59" s="382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</row>
    <row r="60" spans="1:108" s="6" customFormat="1" ht="17.25" customHeight="1" x14ac:dyDescent="0.35">
      <c r="A60" s="1"/>
      <c r="B60" s="364" t="s">
        <v>95</v>
      </c>
      <c r="C60" s="365"/>
      <c r="D60" s="366"/>
      <c r="E60" s="367"/>
      <c r="F60" s="368"/>
      <c r="G60" s="264"/>
      <c r="H60" s="265"/>
      <c r="I60" s="265"/>
      <c r="J60" s="265"/>
      <c r="K60" s="265"/>
      <c r="L60" s="265"/>
      <c r="M60" s="266"/>
      <c r="N60" s="369"/>
      <c r="O60" s="370"/>
      <c r="P60" s="371"/>
      <c r="Q60" s="370"/>
      <c r="R60" s="370"/>
      <c r="S60" s="372"/>
      <c r="T60" s="373"/>
      <c r="U60" s="374"/>
      <c r="V60" s="375"/>
      <c r="W60" s="381"/>
      <c r="X60" s="382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  <c r="CF60" s="29"/>
      <c r="CG60" s="29"/>
      <c r="CH60" s="29"/>
      <c r="CI60" s="29"/>
      <c r="CJ60" s="29"/>
      <c r="CK60" s="29"/>
      <c r="CL60" s="29"/>
      <c r="CM60" s="29"/>
      <c r="CN60" s="29"/>
      <c r="CO60" s="29"/>
      <c r="CP60" s="29"/>
      <c r="CQ60" s="29"/>
      <c r="CR60" s="29"/>
      <c r="CS60" s="29"/>
      <c r="CT60" s="29"/>
      <c r="CU60" s="29"/>
      <c r="CV60" s="29"/>
      <c r="CW60" s="29"/>
    </row>
    <row r="61" spans="1:108" s="6" customFormat="1" ht="17.25" customHeight="1" x14ac:dyDescent="0.35">
      <c r="A61" s="1"/>
      <c r="B61" s="364" t="s">
        <v>96</v>
      </c>
      <c r="C61" s="365"/>
      <c r="D61" s="366"/>
      <c r="E61" s="367"/>
      <c r="F61" s="368"/>
      <c r="G61" s="264"/>
      <c r="H61" s="265"/>
      <c r="I61" s="265"/>
      <c r="J61" s="265"/>
      <c r="K61" s="265"/>
      <c r="L61" s="265"/>
      <c r="M61" s="266"/>
      <c r="N61" s="369"/>
      <c r="O61" s="370"/>
      <c r="P61" s="371"/>
      <c r="Q61" s="370"/>
      <c r="R61" s="370"/>
      <c r="S61" s="372"/>
      <c r="T61" s="373"/>
      <c r="U61" s="374"/>
      <c r="V61" s="375"/>
      <c r="W61" s="381"/>
      <c r="X61" s="382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  <c r="CF61" s="29"/>
      <c r="CG61" s="29"/>
      <c r="CH61" s="29"/>
      <c r="CI61" s="29"/>
      <c r="CJ61" s="29"/>
      <c r="CK61" s="29"/>
      <c r="CL61" s="29"/>
      <c r="CM61" s="29"/>
      <c r="CN61" s="29"/>
      <c r="CO61" s="29"/>
      <c r="CP61" s="29"/>
      <c r="CQ61" s="29"/>
      <c r="CR61" s="29"/>
      <c r="CS61" s="29"/>
      <c r="CT61" s="29"/>
      <c r="CU61" s="29"/>
      <c r="CV61" s="29"/>
      <c r="CW61" s="29"/>
    </row>
    <row r="62" spans="1:108" s="6" customFormat="1" ht="17.25" customHeight="1" x14ac:dyDescent="0.35">
      <c r="A62" s="1"/>
      <c r="B62" s="364" t="s">
        <v>210</v>
      </c>
      <c r="C62" s="365"/>
      <c r="D62" s="366"/>
      <c r="E62" s="367"/>
      <c r="F62" s="368"/>
      <c r="G62" s="264"/>
      <c r="H62" s="265"/>
      <c r="I62" s="265"/>
      <c r="J62" s="265"/>
      <c r="K62" s="265"/>
      <c r="L62" s="265"/>
      <c r="M62" s="266"/>
      <c r="N62" s="369"/>
      <c r="O62" s="370"/>
      <c r="P62" s="371"/>
      <c r="Q62" s="370"/>
      <c r="R62" s="370"/>
      <c r="S62" s="372"/>
      <c r="T62" s="373"/>
      <c r="U62" s="374"/>
      <c r="V62" s="375"/>
      <c r="W62" s="381"/>
      <c r="X62" s="382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  <c r="CS62" s="29"/>
      <c r="CT62" s="29"/>
      <c r="CU62" s="29"/>
      <c r="CV62" s="29"/>
      <c r="CW62" s="29"/>
    </row>
    <row r="63" spans="1:108" s="6" customFormat="1" ht="17.25" customHeight="1" x14ac:dyDescent="0.35">
      <c r="A63" s="1"/>
      <c r="B63" s="364" t="s">
        <v>211</v>
      </c>
      <c r="C63" s="365"/>
      <c r="D63" s="366"/>
      <c r="E63" s="367"/>
      <c r="F63" s="368"/>
      <c r="G63" s="264"/>
      <c r="H63" s="265"/>
      <c r="I63" s="265"/>
      <c r="J63" s="265"/>
      <c r="K63" s="265"/>
      <c r="L63" s="265"/>
      <c r="M63" s="266"/>
      <c r="N63" s="369"/>
      <c r="O63" s="370"/>
      <c r="P63" s="371"/>
      <c r="Q63" s="370"/>
      <c r="R63" s="370"/>
      <c r="S63" s="372"/>
      <c r="T63" s="373"/>
      <c r="U63" s="374"/>
      <c r="V63" s="375"/>
      <c r="W63" s="381"/>
      <c r="X63" s="382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  <c r="CF63" s="29"/>
      <c r="CG63" s="29"/>
      <c r="CH63" s="29"/>
      <c r="CI63" s="29"/>
      <c r="CJ63" s="29"/>
      <c r="CK63" s="29"/>
      <c r="CL63" s="29"/>
      <c r="CM63" s="29"/>
      <c r="CN63" s="29"/>
      <c r="CO63" s="29"/>
      <c r="CP63" s="29"/>
      <c r="CQ63" s="29"/>
      <c r="CR63" s="29"/>
      <c r="CS63" s="29"/>
      <c r="CT63" s="29"/>
      <c r="CU63" s="29"/>
      <c r="CV63" s="29"/>
      <c r="CW63" s="29"/>
    </row>
    <row r="64" spans="1:108" s="6" customFormat="1" ht="17.25" customHeight="1" x14ac:dyDescent="0.35">
      <c r="A64" s="1"/>
      <c r="B64" s="364" t="s">
        <v>212</v>
      </c>
      <c r="C64" s="365"/>
      <c r="D64" s="366"/>
      <c r="E64" s="367"/>
      <c r="F64" s="368"/>
      <c r="G64" s="264"/>
      <c r="H64" s="265"/>
      <c r="I64" s="265"/>
      <c r="J64" s="265"/>
      <c r="K64" s="265"/>
      <c r="L64" s="265"/>
      <c r="M64" s="266"/>
      <c r="N64" s="369"/>
      <c r="O64" s="370"/>
      <c r="P64" s="371"/>
      <c r="Q64" s="370"/>
      <c r="R64" s="370"/>
      <c r="S64" s="372"/>
      <c r="T64" s="373"/>
      <c r="U64" s="374"/>
      <c r="V64" s="375"/>
      <c r="W64" s="381"/>
      <c r="X64" s="382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29"/>
      <c r="CU64" s="29"/>
      <c r="CV64" s="29"/>
      <c r="CW64" s="29"/>
    </row>
    <row r="65" spans="1:101" s="6" customFormat="1" ht="17.25" customHeight="1" x14ac:dyDescent="0.35">
      <c r="A65" s="1"/>
      <c r="B65" s="364" t="s">
        <v>213</v>
      </c>
      <c r="C65" s="365"/>
      <c r="D65" s="366"/>
      <c r="E65" s="367"/>
      <c r="F65" s="368"/>
      <c r="G65" s="264"/>
      <c r="H65" s="265"/>
      <c r="I65" s="265"/>
      <c r="J65" s="265"/>
      <c r="K65" s="265"/>
      <c r="L65" s="265"/>
      <c r="M65" s="266"/>
      <c r="N65" s="369"/>
      <c r="O65" s="370"/>
      <c r="P65" s="371"/>
      <c r="Q65" s="370"/>
      <c r="R65" s="370"/>
      <c r="S65" s="372"/>
      <c r="T65" s="373"/>
      <c r="U65" s="374"/>
      <c r="V65" s="375"/>
      <c r="W65" s="381"/>
      <c r="X65" s="382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  <c r="CF65" s="29"/>
      <c r="CG65" s="29"/>
      <c r="CH65" s="29"/>
      <c r="CI65" s="29"/>
      <c r="CJ65" s="29"/>
      <c r="CK65" s="29"/>
      <c r="CL65" s="29"/>
      <c r="CM65" s="29"/>
      <c r="CN65" s="29"/>
      <c r="CO65" s="29"/>
      <c r="CP65" s="29"/>
      <c r="CQ65" s="29"/>
      <c r="CR65" s="29"/>
      <c r="CS65" s="29"/>
      <c r="CT65" s="29"/>
      <c r="CU65" s="29"/>
      <c r="CV65" s="29"/>
      <c r="CW65" s="29"/>
    </row>
    <row r="66" spans="1:101" s="6" customFormat="1" ht="17.25" customHeight="1" x14ac:dyDescent="0.35">
      <c r="A66" s="1"/>
      <c r="B66" s="364" t="s">
        <v>214</v>
      </c>
      <c r="C66" s="365"/>
      <c r="D66" s="366"/>
      <c r="E66" s="367"/>
      <c r="F66" s="368"/>
      <c r="G66" s="264"/>
      <c r="H66" s="265"/>
      <c r="I66" s="265"/>
      <c r="J66" s="265"/>
      <c r="K66" s="265"/>
      <c r="L66" s="265"/>
      <c r="M66" s="266"/>
      <c r="N66" s="369"/>
      <c r="O66" s="370"/>
      <c r="P66" s="371"/>
      <c r="Q66" s="370"/>
      <c r="R66" s="370"/>
      <c r="S66" s="372"/>
      <c r="T66" s="373"/>
      <c r="U66" s="374"/>
      <c r="V66" s="375"/>
      <c r="W66" s="381"/>
      <c r="X66" s="382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  <c r="CF66" s="29"/>
      <c r="CG66" s="29"/>
      <c r="CH66" s="29"/>
      <c r="CI66" s="29"/>
      <c r="CJ66" s="29"/>
      <c r="CK66" s="29"/>
      <c r="CL66" s="29"/>
      <c r="CM66" s="29"/>
      <c r="CN66" s="29"/>
      <c r="CO66" s="29"/>
      <c r="CP66" s="29"/>
      <c r="CQ66" s="29"/>
      <c r="CR66" s="29"/>
      <c r="CS66" s="29"/>
      <c r="CT66" s="29"/>
      <c r="CU66" s="29"/>
      <c r="CV66" s="29"/>
      <c r="CW66" s="29"/>
    </row>
    <row r="67" spans="1:101" s="6" customFormat="1" ht="17.25" customHeight="1" x14ac:dyDescent="0.35">
      <c r="A67" s="1"/>
      <c r="B67" s="364" t="s">
        <v>215</v>
      </c>
      <c r="C67" s="365"/>
      <c r="D67" s="366"/>
      <c r="E67" s="367"/>
      <c r="F67" s="368"/>
      <c r="G67" s="264"/>
      <c r="H67" s="265"/>
      <c r="I67" s="265"/>
      <c r="J67" s="265"/>
      <c r="K67" s="265"/>
      <c r="L67" s="265"/>
      <c r="M67" s="266"/>
      <c r="N67" s="369"/>
      <c r="O67" s="370"/>
      <c r="P67" s="371"/>
      <c r="Q67" s="370"/>
      <c r="R67" s="370"/>
      <c r="S67" s="372"/>
      <c r="T67" s="373"/>
      <c r="U67" s="374"/>
      <c r="V67" s="375"/>
      <c r="W67" s="381"/>
      <c r="X67" s="382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</row>
    <row r="68" spans="1:101" s="6" customFormat="1" ht="17.25" customHeight="1" x14ac:dyDescent="0.35">
      <c r="A68" s="1"/>
      <c r="B68" s="364" t="s">
        <v>216</v>
      </c>
      <c r="C68" s="365"/>
      <c r="D68" s="366"/>
      <c r="E68" s="367"/>
      <c r="F68" s="368"/>
      <c r="G68" s="264"/>
      <c r="H68" s="265"/>
      <c r="I68" s="265"/>
      <c r="J68" s="265"/>
      <c r="K68" s="265"/>
      <c r="L68" s="265"/>
      <c r="M68" s="266"/>
      <c r="N68" s="369"/>
      <c r="O68" s="370"/>
      <c r="P68" s="371"/>
      <c r="Q68" s="370"/>
      <c r="R68" s="370"/>
      <c r="S68" s="372"/>
      <c r="T68" s="373"/>
      <c r="U68" s="374"/>
      <c r="V68" s="375"/>
      <c r="W68" s="381"/>
      <c r="X68" s="382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</row>
    <row r="69" spans="1:101" s="6" customFormat="1" ht="17.25" customHeight="1" x14ac:dyDescent="0.35">
      <c r="A69" s="1"/>
      <c r="B69" s="364" t="s">
        <v>217</v>
      </c>
      <c r="C69" s="365"/>
      <c r="D69" s="366"/>
      <c r="E69" s="367"/>
      <c r="F69" s="368"/>
      <c r="G69" s="264"/>
      <c r="H69" s="265"/>
      <c r="I69" s="265"/>
      <c r="J69" s="265"/>
      <c r="K69" s="265"/>
      <c r="L69" s="265"/>
      <c r="M69" s="266"/>
      <c r="N69" s="369"/>
      <c r="O69" s="370"/>
      <c r="P69" s="371"/>
      <c r="Q69" s="370"/>
      <c r="R69" s="370"/>
      <c r="S69" s="372"/>
      <c r="T69" s="373"/>
      <c r="U69" s="374"/>
      <c r="V69" s="375"/>
      <c r="W69" s="381"/>
      <c r="X69" s="382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</row>
    <row r="70" spans="1:101" s="6" customFormat="1" ht="17.25" customHeight="1" x14ac:dyDescent="0.35">
      <c r="A70" s="1"/>
      <c r="B70" s="364" t="s">
        <v>218</v>
      </c>
      <c r="C70" s="365"/>
      <c r="D70" s="366"/>
      <c r="E70" s="367"/>
      <c r="F70" s="368"/>
      <c r="G70" s="264"/>
      <c r="H70" s="265"/>
      <c r="I70" s="265"/>
      <c r="J70" s="265"/>
      <c r="K70" s="265"/>
      <c r="L70" s="265"/>
      <c r="M70" s="266"/>
      <c r="N70" s="369"/>
      <c r="O70" s="370"/>
      <c r="P70" s="371"/>
      <c r="Q70" s="370"/>
      <c r="R70" s="370"/>
      <c r="S70" s="372"/>
      <c r="T70" s="373"/>
      <c r="U70" s="374"/>
      <c r="V70" s="375"/>
      <c r="W70" s="381"/>
      <c r="X70" s="382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  <c r="CF70" s="29"/>
      <c r="CG70" s="29"/>
      <c r="CH70" s="29"/>
      <c r="CI70" s="29"/>
      <c r="CJ70" s="29"/>
      <c r="CK70" s="29"/>
      <c r="CL70" s="29"/>
      <c r="CM70" s="29"/>
      <c r="CN70" s="29"/>
      <c r="CO70" s="29"/>
      <c r="CP70" s="29"/>
      <c r="CQ70" s="29"/>
      <c r="CR70" s="29"/>
      <c r="CS70" s="29"/>
      <c r="CT70" s="29"/>
      <c r="CU70" s="29"/>
      <c r="CV70" s="29"/>
      <c r="CW70" s="29"/>
    </row>
    <row r="71" spans="1:101" s="6" customFormat="1" ht="17.25" customHeight="1" x14ac:dyDescent="0.35">
      <c r="A71" s="1"/>
      <c r="B71" s="364" t="s">
        <v>219</v>
      </c>
      <c r="C71" s="365"/>
      <c r="D71" s="366"/>
      <c r="E71" s="367"/>
      <c r="F71" s="368"/>
      <c r="G71" s="264"/>
      <c r="H71" s="265"/>
      <c r="I71" s="265"/>
      <c r="J71" s="265"/>
      <c r="K71" s="265"/>
      <c r="L71" s="265"/>
      <c r="M71" s="266"/>
      <c r="N71" s="369"/>
      <c r="O71" s="370"/>
      <c r="P71" s="371"/>
      <c r="Q71" s="370"/>
      <c r="R71" s="370"/>
      <c r="S71" s="372"/>
      <c r="T71" s="373"/>
      <c r="U71" s="374"/>
      <c r="V71" s="375"/>
      <c r="W71" s="381"/>
      <c r="X71" s="382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  <c r="CF71" s="29"/>
      <c r="CG71" s="29"/>
      <c r="CH71" s="29"/>
      <c r="CI71" s="29"/>
      <c r="CJ71" s="29"/>
      <c r="CK71" s="29"/>
      <c r="CL71" s="29"/>
      <c r="CM71" s="29"/>
      <c r="CN71" s="29"/>
      <c r="CO71" s="29"/>
      <c r="CP71" s="29"/>
      <c r="CQ71" s="29"/>
      <c r="CR71" s="29"/>
      <c r="CS71" s="29"/>
      <c r="CT71" s="29"/>
      <c r="CU71" s="29"/>
      <c r="CV71" s="29"/>
      <c r="CW71" s="29"/>
    </row>
    <row r="72" spans="1:101" s="6" customFormat="1" ht="17.25" customHeight="1" x14ac:dyDescent="0.35">
      <c r="A72" s="1"/>
      <c r="B72" s="364" t="s">
        <v>220</v>
      </c>
      <c r="C72" s="365"/>
      <c r="D72" s="366"/>
      <c r="E72" s="367"/>
      <c r="F72" s="368"/>
      <c r="G72" s="264"/>
      <c r="H72" s="265"/>
      <c r="I72" s="265"/>
      <c r="J72" s="265"/>
      <c r="K72" s="265"/>
      <c r="L72" s="265"/>
      <c r="M72" s="266"/>
      <c r="N72" s="369"/>
      <c r="O72" s="370"/>
      <c r="P72" s="371"/>
      <c r="Q72" s="370"/>
      <c r="R72" s="370"/>
      <c r="S72" s="372"/>
      <c r="T72" s="373"/>
      <c r="U72" s="374"/>
      <c r="V72" s="375"/>
      <c r="W72" s="381"/>
      <c r="X72" s="382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  <c r="CF72" s="29"/>
      <c r="CG72" s="29"/>
      <c r="CH72" s="29"/>
      <c r="CI72" s="29"/>
      <c r="CJ72" s="29"/>
      <c r="CK72" s="29"/>
      <c r="CL72" s="29"/>
      <c r="CM72" s="29"/>
      <c r="CN72" s="29"/>
      <c r="CO72" s="29"/>
      <c r="CP72" s="29"/>
      <c r="CQ72" s="29"/>
      <c r="CR72" s="29"/>
      <c r="CS72" s="29"/>
      <c r="CT72" s="29"/>
      <c r="CU72" s="29"/>
      <c r="CV72" s="29"/>
      <c r="CW72" s="29"/>
    </row>
    <row r="73" spans="1:101" s="6" customFormat="1" ht="17.25" customHeight="1" x14ac:dyDescent="0.35">
      <c r="A73" s="1"/>
      <c r="B73" s="364" t="s">
        <v>221</v>
      </c>
      <c r="C73" s="365"/>
      <c r="D73" s="366"/>
      <c r="E73" s="367"/>
      <c r="F73" s="368"/>
      <c r="G73" s="264"/>
      <c r="H73" s="265"/>
      <c r="I73" s="265"/>
      <c r="J73" s="265"/>
      <c r="K73" s="265"/>
      <c r="L73" s="265"/>
      <c r="M73" s="266"/>
      <c r="N73" s="369"/>
      <c r="O73" s="370"/>
      <c r="P73" s="371"/>
      <c r="Q73" s="370"/>
      <c r="R73" s="370"/>
      <c r="S73" s="372"/>
      <c r="T73" s="373"/>
      <c r="U73" s="374"/>
      <c r="V73" s="375"/>
      <c r="W73" s="381"/>
      <c r="X73" s="382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  <c r="CF73" s="29"/>
      <c r="CG73" s="29"/>
      <c r="CH73" s="29"/>
      <c r="CI73" s="29"/>
      <c r="CJ73" s="29"/>
      <c r="CK73" s="29"/>
      <c r="CL73" s="29"/>
      <c r="CM73" s="29"/>
      <c r="CN73" s="29"/>
      <c r="CO73" s="29"/>
      <c r="CP73" s="29"/>
      <c r="CQ73" s="29"/>
      <c r="CR73" s="29"/>
      <c r="CS73" s="29"/>
      <c r="CT73" s="29"/>
      <c r="CU73" s="29"/>
      <c r="CV73" s="29"/>
      <c r="CW73" s="29"/>
    </row>
    <row r="74" spans="1:101" s="6" customFormat="1" ht="17.25" customHeight="1" x14ac:dyDescent="0.35">
      <c r="A74" s="1"/>
      <c r="B74" s="364" t="s">
        <v>222</v>
      </c>
      <c r="C74" s="365"/>
      <c r="D74" s="366"/>
      <c r="E74" s="367"/>
      <c r="F74" s="368"/>
      <c r="G74" s="264"/>
      <c r="H74" s="265"/>
      <c r="I74" s="265"/>
      <c r="J74" s="265"/>
      <c r="K74" s="265"/>
      <c r="L74" s="265"/>
      <c r="M74" s="266"/>
      <c r="N74" s="369"/>
      <c r="O74" s="370"/>
      <c r="P74" s="371"/>
      <c r="Q74" s="370"/>
      <c r="R74" s="370"/>
      <c r="S74" s="372"/>
      <c r="T74" s="373"/>
      <c r="U74" s="374"/>
      <c r="V74" s="375"/>
      <c r="W74" s="381"/>
      <c r="X74" s="382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  <c r="CF74" s="29"/>
      <c r="CG74" s="29"/>
      <c r="CH74" s="29"/>
      <c r="CI74" s="29"/>
      <c r="CJ74" s="29"/>
      <c r="CK74" s="29"/>
      <c r="CL74" s="29"/>
      <c r="CM74" s="29"/>
      <c r="CN74" s="29"/>
      <c r="CO74" s="29"/>
      <c r="CP74" s="29"/>
      <c r="CQ74" s="29"/>
      <c r="CR74" s="29"/>
      <c r="CS74" s="29"/>
      <c r="CT74" s="29"/>
      <c r="CU74" s="29"/>
      <c r="CV74" s="29"/>
      <c r="CW74" s="29"/>
    </row>
    <row r="75" spans="1:101" s="6" customFormat="1" ht="17.25" customHeight="1" x14ac:dyDescent="0.35">
      <c r="A75" s="1"/>
      <c r="B75" s="364" t="s">
        <v>223</v>
      </c>
      <c r="C75" s="365"/>
      <c r="D75" s="366"/>
      <c r="E75" s="367"/>
      <c r="F75" s="368"/>
      <c r="G75" s="264"/>
      <c r="H75" s="265"/>
      <c r="I75" s="265"/>
      <c r="J75" s="265"/>
      <c r="K75" s="265"/>
      <c r="L75" s="265"/>
      <c r="M75" s="266"/>
      <c r="N75" s="369"/>
      <c r="O75" s="370"/>
      <c r="P75" s="371"/>
      <c r="Q75" s="370"/>
      <c r="R75" s="370"/>
      <c r="S75" s="372"/>
      <c r="T75" s="373"/>
      <c r="U75" s="374"/>
      <c r="V75" s="375"/>
      <c r="W75" s="381"/>
      <c r="X75" s="382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  <c r="CF75" s="29"/>
      <c r="CG75" s="29"/>
      <c r="CH75" s="29"/>
      <c r="CI75" s="29"/>
      <c r="CJ75" s="29"/>
      <c r="CK75" s="29"/>
      <c r="CL75" s="29"/>
      <c r="CM75" s="29"/>
      <c r="CN75" s="29"/>
      <c r="CO75" s="29"/>
      <c r="CP75" s="29"/>
      <c r="CQ75" s="29"/>
      <c r="CR75" s="29"/>
      <c r="CS75" s="29"/>
      <c r="CT75" s="29"/>
      <c r="CU75" s="29"/>
      <c r="CV75" s="29"/>
      <c r="CW75" s="29"/>
    </row>
    <row r="76" spans="1:101" s="6" customFormat="1" ht="17.25" customHeight="1" x14ac:dyDescent="0.35">
      <c r="A76" s="1"/>
      <c r="B76" s="364" t="s">
        <v>224</v>
      </c>
      <c r="C76" s="365"/>
      <c r="D76" s="366"/>
      <c r="E76" s="367"/>
      <c r="F76" s="368"/>
      <c r="G76" s="264"/>
      <c r="H76" s="265"/>
      <c r="I76" s="265"/>
      <c r="J76" s="265"/>
      <c r="K76" s="265"/>
      <c r="L76" s="265"/>
      <c r="M76" s="266"/>
      <c r="N76" s="369"/>
      <c r="O76" s="370"/>
      <c r="P76" s="371"/>
      <c r="Q76" s="370"/>
      <c r="R76" s="370"/>
      <c r="S76" s="372"/>
      <c r="T76" s="373"/>
      <c r="U76" s="374"/>
      <c r="V76" s="375"/>
      <c r="W76" s="381"/>
      <c r="X76" s="382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  <c r="CW76" s="29"/>
    </row>
    <row r="77" spans="1:101" s="6" customFormat="1" ht="17.25" customHeight="1" x14ac:dyDescent="0.35">
      <c r="A77" s="1"/>
      <c r="B77" s="364" t="s">
        <v>225</v>
      </c>
      <c r="C77" s="365"/>
      <c r="D77" s="366"/>
      <c r="E77" s="367"/>
      <c r="F77" s="368"/>
      <c r="G77" s="264"/>
      <c r="H77" s="265"/>
      <c r="I77" s="265"/>
      <c r="J77" s="265"/>
      <c r="K77" s="265"/>
      <c r="L77" s="265"/>
      <c r="M77" s="266"/>
      <c r="N77" s="369"/>
      <c r="O77" s="370"/>
      <c r="P77" s="371"/>
      <c r="Q77" s="370"/>
      <c r="R77" s="370"/>
      <c r="S77" s="372"/>
      <c r="T77" s="373"/>
      <c r="U77" s="374"/>
      <c r="V77" s="375"/>
      <c r="W77" s="381"/>
      <c r="X77" s="382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  <c r="CF77" s="29"/>
      <c r="CG77" s="29"/>
      <c r="CH77" s="29"/>
      <c r="CI77" s="29"/>
      <c r="CJ77" s="29"/>
      <c r="CK77" s="29"/>
      <c r="CL77" s="29"/>
      <c r="CM77" s="29"/>
      <c r="CN77" s="29"/>
      <c r="CO77" s="29"/>
      <c r="CP77" s="29"/>
      <c r="CQ77" s="29"/>
      <c r="CR77" s="29"/>
      <c r="CS77" s="29"/>
      <c r="CT77" s="29"/>
      <c r="CU77" s="29"/>
      <c r="CV77" s="29"/>
      <c r="CW77" s="29"/>
    </row>
    <row r="78" spans="1:101" s="6" customFormat="1" ht="17.25" customHeight="1" x14ac:dyDescent="0.35">
      <c r="A78" s="1"/>
      <c r="B78" s="364" t="s">
        <v>226</v>
      </c>
      <c r="C78" s="365"/>
      <c r="D78" s="366"/>
      <c r="E78" s="367"/>
      <c r="F78" s="368"/>
      <c r="G78" s="264"/>
      <c r="H78" s="265"/>
      <c r="I78" s="265"/>
      <c r="J78" s="265"/>
      <c r="K78" s="265"/>
      <c r="L78" s="265"/>
      <c r="M78" s="266"/>
      <c r="N78" s="369"/>
      <c r="O78" s="370"/>
      <c r="P78" s="371"/>
      <c r="Q78" s="370"/>
      <c r="R78" s="370"/>
      <c r="S78" s="372"/>
      <c r="T78" s="373"/>
      <c r="U78" s="374"/>
      <c r="V78" s="375"/>
      <c r="W78" s="381"/>
      <c r="X78" s="382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  <c r="CF78" s="29"/>
      <c r="CG78" s="29"/>
      <c r="CH78" s="29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  <c r="CW78" s="29"/>
    </row>
    <row r="79" spans="1:101" s="6" customFormat="1" ht="17.25" customHeight="1" x14ac:dyDescent="0.35">
      <c r="A79" s="1"/>
      <c r="B79" s="364" t="s">
        <v>227</v>
      </c>
      <c r="C79" s="365"/>
      <c r="D79" s="366"/>
      <c r="E79" s="367"/>
      <c r="F79" s="368"/>
      <c r="G79" s="264"/>
      <c r="H79" s="265"/>
      <c r="I79" s="265"/>
      <c r="J79" s="265"/>
      <c r="K79" s="265"/>
      <c r="L79" s="265"/>
      <c r="M79" s="266"/>
      <c r="N79" s="369"/>
      <c r="O79" s="370"/>
      <c r="P79" s="371"/>
      <c r="Q79" s="370"/>
      <c r="R79" s="370"/>
      <c r="S79" s="372"/>
      <c r="T79" s="373"/>
      <c r="U79" s="374"/>
      <c r="V79" s="375"/>
      <c r="W79" s="381"/>
      <c r="X79" s="382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</row>
    <row r="80" spans="1:101" s="6" customFormat="1" ht="17.25" customHeight="1" x14ac:dyDescent="0.35">
      <c r="A80" s="1"/>
      <c r="B80" s="364" t="s">
        <v>228</v>
      </c>
      <c r="C80" s="365"/>
      <c r="D80" s="366"/>
      <c r="E80" s="367"/>
      <c r="F80" s="368"/>
      <c r="G80" s="264"/>
      <c r="H80" s="265"/>
      <c r="I80" s="265"/>
      <c r="J80" s="265"/>
      <c r="K80" s="265"/>
      <c r="L80" s="265"/>
      <c r="M80" s="266"/>
      <c r="N80" s="369"/>
      <c r="O80" s="370"/>
      <c r="P80" s="371"/>
      <c r="Q80" s="370"/>
      <c r="R80" s="370"/>
      <c r="S80" s="372"/>
      <c r="T80" s="373"/>
      <c r="U80" s="374"/>
      <c r="V80" s="375"/>
      <c r="W80" s="381"/>
      <c r="X80" s="382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</row>
    <row r="81" spans="1:108" s="6" customFormat="1" ht="17.25" customHeight="1" x14ac:dyDescent="0.35">
      <c r="A81" s="1"/>
      <c r="B81" s="364" t="s">
        <v>229</v>
      </c>
      <c r="C81" s="365"/>
      <c r="D81" s="366"/>
      <c r="E81" s="367"/>
      <c r="F81" s="368"/>
      <c r="G81" s="264"/>
      <c r="H81" s="265"/>
      <c r="I81" s="265"/>
      <c r="J81" s="265"/>
      <c r="K81" s="265"/>
      <c r="L81" s="265"/>
      <c r="M81" s="266"/>
      <c r="N81" s="369"/>
      <c r="O81" s="370"/>
      <c r="P81" s="371"/>
      <c r="Q81" s="370"/>
      <c r="R81" s="370"/>
      <c r="S81" s="372"/>
      <c r="T81" s="373"/>
      <c r="U81" s="374"/>
      <c r="V81" s="375"/>
      <c r="W81" s="381"/>
      <c r="X81" s="382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</row>
    <row r="82" spans="1:108" s="6" customFormat="1" ht="17.25" customHeight="1" x14ac:dyDescent="0.35">
      <c r="A82" s="1"/>
      <c r="B82" s="364" t="s">
        <v>230</v>
      </c>
      <c r="C82" s="365"/>
      <c r="D82" s="366"/>
      <c r="E82" s="367"/>
      <c r="F82" s="368"/>
      <c r="G82" s="264"/>
      <c r="H82" s="265"/>
      <c r="I82" s="265"/>
      <c r="J82" s="265"/>
      <c r="K82" s="265"/>
      <c r="L82" s="265"/>
      <c r="M82" s="266"/>
      <c r="N82" s="369"/>
      <c r="O82" s="370"/>
      <c r="P82" s="371"/>
      <c r="Q82" s="370"/>
      <c r="R82" s="370"/>
      <c r="S82" s="372"/>
      <c r="T82" s="373"/>
      <c r="U82" s="374"/>
      <c r="V82" s="375"/>
      <c r="W82" s="381"/>
      <c r="X82" s="382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</row>
    <row r="83" spans="1:108" s="6" customFormat="1" ht="17.25" customHeight="1" x14ac:dyDescent="0.35">
      <c r="A83" s="1"/>
      <c r="B83" s="364" t="s">
        <v>231</v>
      </c>
      <c r="C83" s="365"/>
      <c r="D83" s="366"/>
      <c r="E83" s="367"/>
      <c r="F83" s="368"/>
      <c r="G83" s="264"/>
      <c r="H83" s="265"/>
      <c r="I83" s="265"/>
      <c r="J83" s="265"/>
      <c r="K83" s="265"/>
      <c r="L83" s="265"/>
      <c r="M83" s="266"/>
      <c r="N83" s="369"/>
      <c r="O83" s="370"/>
      <c r="P83" s="371"/>
      <c r="Q83" s="370"/>
      <c r="R83" s="370"/>
      <c r="S83" s="372"/>
      <c r="T83" s="373"/>
      <c r="U83" s="374"/>
      <c r="V83" s="375"/>
      <c r="W83" s="381"/>
      <c r="X83" s="382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</row>
    <row r="84" spans="1:108" s="6" customFormat="1" ht="17.25" customHeight="1" x14ac:dyDescent="0.35">
      <c r="A84" s="1"/>
      <c r="B84" s="364" t="s">
        <v>232</v>
      </c>
      <c r="C84" s="365"/>
      <c r="D84" s="366"/>
      <c r="E84" s="367"/>
      <c r="F84" s="368"/>
      <c r="G84" s="264"/>
      <c r="H84" s="265"/>
      <c r="I84" s="265"/>
      <c r="J84" s="265"/>
      <c r="K84" s="265"/>
      <c r="L84" s="265"/>
      <c r="M84" s="266"/>
      <c r="N84" s="369"/>
      <c r="O84" s="370"/>
      <c r="P84" s="371"/>
      <c r="Q84" s="370"/>
      <c r="R84" s="370"/>
      <c r="S84" s="372"/>
      <c r="T84" s="373"/>
      <c r="U84" s="374"/>
      <c r="V84" s="375"/>
      <c r="W84" s="381"/>
      <c r="X84" s="382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</row>
    <row r="85" spans="1:108" s="6" customFormat="1" ht="17.25" customHeight="1" x14ac:dyDescent="0.35">
      <c r="A85" s="1"/>
      <c r="B85" s="364" t="s">
        <v>233</v>
      </c>
      <c r="C85" s="365"/>
      <c r="D85" s="366"/>
      <c r="E85" s="367"/>
      <c r="F85" s="368"/>
      <c r="G85" s="264"/>
      <c r="H85" s="265"/>
      <c r="I85" s="265"/>
      <c r="J85" s="265"/>
      <c r="K85" s="265"/>
      <c r="L85" s="265"/>
      <c r="M85" s="266"/>
      <c r="N85" s="369"/>
      <c r="O85" s="370"/>
      <c r="P85" s="371"/>
      <c r="Q85" s="370"/>
      <c r="R85" s="370"/>
      <c r="S85" s="372"/>
      <c r="T85" s="373"/>
      <c r="U85" s="374"/>
      <c r="V85" s="375"/>
      <c r="W85" s="381"/>
      <c r="X85" s="382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</row>
    <row r="86" spans="1:108" s="6" customFormat="1" ht="17.25" customHeight="1" x14ac:dyDescent="0.35">
      <c r="A86" s="1"/>
      <c r="B86" s="364" t="s">
        <v>234</v>
      </c>
      <c r="C86" s="365"/>
      <c r="D86" s="366"/>
      <c r="E86" s="367"/>
      <c r="F86" s="368"/>
      <c r="G86" s="264"/>
      <c r="H86" s="265"/>
      <c r="I86" s="265"/>
      <c r="J86" s="265"/>
      <c r="K86" s="265"/>
      <c r="L86" s="265"/>
      <c r="M86" s="266"/>
      <c r="N86" s="369"/>
      <c r="O86" s="370"/>
      <c r="P86" s="371"/>
      <c r="Q86" s="370"/>
      <c r="R86" s="370"/>
      <c r="S86" s="372"/>
      <c r="T86" s="373"/>
      <c r="U86" s="374"/>
      <c r="V86" s="375"/>
      <c r="W86" s="381"/>
      <c r="X86" s="382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  <c r="CF86" s="29"/>
      <c r="CG86" s="29"/>
      <c r="CH86" s="29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  <c r="CW86" s="29"/>
    </row>
    <row r="87" spans="1:108" ht="15.75" customHeight="1" x14ac:dyDescent="0.35">
      <c r="B87" s="267" t="s">
        <v>235</v>
      </c>
      <c r="C87" s="268"/>
      <c r="D87" s="269"/>
      <c r="E87" s="270"/>
      <c r="F87" s="271"/>
      <c r="G87" s="272"/>
      <c r="H87" s="273"/>
      <c r="I87" s="273"/>
      <c r="J87" s="273"/>
      <c r="K87" s="273"/>
      <c r="L87" s="273"/>
      <c r="M87" s="274"/>
      <c r="N87" s="275"/>
      <c r="O87" s="276"/>
      <c r="P87" s="277"/>
      <c r="Q87" s="276"/>
      <c r="R87" s="276"/>
      <c r="S87" s="278"/>
      <c r="T87" s="279"/>
      <c r="U87" s="280"/>
      <c r="V87" s="317"/>
      <c r="W87" s="320">
        <f t="shared" ref="W87:W92" si="1">Q87*-3+T87*-1+V87*-1</f>
        <v>0</v>
      </c>
      <c r="X87" s="323"/>
      <c r="Y87" s="29"/>
      <c r="CX87" s="1"/>
      <c r="CY87" s="1"/>
      <c r="CZ87" s="1"/>
      <c r="DA87" s="1"/>
      <c r="DB87" s="1"/>
      <c r="DC87" s="1"/>
      <c r="DD87" s="1"/>
    </row>
    <row r="88" spans="1:108" ht="15.75" customHeight="1" x14ac:dyDescent="0.35">
      <c r="B88" s="267" t="s">
        <v>236</v>
      </c>
      <c r="C88" s="268"/>
      <c r="D88" s="269"/>
      <c r="E88" s="270"/>
      <c r="F88" s="271"/>
      <c r="G88" s="272"/>
      <c r="H88" s="273"/>
      <c r="I88" s="273"/>
      <c r="J88" s="273"/>
      <c r="K88" s="273"/>
      <c r="L88" s="273"/>
      <c r="M88" s="274"/>
      <c r="N88" s="275"/>
      <c r="O88" s="276"/>
      <c r="P88" s="277"/>
      <c r="Q88" s="276"/>
      <c r="R88" s="276"/>
      <c r="S88" s="278"/>
      <c r="T88" s="279"/>
      <c r="U88" s="280"/>
      <c r="V88" s="317"/>
      <c r="W88" s="320">
        <f t="shared" si="1"/>
        <v>0</v>
      </c>
      <c r="X88" s="323"/>
      <c r="Y88" s="29"/>
      <c r="CX88" s="1"/>
      <c r="CY88" s="1"/>
      <c r="CZ88" s="1"/>
      <c r="DA88" s="1"/>
      <c r="DB88" s="1"/>
      <c r="DC88" s="1"/>
      <c r="DD88" s="1"/>
    </row>
    <row r="89" spans="1:108" ht="15.75" customHeight="1" x14ac:dyDescent="0.35">
      <c r="B89" s="267" t="s">
        <v>237</v>
      </c>
      <c r="C89" s="268"/>
      <c r="D89" s="269"/>
      <c r="E89" s="270"/>
      <c r="F89" s="271"/>
      <c r="G89" s="272"/>
      <c r="H89" s="273"/>
      <c r="I89" s="273"/>
      <c r="J89" s="273"/>
      <c r="K89" s="273"/>
      <c r="L89" s="273"/>
      <c r="M89" s="274"/>
      <c r="N89" s="275"/>
      <c r="O89" s="276"/>
      <c r="P89" s="277"/>
      <c r="Q89" s="276"/>
      <c r="R89" s="276"/>
      <c r="S89" s="278"/>
      <c r="T89" s="279"/>
      <c r="U89" s="280"/>
      <c r="V89" s="317"/>
      <c r="W89" s="320">
        <f t="shared" si="1"/>
        <v>0</v>
      </c>
      <c r="X89" s="323"/>
      <c r="Y89" s="29"/>
      <c r="CX89" s="1"/>
      <c r="CY89" s="1"/>
      <c r="CZ89" s="1"/>
      <c r="DA89" s="1"/>
      <c r="DB89" s="1"/>
      <c r="DC89" s="1"/>
      <c r="DD89" s="1"/>
    </row>
    <row r="90" spans="1:108" ht="15.75" customHeight="1" x14ac:dyDescent="0.35">
      <c r="B90" s="267" t="s">
        <v>238</v>
      </c>
      <c r="C90" s="268"/>
      <c r="D90" s="269"/>
      <c r="E90" s="270"/>
      <c r="F90" s="271"/>
      <c r="G90" s="272"/>
      <c r="H90" s="273"/>
      <c r="I90" s="273"/>
      <c r="J90" s="273"/>
      <c r="K90" s="273"/>
      <c r="L90" s="273"/>
      <c r="M90" s="274"/>
      <c r="N90" s="275"/>
      <c r="O90" s="276"/>
      <c r="P90" s="277"/>
      <c r="Q90" s="276"/>
      <c r="R90" s="276"/>
      <c r="S90" s="278"/>
      <c r="T90" s="279"/>
      <c r="U90" s="280"/>
      <c r="V90" s="317"/>
      <c r="W90" s="320">
        <f t="shared" si="1"/>
        <v>0</v>
      </c>
      <c r="X90" s="323"/>
      <c r="Y90" s="29"/>
      <c r="CX90" s="1"/>
      <c r="CY90" s="1"/>
      <c r="CZ90" s="1"/>
      <c r="DA90" s="1"/>
      <c r="DB90" s="1"/>
      <c r="DC90" s="1"/>
      <c r="DD90" s="1"/>
    </row>
    <row r="91" spans="1:108" ht="15.75" customHeight="1" x14ac:dyDescent="0.35">
      <c r="B91" s="267" t="s">
        <v>239</v>
      </c>
      <c r="C91" s="268"/>
      <c r="D91" s="269"/>
      <c r="E91" s="270"/>
      <c r="F91" s="271"/>
      <c r="G91" s="272"/>
      <c r="H91" s="273"/>
      <c r="I91" s="273"/>
      <c r="J91" s="273"/>
      <c r="K91" s="273"/>
      <c r="L91" s="273"/>
      <c r="M91" s="274"/>
      <c r="N91" s="275"/>
      <c r="O91" s="276"/>
      <c r="P91" s="277"/>
      <c r="Q91" s="276"/>
      <c r="R91" s="276"/>
      <c r="S91" s="278"/>
      <c r="T91" s="279"/>
      <c r="U91" s="280"/>
      <c r="V91" s="317"/>
      <c r="W91" s="320">
        <f t="shared" si="1"/>
        <v>0</v>
      </c>
      <c r="X91" s="323"/>
      <c r="Y91" s="29"/>
      <c r="CX91" s="1"/>
      <c r="CY91" s="1"/>
      <c r="CZ91" s="1"/>
      <c r="DA91" s="1"/>
      <c r="DB91" s="1"/>
      <c r="DC91" s="1"/>
      <c r="DD91" s="1"/>
    </row>
    <row r="92" spans="1:108" ht="15.75" customHeight="1" thickBot="1" x14ac:dyDescent="0.4">
      <c r="B92" s="282" t="s">
        <v>240</v>
      </c>
      <c r="C92" s="283"/>
      <c r="D92" s="284"/>
      <c r="E92" s="285"/>
      <c r="F92" s="286"/>
      <c r="G92" s="287"/>
      <c r="H92" s="288"/>
      <c r="I92" s="288"/>
      <c r="J92" s="288"/>
      <c r="K92" s="288"/>
      <c r="L92" s="288"/>
      <c r="M92" s="289"/>
      <c r="N92" s="290"/>
      <c r="O92" s="291"/>
      <c r="P92" s="292"/>
      <c r="Q92" s="291"/>
      <c r="R92" s="291"/>
      <c r="S92" s="293"/>
      <c r="T92" s="294"/>
      <c r="U92" s="295"/>
      <c r="V92" s="318"/>
      <c r="W92" s="320">
        <f t="shared" si="1"/>
        <v>0</v>
      </c>
      <c r="X92" s="324"/>
      <c r="Y92" s="29"/>
      <c r="CX92" s="1"/>
      <c r="CY92" s="1"/>
      <c r="CZ92" s="1"/>
      <c r="DA92" s="1"/>
      <c r="DB92" s="1"/>
      <c r="DC92" s="1"/>
      <c r="DD92" s="1"/>
    </row>
    <row r="93" spans="1:108" ht="15.75" customHeight="1" thickBot="1" x14ac:dyDescent="0.25">
      <c r="B93" s="171"/>
      <c r="C93" s="241"/>
      <c r="D93" s="250"/>
      <c r="E93" s="251"/>
      <c r="F93" s="252"/>
      <c r="G93" s="255"/>
      <c r="H93" s="245"/>
      <c r="I93" s="245"/>
      <c r="J93" s="245"/>
      <c r="K93" s="245"/>
      <c r="L93" s="245"/>
      <c r="M93" s="246"/>
      <c r="N93" s="257"/>
      <c r="O93" s="192">
        <f>SUM(O53:O92)</f>
        <v>0</v>
      </c>
      <c r="P93" s="191" t="e">
        <f>AVERAGE(P53:P92)</f>
        <v>#DIV/0!</v>
      </c>
      <c r="Q93" s="191"/>
      <c r="R93" s="192">
        <f>SUM(R53:R92)</f>
        <v>0</v>
      </c>
      <c r="S93" s="191" t="e">
        <f>AVERAGE(S53:S92)</f>
        <v>#DIV/0!</v>
      </c>
      <c r="T93" s="191"/>
      <c r="U93" s="253" t="e">
        <f>AVERAGE(U53:U92)</f>
        <v>#DIV/0!</v>
      </c>
      <c r="V93" s="303"/>
      <c r="W93" s="257"/>
      <c r="X93" s="193"/>
      <c r="CX93" s="1"/>
      <c r="CY93" s="1"/>
      <c r="CZ93" s="1"/>
      <c r="DA93" s="1"/>
      <c r="DB93" s="1"/>
      <c r="DC93" s="1"/>
      <c r="DD93" s="1"/>
    </row>
    <row r="94" spans="1:108" ht="15.75" customHeight="1" x14ac:dyDescent="0.2">
      <c r="B94" s="15"/>
      <c r="C94" s="15"/>
      <c r="D94" s="174"/>
      <c r="E94" s="15"/>
      <c r="F94" s="15"/>
      <c r="G94" s="15"/>
      <c r="H94" s="175"/>
      <c r="I94" s="175"/>
      <c r="J94" s="175"/>
      <c r="K94" s="175"/>
      <c r="L94" s="175"/>
      <c r="M94" s="175"/>
      <c r="N94" s="175"/>
      <c r="O94" s="175"/>
      <c r="P94" s="175"/>
      <c r="Q94" s="175"/>
      <c r="R94" s="175"/>
      <c r="S94" s="175"/>
      <c r="T94" s="175"/>
      <c r="U94" s="175"/>
      <c r="V94" s="175"/>
      <c r="W94" s="175"/>
      <c r="X94" s="175"/>
    </row>
    <row r="95" spans="1:108" ht="15.75" customHeight="1" x14ac:dyDescent="0.2">
      <c r="B95" s="15"/>
      <c r="C95" s="15"/>
      <c r="D95" s="174"/>
      <c r="E95" s="15"/>
      <c r="F95" s="15"/>
      <c r="G95" s="1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175"/>
      <c r="X95" s="175"/>
    </row>
    <row r="96" spans="1:108" ht="15.75" customHeight="1" x14ac:dyDescent="0.2">
      <c r="B96" s="15"/>
      <c r="C96" s="15"/>
      <c r="D96" s="174"/>
      <c r="E96" s="15"/>
      <c r="F96" s="15"/>
      <c r="G96" s="15"/>
      <c r="H96" s="175"/>
      <c r="I96" s="175"/>
      <c r="J96" s="175"/>
      <c r="K96" s="175"/>
      <c r="L96" s="175"/>
      <c r="M96" s="175"/>
      <c r="N96" s="175"/>
      <c r="O96" s="175"/>
      <c r="P96" s="175"/>
      <c r="Q96" s="175"/>
      <c r="R96" s="175"/>
      <c r="S96" s="175"/>
      <c r="T96" s="175"/>
      <c r="U96" s="175"/>
      <c r="V96" s="175"/>
      <c r="W96" s="175"/>
      <c r="X96" s="175"/>
    </row>
    <row r="97" spans="1:108" ht="15.75" customHeight="1" x14ac:dyDescent="0.2"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</row>
    <row r="98" spans="1:108" ht="58.5" customHeight="1" thickBot="1" x14ac:dyDescent="0.25">
      <c r="B98" s="17" t="s">
        <v>25</v>
      </c>
      <c r="C98" s="17"/>
    </row>
    <row r="99" spans="1:108" ht="15" customHeight="1" thickBot="1" x14ac:dyDescent="0.25">
      <c r="A99" s="6"/>
      <c r="B99" s="385" t="s">
        <v>1</v>
      </c>
      <c r="C99" s="387" t="s">
        <v>77</v>
      </c>
      <c r="D99" s="389" t="s">
        <v>2</v>
      </c>
      <c r="E99" s="385" t="s">
        <v>3</v>
      </c>
      <c r="F99" s="391" t="s">
        <v>111</v>
      </c>
      <c r="G99" s="213"/>
      <c r="H99" s="254" t="s">
        <v>5</v>
      </c>
      <c r="I99" s="254"/>
      <c r="J99" s="254"/>
      <c r="K99" s="254"/>
      <c r="L99" s="254"/>
      <c r="M99" s="254"/>
      <c r="N99" s="247" t="s">
        <v>6</v>
      </c>
      <c r="O99" s="248"/>
      <c r="P99" s="248"/>
      <c r="Q99" s="248"/>
      <c r="R99" s="248"/>
      <c r="S99" s="248"/>
      <c r="T99" s="248"/>
      <c r="U99" s="248"/>
      <c r="V99" s="248"/>
      <c r="W99" s="249"/>
      <c r="X99" s="249"/>
      <c r="CX99" s="1"/>
      <c r="CY99" s="1"/>
      <c r="CZ99" s="1"/>
      <c r="DA99" s="1"/>
      <c r="DB99" s="1"/>
      <c r="DC99" s="1"/>
      <c r="DD99" s="1"/>
    </row>
    <row r="100" spans="1:108" s="6" customFormat="1" ht="33.75" customHeight="1" thickBot="1" x14ac:dyDescent="0.25">
      <c r="B100" s="386"/>
      <c r="C100" s="388"/>
      <c r="D100" s="390"/>
      <c r="E100" s="386"/>
      <c r="F100" s="392"/>
      <c r="G100" s="256" t="s">
        <v>122</v>
      </c>
      <c r="H100" s="153" t="s">
        <v>124</v>
      </c>
      <c r="I100" s="153" t="s">
        <v>126</v>
      </c>
      <c r="J100" s="153" t="s">
        <v>128</v>
      </c>
      <c r="K100" s="153" t="s">
        <v>157</v>
      </c>
      <c r="L100" s="153" t="s">
        <v>159</v>
      </c>
      <c r="M100" s="258" t="s">
        <v>161</v>
      </c>
      <c r="N100" s="304" t="s">
        <v>106</v>
      </c>
      <c r="O100" s="207" t="s">
        <v>18</v>
      </c>
      <c r="P100" s="207" t="s">
        <v>19</v>
      </c>
      <c r="Q100" s="207" t="s">
        <v>110</v>
      </c>
      <c r="R100" s="207" t="s">
        <v>20</v>
      </c>
      <c r="S100" s="305" t="s">
        <v>21</v>
      </c>
      <c r="T100" s="305" t="s">
        <v>109</v>
      </c>
      <c r="U100" s="306" t="s">
        <v>22</v>
      </c>
      <c r="V100" s="315" t="s">
        <v>110</v>
      </c>
      <c r="W100" s="304" t="s">
        <v>3</v>
      </c>
      <c r="X100" s="307" t="s">
        <v>133</v>
      </c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</row>
    <row r="101" spans="1:108" s="6" customFormat="1" ht="15" customHeight="1" x14ac:dyDescent="0.35">
      <c r="A101" s="1"/>
      <c r="B101" s="259" t="s">
        <v>241</v>
      </c>
      <c r="C101" s="260"/>
      <c r="D101" s="261"/>
      <c r="E101" s="262"/>
      <c r="F101" s="263"/>
      <c r="G101" s="264"/>
      <c r="H101" s="265"/>
      <c r="I101" s="265"/>
      <c r="J101" s="265"/>
      <c r="K101" s="265"/>
      <c r="L101" s="265"/>
      <c r="M101" s="266"/>
      <c r="N101" s="308"/>
      <c r="O101" s="309"/>
      <c r="P101" s="310"/>
      <c r="Q101" s="309"/>
      <c r="R101" s="309"/>
      <c r="S101" s="311"/>
      <c r="T101" s="312"/>
      <c r="U101" s="313"/>
      <c r="V101" s="316"/>
      <c r="W101" s="319">
        <f>Q101*-3+T101*-1+V101*-1</f>
        <v>0</v>
      </c>
      <c r="X101" s="322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</row>
    <row r="102" spans="1:108" s="6" customFormat="1" ht="15" customHeight="1" x14ac:dyDescent="0.35">
      <c r="A102" s="1"/>
      <c r="B102" s="364" t="s">
        <v>207</v>
      </c>
      <c r="C102" s="365"/>
      <c r="D102" s="366"/>
      <c r="E102" s="367"/>
      <c r="F102" s="368"/>
      <c r="G102" s="264"/>
      <c r="H102" s="265"/>
      <c r="I102" s="265"/>
      <c r="J102" s="265"/>
      <c r="K102" s="265"/>
      <c r="L102" s="265"/>
      <c r="M102" s="266"/>
      <c r="N102" s="369"/>
      <c r="O102" s="370"/>
      <c r="P102" s="371"/>
      <c r="Q102" s="370"/>
      <c r="R102" s="370"/>
      <c r="S102" s="372"/>
      <c r="T102" s="373"/>
      <c r="U102" s="374"/>
      <c r="V102" s="375"/>
      <c r="W102" s="381"/>
      <c r="X102" s="382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</row>
    <row r="103" spans="1:108" s="6" customFormat="1" ht="15" customHeight="1" x14ac:dyDescent="0.35">
      <c r="A103" s="1"/>
      <c r="B103" s="364" t="s">
        <v>209</v>
      </c>
      <c r="C103" s="365"/>
      <c r="D103" s="366"/>
      <c r="E103" s="367"/>
      <c r="F103" s="368"/>
      <c r="G103" s="264"/>
      <c r="H103" s="265"/>
      <c r="I103" s="265"/>
      <c r="J103" s="265"/>
      <c r="K103" s="265"/>
      <c r="L103" s="265"/>
      <c r="M103" s="266"/>
      <c r="N103" s="369"/>
      <c r="O103" s="370"/>
      <c r="P103" s="371"/>
      <c r="Q103" s="370"/>
      <c r="R103" s="370"/>
      <c r="S103" s="372"/>
      <c r="T103" s="373"/>
      <c r="U103" s="374"/>
      <c r="V103" s="375"/>
      <c r="W103" s="381"/>
      <c r="X103" s="382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  <c r="CF103" s="29"/>
      <c r="CG103" s="29"/>
      <c r="CH103" s="29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</row>
    <row r="104" spans="1:108" s="6" customFormat="1" ht="15" customHeight="1" x14ac:dyDescent="0.35">
      <c r="A104" s="1"/>
      <c r="B104" s="364" t="s">
        <v>91</v>
      </c>
      <c r="C104" s="365"/>
      <c r="D104" s="366"/>
      <c r="E104" s="367"/>
      <c r="F104" s="368"/>
      <c r="G104" s="264"/>
      <c r="H104" s="265"/>
      <c r="I104" s="265"/>
      <c r="J104" s="265"/>
      <c r="K104" s="265"/>
      <c r="L104" s="265"/>
      <c r="M104" s="266"/>
      <c r="N104" s="369"/>
      <c r="O104" s="370"/>
      <c r="P104" s="371"/>
      <c r="Q104" s="370"/>
      <c r="R104" s="370"/>
      <c r="S104" s="372"/>
      <c r="T104" s="373"/>
      <c r="U104" s="374"/>
      <c r="V104" s="375"/>
      <c r="W104" s="381"/>
      <c r="X104" s="382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  <c r="CF104" s="29"/>
      <c r="CG104" s="29"/>
      <c r="CH104" s="29"/>
      <c r="CI104" s="29"/>
      <c r="CJ104" s="29"/>
      <c r="CK104" s="29"/>
      <c r="CL104" s="29"/>
      <c r="CM104" s="29"/>
      <c r="CN104" s="29"/>
      <c r="CO104" s="29"/>
      <c r="CP104" s="29"/>
      <c r="CQ104" s="29"/>
      <c r="CR104" s="29"/>
      <c r="CS104" s="29"/>
      <c r="CT104" s="29"/>
      <c r="CU104" s="29"/>
      <c r="CV104" s="29"/>
      <c r="CW104" s="29"/>
    </row>
    <row r="105" spans="1:108" s="6" customFormat="1" ht="15" customHeight="1" x14ac:dyDescent="0.35">
      <c r="A105" s="1"/>
      <c r="B105" s="364" t="s">
        <v>92</v>
      </c>
      <c r="C105" s="365"/>
      <c r="D105" s="366"/>
      <c r="E105" s="367"/>
      <c r="F105" s="368"/>
      <c r="G105" s="264"/>
      <c r="H105" s="265"/>
      <c r="I105" s="265"/>
      <c r="J105" s="265"/>
      <c r="K105" s="265"/>
      <c r="L105" s="265"/>
      <c r="M105" s="266"/>
      <c r="N105" s="369"/>
      <c r="O105" s="370"/>
      <c r="P105" s="371"/>
      <c r="Q105" s="370"/>
      <c r="R105" s="370"/>
      <c r="S105" s="372"/>
      <c r="T105" s="373"/>
      <c r="U105" s="374"/>
      <c r="V105" s="375"/>
      <c r="W105" s="381"/>
      <c r="X105" s="382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  <c r="CF105" s="29"/>
      <c r="CG105" s="29"/>
      <c r="CH105" s="29"/>
      <c r="CI105" s="29"/>
      <c r="CJ105" s="29"/>
      <c r="CK105" s="29"/>
      <c r="CL105" s="29"/>
      <c r="CM105" s="29"/>
      <c r="CN105" s="29"/>
      <c r="CO105" s="29"/>
      <c r="CP105" s="29"/>
      <c r="CQ105" s="29"/>
      <c r="CR105" s="29"/>
      <c r="CS105" s="29"/>
      <c r="CT105" s="29"/>
      <c r="CU105" s="29"/>
      <c r="CV105" s="29"/>
      <c r="CW105" s="29"/>
    </row>
    <row r="106" spans="1:108" s="6" customFormat="1" ht="15" customHeight="1" x14ac:dyDescent="0.35">
      <c r="A106" s="1"/>
      <c r="B106" s="364" t="s">
        <v>93</v>
      </c>
      <c r="C106" s="365"/>
      <c r="D106" s="366"/>
      <c r="E106" s="367"/>
      <c r="F106" s="368"/>
      <c r="G106" s="264"/>
      <c r="H106" s="265"/>
      <c r="I106" s="265"/>
      <c r="J106" s="265"/>
      <c r="K106" s="265"/>
      <c r="L106" s="265"/>
      <c r="M106" s="266"/>
      <c r="N106" s="369"/>
      <c r="O106" s="370"/>
      <c r="P106" s="371"/>
      <c r="Q106" s="370"/>
      <c r="R106" s="370"/>
      <c r="S106" s="372"/>
      <c r="T106" s="373"/>
      <c r="U106" s="374"/>
      <c r="V106" s="375"/>
      <c r="W106" s="381"/>
      <c r="X106" s="382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  <c r="CF106" s="29"/>
      <c r="CG106" s="29"/>
      <c r="CH106" s="29"/>
      <c r="CI106" s="29"/>
      <c r="CJ106" s="29"/>
      <c r="CK106" s="29"/>
      <c r="CL106" s="29"/>
      <c r="CM106" s="29"/>
      <c r="CN106" s="29"/>
      <c r="CO106" s="29"/>
      <c r="CP106" s="29"/>
      <c r="CQ106" s="29"/>
      <c r="CR106" s="29"/>
      <c r="CS106" s="29"/>
      <c r="CT106" s="29"/>
      <c r="CU106" s="29"/>
      <c r="CV106" s="29"/>
      <c r="CW106" s="29"/>
    </row>
    <row r="107" spans="1:108" s="6" customFormat="1" ht="15" customHeight="1" x14ac:dyDescent="0.35">
      <c r="A107" s="1"/>
      <c r="B107" s="364" t="s">
        <v>94</v>
      </c>
      <c r="C107" s="365"/>
      <c r="D107" s="366"/>
      <c r="E107" s="367"/>
      <c r="F107" s="368"/>
      <c r="G107" s="264"/>
      <c r="H107" s="265"/>
      <c r="I107" s="265"/>
      <c r="J107" s="265"/>
      <c r="K107" s="265"/>
      <c r="L107" s="265"/>
      <c r="M107" s="266"/>
      <c r="N107" s="369"/>
      <c r="O107" s="370"/>
      <c r="P107" s="371"/>
      <c r="Q107" s="370"/>
      <c r="R107" s="370"/>
      <c r="S107" s="372"/>
      <c r="T107" s="373"/>
      <c r="U107" s="374"/>
      <c r="V107" s="375"/>
      <c r="W107" s="381"/>
      <c r="X107" s="382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  <c r="CF107" s="29"/>
      <c r="CG107" s="29"/>
      <c r="CH107" s="29"/>
      <c r="CI107" s="29"/>
      <c r="CJ107" s="29"/>
      <c r="CK107" s="29"/>
      <c r="CL107" s="29"/>
      <c r="CM107" s="29"/>
      <c r="CN107" s="29"/>
      <c r="CO107" s="29"/>
      <c r="CP107" s="29"/>
      <c r="CQ107" s="29"/>
      <c r="CR107" s="29"/>
      <c r="CS107" s="29"/>
      <c r="CT107" s="29"/>
      <c r="CU107" s="29"/>
      <c r="CV107" s="29"/>
      <c r="CW107" s="29"/>
    </row>
    <row r="108" spans="1:108" s="6" customFormat="1" ht="15" customHeight="1" x14ac:dyDescent="0.35">
      <c r="A108" s="1"/>
      <c r="B108" s="364" t="s">
        <v>95</v>
      </c>
      <c r="C108" s="365"/>
      <c r="D108" s="366"/>
      <c r="E108" s="367"/>
      <c r="F108" s="368"/>
      <c r="G108" s="264"/>
      <c r="H108" s="265"/>
      <c r="I108" s="265"/>
      <c r="J108" s="265"/>
      <c r="K108" s="265"/>
      <c r="L108" s="265"/>
      <c r="M108" s="266"/>
      <c r="N108" s="369"/>
      <c r="O108" s="370"/>
      <c r="P108" s="371"/>
      <c r="Q108" s="370"/>
      <c r="R108" s="370"/>
      <c r="S108" s="372"/>
      <c r="T108" s="373"/>
      <c r="U108" s="374"/>
      <c r="V108" s="375"/>
      <c r="W108" s="381"/>
      <c r="X108" s="382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  <c r="CF108" s="29"/>
      <c r="CG108" s="29"/>
      <c r="CH108" s="29"/>
      <c r="CI108" s="29"/>
      <c r="CJ108" s="29"/>
      <c r="CK108" s="29"/>
      <c r="CL108" s="29"/>
      <c r="CM108" s="29"/>
      <c r="CN108" s="29"/>
      <c r="CO108" s="29"/>
      <c r="CP108" s="29"/>
      <c r="CQ108" s="29"/>
      <c r="CR108" s="29"/>
      <c r="CS108" s="29"/>
      <c r="CT108" s="29"/>
      <c r="CU108" s="29"/>
      <c r="CV108" s="29"/>
      <c r="CW108" s="29"/>
    </row>
    <row r="109" spans="1:108" s="6" customFormat="1" ht="15" customHeight="1" x14ac:dyDescent="0.35">
      <c r="A109" s="1"/>
      <c r="B109" s="364" t="s">
        <v>96</v>
      </c>
      <c r="C109" s="365"/>
      <c r="D109" s="366"/>
      <c r="E109" s="367"/>
      <c r="F109" s="368"/>
      <c r="G109" s="264"/>
      <c r="H109" s="265"/>
      <c r="I109" s="265"/>
      <c r="J109" s="265"/>
      <c r="K109" s="265"/>
      <c r="L109" s="265"/>
      <c r="M109" s="266"/>
      <c r="N109" s="369"/>
      <c r="O109" s="370"/>
      <c r="P109" s="371"/>
      <c r="Q109" s="370"/>
      <c r="R109" s="370"/>
      <c r="S109" s="372"/>
      <c r="T109" s="373"/>
      <c r="U109" s="374"/>
      <c r="V109" s="375"/>
      <c r="W109" s="381"/>
      <c r="X109" s="382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  <c r="CF109" s="29"/>
      <c r="CG109" s="29"/>
      <c r="CH109" s="29"/>
      <c r="CI109" s="29"/>
      <c r="CJ109" s="29"/>
      <c r="CK109" s="29"/>
      <c r="CL109" s="29"/>
      <c r="CM109" s="29"/>
      <c r="CN109" s="29"/>
      <c r="CO109" s="29"/>
      <c r="CP109" s="29"/>
      <c r="CQ109" s="29"/>
      <c r="CR109" s="29"/>
      <c r="CS109" s="29"/>
      <c r="CT109" s="29"/>
      <c r="CU109" s="29"/>
      <c r="CV109" s="29"/>
      <c r="CW109" s="29"/>
    </row>
    <row r="110" spans="1:108" s="6" customFormat="1" ht="15" customHeight="1" x14ac:dyDescent="0.35">
      <c r="A110" s="1"/>
      <c r="B110" s="364" t="s">
        <v>210</v>
      </c>
      <c r="C110" s="365"/>
      <c r="D110" s="366"/>
      <c r="E110" s="367"/>
      <c r="F110" s="368"/>
      <c r="G110" s="264"/>
      <c r="H110" s="265"/>
      <c r="I110" s="265"/>
      <c r="J110" s="265"/>
      <c r="K110" s="265"/>
      <c r="L110" s="265"/>
      <c r="M110" s="266"/>
      <c r="N110" s="369"/>
      <c r="O110" s="370"/>
      <c r="P110" s="371"/>
      <c r="Q110" s="370"/>
      <c r="R110" s="370"/>
      <c r="S110" s="372"/>
      <c r="T110" s="373"/>
      <c r="U110" s="374"/>
      <c r="V110" s="375"/>
      <c r="W110" s="381"/>
      <c r="X110" s="382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  <c r="CF110" s="29"/>
      <c r="CG110" s="29"/>
      <c r="CH110" s="29"/>
      <c r="CI110" s="29"/>
      <c r="CJ110" s="29"/>
      <c r="CK110" s="29"/>
      <c r="CL110" s="29"/>
      <c r="CM110" s="29"/>
      <c r="CN110" s="29"/>
      <c r="CO110" s="29"/>
      <c r="CP110" s="29"/>
      <c r="CQ110" s="29"/>
      <c r="CR110" s="29"/>
      <c r="CS110" s="29"/>
      <c r="CT110" s="29"/>
      <c r="CU110" s="29"/>
      <c r="CV110" s="29"/>
      <c r="CW110" s="29"/>
    </row>
    <row r="111" spans="1:108" s="6" customFormat="1" ht="15" customHeight="1" x14ac:dyDescent="0.35">
      <c r="A111" s="1"/>
      <c r="B111" s="364" t="s">
        <v>211</v>
      </c>
      <c r="C111" s="365"/>
      <c r="D111" s="366"/>
      <c r="E111" s="367"/>
      <c r="F111" s="368"/>
      <c r="G111" s="264"/>
      <c r="H111" s="265"/>
      <c r="I111" s="265"/>
      <c r="J111" s="265"/>
      <c r="K111" s="265"/>
      <c r="L111" s="265"/>
      <c r="M111" s="266"/>
      <c r="N111" s="369"/>
      <c r="O111" s="370"/>
      <c r="P111" s="371"/>
      <c r="Q111" s="370"/>
      <c r="R111" s="370"/>
      <c r="S111" s="372"/>
      <c r="T111" s="373"/>
      <c r="U111" s="374"/>
      <c r="V111" s="375"/>
      <c r="W111" s="381"/>
      <c r="X111" s="382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  <c r="CF111" s="29"/>
      <c r="CG111" s="29"/>
      <c r="CH111" s="29"/>
      <c r="CI111" s="29"/>
      <c r="CJ111" s="29"/>
      <c r="CK111" s="29"/>
      <c r="CL111" s="29"/>
      <c r="CM111" s="29"/>
      <c r="CN111" s="29"/>
      <c r="CO111" s="29"/>
      <c r="CP111" s="29"/>
      <c r="CQ111" s="29"/>
      <c r="CR111" s="29"/>
      <c r="CS111" s="29"/>
      <c r="CT111" s="29"/>
      <c r="CU111" s="29"/>
      <c r="CV111" s="29"/>
      <c r="CW111" s="29"/>
    </row>
    <row r="112" spans="1:108" s="6" customFormat="1" ht="15" customHeight="1" x14ac:dyDescent="0.35">
      <c r="A112" s="1"/>
      <c r="B112" s="364" t="s">
        <v>212</v>
      </c>
      <c r="C112" s="365"/>
      <c r="D112" s="366"/>
      <c r="E112" s="367"/>
      <c r="F112" s="368"/>
      <c r="G112" s="264"/>
      <c r="H112" s="265"/>
      <c r="I112" s="265"/>
      <c r="J112" s="265"/>
      <c r="K112" s="265"/>
      <c r="L112" s="265"/>
      <c r="M112" s="266"/>
      <c r="N112" s="369"/>
      <c r="O112" s="370"/>
      <c r="P112" s="371"/>
      <c r="Q112" s="370"/>
      <c r="R112" s="370"/>
      <c r="S112" s="372"/>
      <c r="T112" s="373"/>
      <c r="U112" s="374"/>
      <c r="V112" s="375"/>
      <c r="W112" s="381"/>
      <c r="X112" s="382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  <c r="CF112" s="29"/>
      <c r="CG112" s="29"/>
      <c r="CH112" s="29"/>
      <c r="CI112" s="29"/>
      <c r="CJ112" s="29"/>
      <c r="CK112" s="29"/>
      <c r="CL112" s="29"/>
      <c r="CM112" s="29"/>
      <c r="CN112" s="29"/>
      <c r="CO112" s="29"/>
      <c r="CP112" s="29"/>
      <c r="CQ112" s="29"/>
      <c r="CR112" s="29"/>
      <c r="CS112" s="29"/>
      <c r="CT112" s="29"/>
      <c r="CU112" s="29"/>
      <c r="CV112" s="29"/>
      <c r="CW112" s="29"/>
    </row>
    <row r="113" spans="1:101" s="6" customFormat="1" ht="15" customHeight="1" x14ac:dyDescent="0.35">
      <c r="A113" s="1"/>
      <c r="B113" s="364" t="s">
        <v>213</v>
      </c>
      <c r="C113" s="365"/>
      <c r="D113" s="366"/>
      <c r="E113" s="367"/>
      <c r="F113" s="368"/>
      <c r="G113" s="264"/>
      <c r="H113" s="265"/>
      <c r="I113" s="265"/>
      <c r="J113" s="265"/>
      <c r="K113" s="265"/>
      <c r="L113" s="265"/>
      <c r="M113" s="266"/>
      <c r="N113" s="369"/>
      <c r="O113" s="370"/>
      <c r="P113" s="371"/>
      <c r="Q113" s="370"/>
      <c r="R113" s="370"/>
      <c r="S113" s="372"/>
      <c r="T113" s="373"/>
      <c r="U113" s="374"/>
      <c r="V113" s="375"/>
      <c r="W113" s="381"/>
      <c r="X113" s="382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  <c r="CF113" s="29"/>
      <c r="CG113" s="29"/>
      <c r="CH113" s="29"/>
      <c r="CI113" s="29"/>
      <c r="CJ113" s="29"/>
      <c r="CK113" s="29"/>
      <c r="CL113" s="29"/>
      <c r="CM113" s="29"/>
      <c r="CN113" s="29"/>
      <c r="CO113" s="29"/>
      <c r="CP113" s="29"/>
      <c r="CQ113" s="29"/>
      <c r="CR113" s="29"/>
      <c r="CS113" s="29"/>
      <c r="CT113" s="29"/>
      <c r="CU113" s="29"/>
      <c r="CV113" s="29"/>
      <c r="CW113" s="29"/>
    </row>
    <row r="114" spans="1:101" s="6" customFormat="1" ht="15" customHeight="1" x14ac:dyDescent="0.35">
      <c r="A114" s="1"/>
      <c r="B114" s="364" t="s">
        <v>214</v>
      </c>
      <c r="C114" s="365"/>
      <c r="D114" s="366"/>
      <c r="E114" s="367"/>
      <c r="F114" s="368"/>
      <c r="G114" s="264"/>
      <c r="H114" s="265"/>
      <c r="I114" s="265"/>
      <c r="J114" s="265"/>
      <c r="K114" s="265"/>
      <c r="L114" s="265"/>
      <c r="M114" s="266"/>
      <c r="N114" s="369"/>
      <c r="O114" s="370"/>
      <c r="P114" s="371"/>
      <c r="Q114" s="370"/>
      <c r="R114" s="370"/>
      <c r="S114" s="372"/>
      <c r="T114" s="373"/>
      <c r="U114" s="374"/>
      <c r="V114" s="375"/>
      <c r="W114" s="381"/>
      <c r="X114" s="382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  <c r="CF114" s="29"/>
      <c r="CG114" s="29"/>
      <c r="CH114" s="29"/>
      <c r="CI114" s="29"/>
      <c r="CJ114" s="29"/>
      <c r="CK114" s="29"/>
      <c r="CL114" s="29"/>
      <c r="CM114" s="29"/>
      <c r="CN114" s="29"/>
      <c r="CO114" s="29"/>
      <c r="CP114" s="29"/>
      <c r="CQ114" s="29"/>
      <c r="CR114" s="29"/>
      <c r="CS114" s="29"/>
      <c r="CT114" s="29"/>
      <c r="CU114" s="29"/>
      <c r="CV114" s="29"/>
      <c r="CW114" s="29"/>
    </row>
    <row r="115" spans="1:101" s="6" customFormat="1" ht="15" customHeight="1" x14ac:dyDescent="0.35">
      <c r="A115" s="1"/>
      <c r="B115" s="364" t="s">
        <v>215</v>
      </c>
      <c r="C115" s="365"/>
      <c r="D115" s="366"/>
      <c r="E115" s="367"/>
      <c r="F115" s="368"/>
      <c r="G115" s="264"/>
      <c r="H115" s="265"/>
      <c r="I115" s="265"/>
      <c r="J115" s="265"/>
      <c r="K115" s="265"/>
      <c r="L115" s="265"/>
      <c r="M115" s="266"/>
      <c r="N115" s="369"/>
      <c r="O115" s="370"/>
      <c r="P115" s="371"/>
      <c r="Q115" s="370"/>
      <c r="R115" s="370"/>
      <c r="S115" s="372"/>
      <c r="T115" s="373"/>
      <c r="U115" s="374"/>
      <c r="V115" s="375"/>
      <c r="W115" s="381"/>
      <c r="X115" s="382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  <c r="CF115" s="29"/>
      <c r="CG115" s="29"/>
      <c r="CH115" s="29"/>
      <c r="CI115" s="29"/>
      <c r="CJ115" s="29"/>
      <c r="CK115" s="29"/>
      <c r="CL115" s="29"/>
      <c r="CM115" s="29"/>
      <c r="CN115" s="29"/>
      <c r="CO115" s="29"/>
      <c r="CP115" s="29"/>
      <c r="CQ115" s="29"/>
      <c r="CR115" s="29"/>
      <c r="CS115" s="29"/>
      <c r="CT115" s="29"/>
      <c r="CU115" s="29"/>
      <c r="CV115" s="29"/>
      <c r="CW115" s="29"/>
    </row>
    <row r="116" spans="1:101" s="6" customFormat="1" ht="15" customHeight="1" x14ac:dyDescent="0.35">
      <c r="A116" s="1"/>
      <c r="B116" s="364" t="s">
        <v>216</v>
      </c>
      <c r="C116" s="365"/>
      <c r="D116" s="366"/>
      <c r="E116" s="367"/>
      <c r="F116" s="368"/>
      <c r="G116" s="264"/>
      <c r="H116" s="265"/>
      <c r="I116" s="265"/>
      <c r="J116" s="265"/>
      <c r="K116" s="265"/>
      <c r="L116" s="265"/>
      <c r="M116" s="266"/>
      <c r="N116" s="369"/>
      <c r="O116" s="370"/>
      <c r="P116" s="371"/>
      <c r="Q116" s="370"/>
      <c r="R116" s="370"/>
      <c r="S116" s="372"/>
      <c r="T116" s="373"/>
      <c r="U116" s="374"/>
      <c r="V116" s="375"/>
      <c r="W116" s="381"/>
      <c r="X116" s="382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</row>
    <row r="117" spans="1:101" s="6" customFormat="1" ht="15" customHeight="1" x14ac:dyDescent="0.35">
      <c r="A117" s="1"/>
      <c r="B117" s="364" t="s">
        <v>217</v>
      </c>
      <c r="C117" s="365"/>
      <c r="D117" s="366"/>
      <c r="E117" s="367"/>
      <c r="F117" s="368"/>
      <c r="G117" s="264"/>
      <c r="H117" s="265"/>
      <c r="I117" s="265"/>
      <c r="J117" s="265"/>
      <c r="K117" s="265"/>
      <c r="L117" s="265"/>
      <c r="M117" s="266"/>
      <c r="N117" s="369"/>
      <c r="O117" s="370"/>
      <c r="P117" s="371"/>
      <c r="Q117" s="370"/>
      <c r="R117" s="370"/>
      <c r="S117" s="372"/>
      <c r="T117" s="373"/>
      <c r="U117" s="374"/>
      <c r="V117" s="375"/>
      <c r="W117" s="381"/>
      <c r="X117" s="382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</row>
    <row r="118" spans="1:101" s="6" customFormat="1" ht="15" customHeight="1" x14ac:dyDescent="0.35">
      <c r="A118" s="1"/>
      <c r="B118" s="364" t="s">
        <v>218</v>
      </c>
      <c r="C118" s="365"/>
      <c r="D118" s="366"/>
      <c r="E118" s="367"/>
      <c r="F118" s="368"/>
      <c r="G118" s="264"/>
      <c r="H118" s="265"/>
      <c r="I118" s="265"/>
      <c r="J118" s="265"/>
      <c r="K118" s="265"/>
      <c r="L118" s="265"/>
      <c r="M118" s="266"/>
      <c r="N118" s="369"/>
      <c r="O118" s="370"/>
      <c r="P118" s="371"/>
      <c r="Q118" s="370"/>
      <c r="R118" s="370"/>
      <c r="S118" s="372"/>
      <c r="T118" s="373"/>
      <c r="U118" s="374"/>
      <c r="V118" s="375"/>
      <c r="W118" s="381"/>
      <c r="X118" s="382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  <c r="CF118" s="29"/>
      <c r="CG118" s="29"/>
      <c r="CH118" s="29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  <c r="CW118" s="29"/>
    </row>
    <row r="119" spans="1:101" s="6" customFormat="1" ht="15" customHeight="1" x14ac:dyDescent="0.35">
      <c r="A119" s="1"/>
      <c r="B119" s="364" t="s">
        <v>219</v>
      </c>
      <c r="C119" s="365"/>
      <c r="D119" s="366"/>
      <c r="E119" s="367"/>
      <c r="F119" s="368"/>
      <c r="G119" s="264"/>
      <c r="H119" s="265"/>
      <c r="I119" s="265"/>
      <c r="J119" s="265"/>
      <c r="K119" s="265"/>
      <c r="L119" s="265"/>
      <c r="M119" s="266"/>
      <c r="N119" s="369"/>
      <c r="O119" s="370"/>
      <c r="P119" s="371"/>
      <c r="Q119" s="370"/>
      <c r="R119" s="370"/>
      <c r="S119" s="372"/>
      <c r="T119" s="373"/>
      <c r="U119" s="374"/>
      <c r="V119" s="375"/>
      <c r="W119" s="381"/>
      <c r="X119" s="382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  <c r="CF119" s="29"/>
      <c r="CG119" s="29"/>
      <c r="CH119" s="29"/>
      <c r="CI119" s="29"/>
      <c r="CJ119" s="29"/>
      <c r="CK119" s="29"/>
      <c r="CL119" s="29"/>
      <c r="CM119" s="29"/>
      <c r="CN119" s="29"/>
      <c r="CO119" s="29"/>
      <c r="CP119" s="29"/>
      <c r="CQ119" s="29"/>
      <c r="CR119" s="29"/>
      <c r="CS119" s="29"/>
      <c r="CT119" s="29"/>
      <c r="CU119" s="29"/>
      <c r="CV119" s="29"/>
      <c r="CW119" s="29"/>
    </row>
    <row r="120" spans="1:101" s="6" customFormat="1" ht="15" customHeight="1" x14ac:dyDescent="0.35">
      <c r="A120" s="1"/>
      <c r="B120" s="364" t="s">
        <v>220</v>
      </c>
      <c r="C120" s="365"/>
      <c r="D120" s="366"/>
      <c r="E120" s="367"/>
      <c r="F120" s="368"/>
      <c r="G120" s="264"/>
      <c r="H120" s="265"/>
      <c r="I120" s="265"/>
      <c r="J120" s="265"/>
      <c r="K120" s="265"/>
      <c r="L120" s="265"/>
      <c r="M120" s="266"/>
      <c r="N120" s="369"/>
      <c r="O120" s="370"/>
      <c r="P120" s="371"/>
      <c r="Q120" s="370"/>
      <c r="R120" s="370"/>
      <c r="S120" s="372"/>
      <c r="T120" s="373"/>
      <c r="U120" s="374"/>
      <c r="V120" s="375"/>
      <c r="W120" s="381"/>
      <c r="X120" s="382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  <c r="CF120" s="29"/>
      <c r="CG120" s="29"/>
      <c r="CH120" s="29"/>
      <c r="CI120" s="29"/>
      <c r="CJ120" s="29"/>
      <c r="CK120" s="29"/>
      <c r="CL120" s="29"/>
      <c r="CM120" s="29"/>
      <c r="CN120" s="29"/>
      <c r="CO120" s="29"/>
      <c r="CP120" s="29"/>
      <c r="CQ120" s="29"/>
      <c r="CR120" s="29"/>
      <c r="CS120" s="29"/>
      <c r="CT120" s="29"/>
      <c r="CU120" s="29"/>
      <c r="CV120" s="29"/>
      <c r="CW120" s="29"/>
    </row>
    <row r="121" spans="1:101" s="6" customFormat="1" ht="15" customHeight="1" x14ac:dyDescent="0.35">
      <c r="A121" s="1"/>
      <c r="B121" s="364" t="s">
        <v>221</v>
      </c>
      <c r="C121" s="365"/>
      <c r="D121" s="366"/>
      <c r="E121" s="367"/>
      <c r="F121" s="368"/>
      <c r="G121" s="264"/>
      <c r="H121" s="265"/>
      <c r="I121" s="265"/>
      <c r="J121" s="265"/>
      <c r="K121" s="265"/>
      <c r="L121" s="265"/>
      <c r="M121" s="266"/>
      <c r="N121" s="369"/>
      <c r="O121" s="370"/>
      <c r="P121" s="371"/>
      <c r="Q121" s="370"/>
      <c r="R121" s="370"/>
      <c r="S121" s="372"/>
      <c r="T121" s="373"/>
      <c r="U121" s="374"/>
      <c r="V121" s="375"/>
      <c r="W121" s="381"/>
      <c r="X121" s="382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  <c r="CF121" s="29"/>
      <c r="CG121" s="29"/>
      <c r="CH121" s="29"/>
      <c r="CI121" s="29"/>
      <c r="CJ121" s="29"/>
      <c r="CK121" s="29"/>
      <c r="CL121" s="29"/>
      <c r="CM121" s="29"/>
      <c r="CN121" s="29"/>
      <c r="CO121" s="29"/>
      <c r="CP121" s="29"/>
      <c r="CQ121" s="29"/>
      <c r="CR121" s="29"/>
      <c r="CS121" s="29"/>
      <c r="CT121" s="29"/>
      <c r="CU121" s="29"/>
      <c r="CV121" s="29"/>
      <c r="CW121" s="29"/>
    </row>
    <row r="122" spans="1:101" s="6" customFormat="1" ht="15" customHeight="1" x14ac:dyDescent="0.35">
      <c r="A122" s="1"/>
      <c r="B122" s="364" t="s">
        <v>222</v>
      </c>
      <c r="C122" s="365"/>
      <c r="D122" s="366"/>
      <c r="E122" s="367"/>
      <c r="F122" s="368"/>
      <c r="G122" s="264"/>
      <c r="H122" s="265"/>
      <c r="I122" s="265"/>
      <c r="J122" s="265"/>
      <c r="K122" s="265"/>
      <c r="L122" s="265"/>
      <c r="M122" s="266"/>
      <c r="N122" s="369"/>
      <c r="O122" s="370"/>
      <c r="P122" s="371"/>
      <c r="Q122" s="370"/>
      <c r="R122" s="370"/>
      <c r="S122" s="372"/>
      <c r="T122" s="373"/>
      <c r="U122" s="374"/>
      <c r="V122" s="375"/>
      <c r="W122" s="381"/>
      <c r="X122" s="382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  <c r="CF122" s="29"/>
      <c r="CG122" s="29"/>
      <c r="CH122" s="29"/>
      <c r="CI122" s="29"/>
      <c r="CJ122" s="29"/>
      <c r="CK122" s="29"/>
      <c r="CL122" s="29"/>
      <c r="CM122" s="29"/>
      <c r="CN122" s="29"/>
      <c r="CO122" s="29"/>
      <c r="CP122" s="29"/>
      <c r="CQ122" s="29"/>
      <c r="CR122" s="29"/>
      <c r="CS122" s="29"/>
      <c r="CT122" s="29"/>
      <c r="CU122" s="29"/>
      <c r="CV122" s="29"/>
      <c r="CW122" s="29"/>
    </row>
    <row r="123" spans="1:101" s="6" customFormat="1" ht="15" customHeight="1" x14ac:dyDescent="0.35">
      <c r="A123" s="1"/>
      <c r="B123" s="364" t="s">
        <v>223</v>
      </c>
      <c r="C123" s="365"/>
      <c r="D123" s="366"/>
      <c r="E123" s="367"/>
      <c r="F123" s="368"/>
      <c r="G123" s="264"/>
      <c r="H123" s="265"/>
      <c r="I123" s="265"/>
      <c r="J123" s="265"/>
      <c r="K123" s="265"/>
      <c r="L123" s="265"/>
      <c r="M123" s="266"/>
      <c r="N123" s="369"/>
      <c r="O123" s="370"/>
      <c r="P123" s="371"/>
      <c r="Q123" s="370"/>
      <c r="R123" s="370"/>
      <c r="S123" s="372"/>
      <c r="T123" s="373"/>
      <c r="U123" s="374"/>
      <c r="V123" s="375"/>
      <c r="W123" s="381"/>
      <c r="X123" s="382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  <c r="CF123" s="29"/>
      <c r="CG123" s="29"/>
      <c r="CH123" s="29"/>
      <c r="CI123" s="29"/>
      <c r="CJ123" s="29"/>
      <c r="CK123" s="29"/>
      <c r="CL123" s="29"/>
      <c r="CM123" s="29"/>
      <c r="CN123" s="29"/>
      <c r="CO123" s="29"/>
      <c r="CP123" s="29"/>
      <c r="CQ123" s="29"/>
      <c r="CR123" s="29"/>
      <c r="CS123" s="29"/>
      <c r="CT123" s="29"/>
      <c r="CU123" s="29"/>
      <c r="CV123" s="29"/>
      <c r="CW123" s="29"/>
    </row>
    <row r="124" spans="1:101" s="6" customFormat="1" ht="15" customHeight="1" x14ac:dyDescent="0.35">
      <c r="A124" s="1"/>
      <c r="B124" s="364" t="s">
        <v>224</v>
      </c>
      <c r="C124" s="365"/>
      <c r="D124" s="366"/>
      <c r="E124" s="367"/>
      <c r="F124" s="368"/>
      <c r="G124" s="264"/>
      <c r="H124" s="265"/>
      <c r="I124" s="265"/>
      <c r="J124" s="265"/>
      <c r="K124" s="265"/>
      <c r="L124" s="265"/>
      <c r="M124" s="266"/>
      <c r="N124" s="369"/>
      <c r="O124" s="370"/>
      <c r="P124" s="371"/>
      <c r="Q124" s="370"/>
      <c r="R124" s="370"/>
      <c r="S124" s="372"/>
      <c r="T124" s="373"/>
      <c r="U124" s="374"/>
      <c r="V124" s="375"/>
      <c r="W124" s="381"/>
      <c r="X124" s="382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  <c r="CF124" s="29"/>
      <c r="CG124" s="29"/>
      <c r="CH124" s="29"/>
      <c r="CI124" s="29"/>
      <c r="CJ124" s="29"/>
      <c r="CK124" s="29"/>
      <c r="CL124" s="29"/>
      <c r="CM124" s="29"/>
      <c r="CN124" s="29"/>
      <c r="CO124" s="29"/>
      <c r="CP124" s="29"/>
      <c r="CQ124" s="29"/>
      <c r="CR124" s="29"/>
      <c r="CS124" s="29"/>
      <c r="CT124" s="29"/>
      <c r="CU124" s="29"/>
      <c r="CV124" s="29"/>
      <c r="CW124" s="29"/>
    </row>
    <row r="125" spans="1:101" s="6" customFormat="1" ht="15" customHeight="1" x14ac:dyDescent="0.35">
      <c r="A125" s="1"/>
      <c r="B125" s="364" t="s">
        <v>225</v>
      </c>
      <c r="C125" s="365"/>
      <c r="D125" s="366"/>
      <c r="E125" s="367"/>
      <c r="F125" s="368"/>
      <c r="G125" s="264"/>
      <c r="H125" s="265"/>
      <c r="I125" s="265"/>
      <c r="J125" s="265"/>
      <c r="K125" s="265"/>
      <c r="L125" s="265"/>
      <c r="M125" s="266"/>
      <c r="N125" s="369"/>
      <c r="O125" s="370"/>
      <c r="P125" s="371"/>
      <c r="Q125" s="370"/>
      <c r="R125" s="370"/>
      <c r="S125" s="372"/>
      <c r="T125" s="373"/>
      <c r="U125" s="374"/>
      <c r="V125" s="375"/>
      <c r="W125" s="381"/>
      <c r="X125" s="382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  <c r="CF125" s="29"/>
      <c r="CG125" s="29"/>
      <c r="CH125" s="29"/>
      <c r="CI125" s="29"/>
      <c r="CJ125" s="29"/>
      <c r="CK125" s="29"/>
      <c r="CL125" s="29"/>
      <c r="CM125" s="29"/>
      <c r="CN125" s="29"/>
      <c r="CO125" s="29"/>
      <c r="CP125" s="29"/>
      <c r="CQ125" s="29"/>
      <c r="CR125" s="29"/>
      <c r="CS125" s="29"/>
      <c r="CT125" s="29"/>
      <c r="CU125" s="29"/>
      <c r="CV125" s="29"/>
      <c r="CW125" s="29"/>
    </row>
    <row r="126" spans="1:101" s="6" customFormat="1" ht="15" customHeight="1" x14ac:dyDescent="0.35">
      <c r="A126" s="1"/>
      <c r="B126" s="364" t="s">
        <v>226</v>
      </c>
      <c r="C126" s="365"/>
      <c r="D126" s="366"/>
      <c r="E126" s="367"/>
      <c r="F126" s="368"/>
      <c r="G126" s="264"/>
      <c r="H126" s="265"/>
      <c r="I126" s="265"/>
      <c r="J126" s="265"/>
      <c r="K126" s="265"/>
      <c r="L126" s="265"/>
      <c r="M126" s="266"/>
      <c r="N126" s="369"/>
      <c r="O126" s="370"/>
      <c r="P126" s="371"/>
      <c r="Q126" s="370"/>
      <c r="R126" s="370"/>
      <c r="S126" s="372"/>
      <c r="T126" s="373"/>
      <c r="U126" s="374"/>
      <c r="V126" s="375"/>
      <c r="W126" s="381"/>
      <c r="X126" s="382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  <c r="CS126" s="29"/>
      <c r="CT126" s="29"/>
      <c r="CU126" s="29"/>
      <c r="CV126" s="29"/>
      <c r="CW126" s="29"/>
    </row>
    <row r="127" spans="1:101" s="6" customFormat="1" ht="15" customHeight="1" x14ac:dyDescent="0.35">
      <c r="A127" s="1"/>
      <c r="B127" s="364" t="s">
        <v>227</v>
      </c>
      <c r="C127" s="365"/>
      <c r="D127" s="366"/>
      <c r="E127" s="367"/>
      <c r="F127" s="368"/>
      <c r="G127" s="264"/>
      <c r="H127" s="265"/>
      <c r="I127" s="265"/>
      <c r="J127" s="265"/>
      <c r="K127" s="265"/>
      <c r="L127" s="265"/>
      <c r="M127" s="266"/>
      <c r="N127" s="369"/>
      <c r="O127" s="370"/>
      <c r="P127" s="371"/>
      <c r="Q127" s="370"/>
      <c r="R127" s="370"/>
      <c r="S127" s="372"/>
      <c r="T127" s="373"/>
      <c r="U127" s="374"/>
      <c r="V127" s="375"/>
      <c r="W127" s="381"/>
      <c r="X127" s="382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  <c r="CF127" s="29"/>
      <c r="CG127" s="29"/>
      <c r="CH127" s="29"/>
      <c r="CI127" s="29"/>
      <c r="CJ127" s="29"/>
      <c r="CK127" s="29"/>
      <c r="CL127" s="29"/>
      <c r="CM127" s="29"/>
      <c r="CN127" s="29"/>
      <c r="CO127" s="29"/>
      <c r="CP127" s="29"/>
      <c r="CQ127" s="29"/>
      <c r="CR127" s="29"/>
      <c r="CS127" s="29"/>
      <c r="CT127" s="29"/>
      <c r="CU127" s="29"/>
      <c r="CV127" s="29"/>
      <c r="CW127" s="29"/>
    </row>
    <row r="128" spans="1:101" s="6" customFormat="1" ht="15" customHeight="1" x14ac:dyDescent="0.35">
      <c r="A128" s="1"/>
      <c r="B128" s="364" t="s">
        <v>228</v>
      </c>
      <c r="C128" s="365"/>
      <c r="D128" s="366"/>
      <c r="E128" s="367"/>
      <c r="F128" s="368"/>
      <c r="G128" s="264"/>
      <c r="H128" s="265"/>
      <c r="I128" s="265"/>
      <c r="J128" s="265"/>
      <c r="K128" s="265"/>
      <c r="L128" s="265"/>
      <c r="M128" s="266"/>
      <c r="N128" s="369"/>
      <c r="O128" s="370"/>
      <c r="P128" s="371"/>
      <c r="Q128" s="370"/>
      <c r="R128" s="370"/>
      <c r="S128" s="372"/>
      <c r="T128" s="373"/>
      <c r="U128" s="374"/>
      <c r="V128" s="375"/>
      <c r="W128" s="381"/>
      <c r="X128" s="382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  <c r="CF128" s="29"/>
      <c r="CG128" s="29"/>
      <c r="CH128" s="29"/>
      <c r="CI128" s="29"/>
      <c r="CJ128" s="29"/>
      <c r="CK128" s="29"/>
      <c r="CL128" s="29"/>
      <c r="CM128" s="29"/>
      <c r="CN128" s="29"/>
      <c r="CO128" s="29"/>
      <c r="CP128" s="29"/>
      <c r="CQ128" s="29"/>
      <c r="CR128" s="29"/>
      <c r="CS128" s="29"/>
      <c r="CT128" s="29"/>
      <c r="CU128" s="29"/>
      <c r="CV128" s="29"/>
      <c r="CW128" s="29"/>
    </row>
    <row r="129" spans="1:108" s="6" customFormat="1" ht="15" customHeight="1" x14ac:dyDescent="0.35">
      <c r="A129" s="1"/>
      <c r="B129" s="364" t="s">
        <v>229</v>
      </c>
      <c r="C129" s="365"/>
      <c r="D129" s="366"/>
      <c r="E129" s="367"/>
      <c r="F129" s="368"/>
      <c r="G129" s="264"/>
      <c r="H129" s="265"/>
      <c r="I129" s="265"/>
      <c r="J129" s="265"/>
      <c r="K129" s="265"/>
      <c r="L129" s="265"/>
      <c r="M129" s="266"/>
      <c r="N129" s="369"/>
      <c r="O129" s="370"/>
      <c r="P129" s="371"/>
      <c r="Q129" s="370"/>
      <c r="R129" s="370"/>
      <c r="S129" s="372"/>
      <c r="T129" s="373"/>
      <c r="U129" s="374"/>
      <c r="V129" s="375"/>
      <c r="W129" s="381"/>
      <c r="X129" s="382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  <c r="CF129" s="29"/>
      <c r="CG129" s="29"/>
      <c r="CH129" s="29"/>
      <c r="CI129" s="29"/>
      <c r="CJ129" s="29"/>
      <c r="CK129" s="29"/>
      <c r="CL129" s="29"/>
      <c r="CM129" s="29"/>
      <c r="CN129" s="29"/>
      <c r="CO129" s="29"/>
      <c r="CP129" s="29"/>
      <c r="CQ129" s="29"/>
      <c r="CR129" s="29"/>
      <c r="CS129" s="29"/>
      <c r="CT129" s="29"/>
      <c r="CU129" s="29"/>
      <c r="CV129" s="29"/>
      <c r="CW129" s="29"/>
    </row>
    <row r="130" spans="1:108" s="6" customFormat="1" ht="15" customHeight="1" x14ac:dyDescent="0.35">
      <c r="A130" s="1"/>
      <c r="B130" s="364" t="s">
        <v>230</v>
      </c>
      <c r="C130" s="365"/>
      <c r="D130" s="366"/>
      <c r="E130" s="367"/>
      <c r="F130" s="368"/>
      <c r="G130" s="264"/>
      <c r="H130" s="265"/>
      <c r="I130" s="265"/>
      <c r="J130" s="265"/>
      <c r="K130" s="265"/>
      <c r="L130" s="265"/>
      <c r="M130" s="266"/>
      <c r="N130" s="369"/>
      <c r="O130" s="370"/>
      <c r="P130" s="371"/>
      <c r="Q130" s="370"/>
      <c r="R130" s="370"/>
      <c r="S130" s="372"/>
      <c r="T130" s="373"/>
      <c r="U130" s="374"/>
      <c r="V130" s="375"/>
      <c r="W130" s="381"/>
      <c r="X130" s="382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  <c r="CF130" s="29"/>
      <c r="CG130" s="29"/>
      <c r="CH130" s="29"/>
      <c r="CI130" s="29"/>
      <c r="CJ130" s="29"/>
      <c r="CK130" s="29"/>
      <c r="CL130" s="29"/>
      <c r="CM130" s="29"/>
      <c r="CN130" s="29"/>
      <c r="CO130" s="29"/>
      <c r="CP130" s="29"/>
      <c r="CQ130" s="29"/>
      <c r="CR130" s="29"/>
      <c r="CS130" s="29"/>
      <c r="CT130" s="29"/>
      <c r="CU130" s="29"/>
      <c r="CV130" s="29"/>
      <c r="CW130" s="29"/>
    </row>
    <row r="131" spans="1:108" s="6" customFormat="1" ht="15" customHeight="1" x14ac:dyDescent="0.35">
      <c r="A131" s="1"/>
      <c r="B131" s="364" t="s">
        <v>231</v>
      </c>
      <c r="C131" s="365"/>
      <c r="D131" s="366"/>
      <c r="E131" s="367"/>
      <c r="F131" s="368"/>
      <c r="G131" s="264"/>
      <c r="H131" s="265"/>
      <c r="I131" s="265"/>
      <c r="J131" s="265"/>
      <c r="K131" s="265"/>
      <c r="L131" s="265"/>
      <c r="M131" s="266"/>
      <c r="N131" s="369"/>
      <c r="O131" s="370"/>
      <c r="P131" s="371"/>
      <c r="Q131" s="370"/>
      <c r="R131" s="370"/>
      <c r="S131" s="372"/>
      <c r="T131" s="373"/>
      <c r="U131" s="374"/>
      <c r="V131" s="375"/>
      <c r="W131" s="381"/>
      <c r="X131" s="382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  <c r="CF131" s="29"/>
      <c r="CG131" s="29"/>
      <c r="CH131" s="29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  <c r="CW131" s="29"/>
    </row>
    <row r="132" spans="1:108" s="6" customFormat="1" ht="15" customHeight="1" x14ac:dyDescent="0.35">
      <c r="A132" s="1"/>
      <c r="B132" s="364" t="s">
        <v>232</v>
      </c>
      <c r="C132" s="365"/>
      <c r="D132" s="366"/>
      <c r="E132" s="367"/>
      <c r="F132" s="368"/>
      <c r="G132" s="264"/>
      <c r="H132" s="265"/>
      <c r="I132" s="265"/>
      <c r="J132" s="265"/>
      <c r="K132" s="265"/>
      <c r="L132" s="265"/>
      <c r="M132" s="266"/>
      <c r="N132" s="369"/>
      <c r="O132" s="370"/>
      <c r="P132" s="371"/>
      <c r="Q132" s="370"/>
      <c r="R132" s="370"/>
      <c r="S132" s="372"/>
      <c r="T132" s="373"/>
      <c r="U132" s="374"/>
      <c r="V132" s="375"/>
      <c r="W132" s="381"/>
      <c r="X132" s="382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  <c r="CF132" s="29"/>
      <c r="CG132" s="29"/>
      <c r="CH132" s="29"/>
      <c r="CI132" s="29"/>
      <c r="CJ132" s="29"/>
      <c r="CK132" s="29"/>
      <c r="CL132" s="29"/>
      <c r="CM132" s="29"/>
      <c r="CN132" s="29"/>
      <c r="CO132" s="29"/>
      <c r="CP132" s="29"/>
      <c r="CQ132" s="29"/>
      <c r="CR132" s="29"/>
      <c r="CS132" s="29"/>
      <c r="CT132" s="29"/>
      <c r="CU132" s="29"/>
      <c r="CV132" s="29"/>
      <c r="CW132" s="29"/>
    </row>
    <row r="133" spans="1:108" s="6" customFormat="1" ht="15" customHeight="1" x14ac:dyDescent="0.35">
      <c r="A133" s="1"/>
      <c r="B133" s="364" t="s">
        <v>233</v>
      </c>
      <c r="C133" s="365"/>
      <c r="D133" s="366"/>
      <c r="E133" s="367"/>
      <c r="F133" s="368"/>
      <c r="G133" s="264"/>
      <c r="H133" s="265"/>
      <c r="I133" s="265"/>
      <c r="J133" s="265"/>
      <c r="K133" s="265"/>
      <c r="L133" s="265"/>
      <c r="M133" s="266"/>
      <c r="N133" s="369"/>
      <c r="O133" s="370"/>
      <c r="P133" s="371"/>
      <c r="Q133" s="370"/>
      <c r="R133" s="370"/>
      <c r="S133" s="372"/>
      <c r="T133" s="373"/>
      <c r="U133" s="374"/>
      <c r="V133" s="375"/>
      <c r="W133" s="381"/>
      <c r="X133" s="382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  <c r="CF133" s="29"/>
      <c r="CG133" s="29"/>
      <c r="CH133" s="29"/>
      <c r="CI133" s="29"/>
      <c r="CJ133" s="29"/>
      <c r="CK133" s="29"/>
      <c r="CL133" s="29"/>
      <c r="CM133" s="29"/>
      <c r="CN133" s="29"/>
      <c r="CO133" s="29"/>
      <c r="CP133" s="29"/>
      <c r="CQ133" s="29"/>
      <c r="CR133" s="29"/>
      <c r="CS133" s="29"/>
      <c r="CT133" s="29"/>
      <c r="CU133" s="29"/>
      <c r="CV133" s="29"/>
      <c r="CW133" s="29"/>
    </row>
    <row r="134" spans="1:108" s="6" customFormat="1" ht="15" customHeight="1" x14ac:dyDescent="0.35">
      <c r="A134" s="1"/>
      <c r="B134" s="364" t="s">
        <v>234</v>
      </c>
      <c r="C134" s="365"/>
      <c r="D134" s="366"/>
      <c r="E134" s="367"/>
      <c r="F134" s="368"/>
      <c r="G134" s="264"/>
      <c r="H134" s="265"/>
      <c r="I134" s="265"/>
      <c r="J134" s="265"/>
      <c r="K134" s="265"/>
      <c r="L134" s="265"/>
      <c r="M134" s="266"/>
      <c r="N134" s="369"/>
      <c r="O134" s="370"/>
      <c r="P134" s="371"/>
      <c r="Q134" s="370"/>
      <c r="R134" s="370"/>
      <c r="S134" s="372"/>
      <c r="T134" s="373"/>
      <c r="U134" s="374"/>
      <c r="V134" s="375"/>
      <c r="W134" s="381"/>
      <c r="X134" s="382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  <c r="CF134" s="29"/>
      <c r="CG134" s="29"/>
      <c r="CH134" s="29"/>
      <c r="CI134" s="29"/>
      <c r="CJ134" s="29"/>
      <c r="CK134" s="29"/>
      <c r="CL134" s="29"/>
      <c r="CM134" s="29"/>
      <c r="CN134" s="29"/>
      <c r="CO134" s="29"/>
      <c r="CP134" s="29"/>
      <c r="CQ134" s="29"/>
      <c r="CR134" s="29"/>
      <c r="CS134" s="29"/>
      <c r="CT134" s="29"/>
      <c r="CU134" s="29"/>
      <c r="CV134" s="29"/>
      <c r="CW134" s="29"/>
    </row>
    <row r="135" spans="1:108" s="6" customFormat="1" ht="15" customHeight="1" x14ac:dyDescent="0.35">
      <c r="A135" s="1"/>
      <c r="B135" s="364" t="s">
        <v>235</v>
      </c>
      <c r="C135" s="365"/>
      <c r="D135" s="366"/>
      <c r="E135" s="367"/>
      <c r="F135" s="368"/>
      <c r="G135" s="264"/>
      <c r="H135" s="265"/>
      <c r="I135" s="265"/>
      <c r="J135" s="265"/>
      <c r="K135" s="265"/>
      <c r="L135" s="265"/>
      <c r="M135" s="266"/>
      <c r="N135" s="369"/>
      <c r="O135" s="370"/>
      <c r="P135" s="371"/>
      <c r="Q135" s="370"/>
      <c r="R135" s="370"/>
      <c r="S135" s="372"/>
      <c r="T135" s="373"/>
      <c r="U135" s="374"/>
      <c r="V135" s="375"/>
      <c r="W135" s="381"/>
      <c r="X135" s="382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  <c r="CF135" s="29"/>
      <c r="CG135" s="29"/>
      <c r="CH135" s="29"/>
      <c r="CI135" s="29"/>
      <c r="CJ135" s="29"/>
      <c r="CK135" s="29"/>
      <c r="CL135" s="29"/>
      <c r="CM135" s="29"/>
      <c r="CN135" s="29"/>
      <c r="CO135" s="29"/>
      <c r="CP135" s="29"/>
      <c r="CQ135" s="29"/>
      <c r="CR135" s="29"/>
      <c r="CS135" s="29"/>
      <c r="CT135" s="29"/>
      <c r="CU135" s="29"/>
      <c r="CV135" s="29"/>
      <c r="CW135" s="29"/>
    </row>
    <row r="136" spans="1:108" ht="15" customHeight="1" x14ac:dyDescent="0.35">
      <c r="B136" s="267" t="s">
        <v>236</v>
      </c>
      <c r="C136" s="268"/>
      <c r="D136" s="269"/>
      <c r="E136" s="270"/>
      <c r="F136" s="271"/>
      <c r="G136" s="272"/>
      <c r="H136" s="273"/>
      <c r="I136" s="273"/>
      <c r="J136" s="273"/>
      <c r="K136" s="273"/>
      <c r="L136" s="273"/>
      <c r="M136" s="274"/>
      <c r="N136" s="275"/>
      <c r="O136" s="276"/>
      <c r="P136" s="277"/>
      <c r="Q136" s="276"/>
      <c r="R136" s="276"/>
      <c r="S136" s="278"/>
      <c r="T136" s="279"/>
      <c r="U136" s="280"/>
      <c r="V136" s="317"/>
      <c r="W136" s="320">
        <f t="shared" ref="W136:W140" si="2">Q136*-3+T136*-1+V136*-1</f>
        <v>0</v>
      </c>
      <c r="X136" s="323"/>
      <c r="Y136" s="29"/>
      <c r="CX136" s="1"/>
      <c r="CY136" s="1"/>
      <c r="CZ136" s="1"/>
      <c r="DA136" s="1"/>
      <c r="DB136" s="1"/>
      <c r="DC136" s="1"/>
      <c r="DD136" s="1"/>
    </row>
    <row r="137" spans="1:108" ht="15" customHeight="1" x14ac:dyDescent="0.35">
      <c r="B137" s="267" t="s">
        <v>237</v>
      </c>
      <c r="C137" s="268"/>
      <c r="D137" s="269"/>
      <c r="E137" s="270"/>
      <c r="F137" s="271"/>
      <c r="G137" s="272"/>
      <c r="H137" s="273"/>
      <c r="I137" s="273"/>
      <c r="J137" s="273"/>
      <c r="K137" s="273"/>
      <c r="L137" s="273"/>
      <c r="M137" s="274"/>
      <c r="N137" s="275"/>
      <c r="O137" s="276"/>
      <c r="P137" s="277"/>
      <c r="Q137" s="276"/>
      <c r="R137" s="276"/>
      <c r="S137" s="278"/>
      <c r="T137" s="279"/>
      <c r="U137" s="280"/>
      <c r="V137" s="317"/>
      <c r="W137" s="320">
        <f t="shared" si="2"/>
        <v>0</v>
      </c>
      <c r="X137" s="323"/>
      <c r="Y137" s="29"/>
      <c r="CX137" s="1"/>
      <c r="CY137" s="1"/>
      <c r="CZ137" s="1"/>
      <c r="DA137" s="1"/>
      <c r="DB137" s="1"/>
      <c r="DC137" s="1"/>
      <c r="DD137" s="1"/>
    </row>
    <row r="138" spans="1:108" ht="15" customHeight="1" x14ac:dyDescent="0.35">
      <c r="B138" s="267" t="s">
        <v>238</v>
      </c>
      <c r="C138" s="268"/>
      <c r="D138" s="269"/>
      <c r="E138" s="270"/>
      <c r="F138" s="271"/>
      <c r="G138" s="272"/>
      <c r="H138" s="273"/>
      <c r="I138" s="273"/>
      <c r="J138" s="273"/>
      <c r="K138" s="273"/>
      <c r="L138" s="273"/>
      <c r="M138" s="274"/>
      <c r="N138" s="275"/>
      <c r="O138" s="276"/>
      <c r="P138" s="277"/>
      <c r="Q138" s="276"/>
      <c r="R138" s="276"/>
      <c r="S138" s="278"/>
      <c r="T138" s="279"/>
      <c r="U138" s="280"/>
      <c r="V138" s="317"/>
      <c r="W138" s="320">
        <f t="shared" si="2"/>
        <v>0</v>
      </c>
      <c r="X138" s="323"/>
      <c r="Y138" s="29"/>
      <c r="CX138" s="1"/>
      <c r="CY138" s="1"/>
      <c r="CZ138" s="1"/>
      <c r="DA138" s="1"/>
      <c r="DB138" s="1"/>
      <c r="DC138" s="1"/>
      <c r="DD138" s="1"/>
    </row>
    <row r="139" spans="1:108" ht="15" customHeight="1" x14ac:dyDescent="0.35">
      <c r="B139" s="267" t="s">
        <v>239</v>
      </c>
      <c r="C139" s="268"/>
      <c r="D139" s="269"/>
      <c r="E139" s="270"/>
      <c r="F139" s="271"/>
      <c r="G139" s="272"/>
      <c r="H139" s="273"/>
      <c r="I139" s="273"/>
      <c r="J139" s="273"/>
      <c r="K139" s="273"/>
      <c r="L139" s="273"/>
      <c r="M139" s="274"/>
      <c r="N139" s="275"/>
      <c r="O139" s="276"/>
      <c r="P139" s="277"/>
      <c r="Q139" s="276"/>
      <c r="R139" s="276"/>
      <c r="S139" s="278"/>
      <c r="T139" s="279"/>
      <c r="U139" s="280"/>
      <c r="V139" s="317"/>
      <c r="W139" s="320">
        <f t="shared" si="2"/>
        <v>0</v>
      </c>
      <c r="X139" s="323"/>
      <c r="Y139" s="29"/>
      <c r="CX139" s="1"/>
      <c r="CY139" s="1"/>
      <c r="CZ139" s="1"/>
      <c r="DA139" s="1"/>
      <c r="DB139" s="1"/>
      <c r="DC139" s="1"/>
      <c r="DD139" s="1"/>
    </row>
    <row r="140" spans="1:108" ht="15" customHeight="1" thickBot="1" x14ac:dyDescent="0.4">
      <c r="B140" s="282" t="s">
        <v>240</v>
      </c>
      <c r="C140" s="283"/>
      <c r="D140" s="284"/>
      <c r="E140" s="285"/>
      <c r="F140" s="286"/>
      <c r="G140" s="287"/>
      <c r="H140" s="288"/>
      <c r="I140" s="288"/>
      <c r="J140" s="288"/>
      <c r="K140" s="288"/>
      <c r="L140" s="288"/>
      <c r="M140" s="289"/>
      <c r="N140" s="290"/>
      <c r="O140" s="291"/>
      <c r="P140" s="292"/>
      <c r="Q140" s="291"/>
      <c r="R140" s="291"/>
      <c r="S140" s="293"/>
      <c r="T140" s="294"/>
      <c r="U140" s="295"/>
      <c r="V140" s="318"/>
      <c r="W140" s="320">
        <f t="shared" si="2"/>
        <v>0</v>
      </c>
      <c r="X140" s="324"/>
      <c r="Y140" s="29"/>
      <c r="CX140" s="1"/>
      <c r="CY140" s="1"/>
      <c r="CZ140" s="1"/>
      <c r="DA140" s="1"/>
      <c r="DB140" s="1"/>
      <c r="DC140" s="1"/>
      <c r="DD140" s="1"/>
    </row>
    <row r="141" spans="1:108" ht="15" customHeight="1" thickBot="1" x14ac:dyDescent="0.25">
      <c r="B141" s="171"/>
      <c r="C141" s="241"/>
      <c r="D141" s="250"/>
      <c r="E141" s="251"/>
      <c r="F141" s="252"/>
      <c r="G141" s="255"/>
      <c r="H141" s="245"/>
      <c r="I141" s="245"/>
      <c r="J141" s="245"/>
      <c r="K141" s="245"/>
      <c r="L141" s="245"/>
      <c r="M141" s="246"/>
      <c r="N141" s="257"/>
      <c r="O141" s="192">
        <f>SUM(O101:O140)</f>
        <v>0</v>
      </c>
      <c r="P141" s="191" t="e">
        <f>AVERAGE(P101:P140)</f>
        <v>#DIV/0!</v>
      </c>
      <c r="Q141" s="191"/>
      <c r="R141" s="192">
        <f>SUM(R101:R140)</f>
        <v>0</v>
      </c>
      <c r="S141" s="191" t="e">
        <f>AVERAGE(S101:S140)</f>
        <v>#DIV/0!</v>
      </c>
      <c r="T141" s="191"/>
      <c r="U141" s="253" t="e">
        <f>AVERAGE(U101:U140)</f>
        <v>#DIV/0!</v>
      </c>
      <c r="V141" s="303"/>
      <c r="W141" s="257"/>
      <c r="X141" s="193"/>
      <c r="CX141" s="1"/>
      <c r="CY141" s="1"/>
      <c r="CZ141" s="1"/>
      <c r="DA141" s="1"/>
      <c r="DB141" s="1"/>
      <c r="DC141" s="1"/>
      <c r="DD141" s="1"/>
    </row>
    <row r="142" spans="1:108" ht="15" customHeight="1" x14ac:dyDescent="0.2">
      <c r="B142" s="15"/>
      <c r="C142" s="15"/>
      <c r="D142" s="15"/>
      <c r="E142" s="15"/>
      <c r="F142" s="15"/>
      <c r="G142" s="15"/>
      <c r="H142" s="175"/>
      <c r="I142" s="175"/>
      <c r="J142" s="175"/>
      <c r="K142" s="175"/>
      <c r="L142" s="175"/>
      <c r="M142" s="175"/>
      <c r="N142" s="175"/>
      <c r="O142" s="175"/>
      <c r="P142" s="175"/>
      <c r="Q142" s="175"/>
      <c r="R142" s="175"/>
      <c r="S142" s="175"/>
      <c r="T142" s="175"/>
      <c r="U142" s="175"/>
      <c r="V142" s="175"/>
      <c r="W142" s="175"/>
      <c r="X142" s="175"/>
    </row>
    <row r="143" spans="1:108" ht="15" customHeight="1" x14ac:dyDescent="0.2">
      <c r="B143" s="15"/>
      <c r="C143" s="15"/>
      <c r="D143" s="15"/>
      <c r="E143" s="15"/>
      <c r="F143" s="15"/>
      <c r="G143" s="15"/>
      <c r="H143" s="175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/>
      <c r="S143" s="175"/>
      <c r="T143" s="175"/>
      <c r="U143" s="175"/>
      <c r="V143" s="175"/>
      <c r="W143" s="175"/>
      <c r="X143" s="175"/>
    </row>
    <row r="144" spans="1:108" ht="15" customHeight="1" x14ac:dyDescent="0.2">
      <c r="B144" s="15"/>
      <c r="C144" s="15"/>
      <c r="D144" s="15"/>
      <c r="E144" s="15"/>
      <c r="F144" s="15"/>
      <c r="G144" s="15"/>
      <c r="H144" s="175"/>
      <c r="I144" s="175"/>
      <c r="J144" s="175"/>
      <c r="K144" s="175"/>
      <c r="L144" s="175"/>
      <c r="M144" s="175"/>
      <c r="N144" s="175"/>
      <c r="O144" s="175"/>
      <c r="P144" s="175"/>
      <c r="Q144" s="175"/>
      <c r="R144" s="175"/>
      <c r="S144" s="175"/>
      <c r="T144" s="175"/>
      <c r="U144" s="175"/>
      <c r="V144" s="175"/>
      <c r="W144" s="175"/>
      <c r="X144" s="175"/>
    </row>
    <row r="145" spans="2:108" ht="15" customHeight="1" x14ac:dyDescent="0.2"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</row>
    <row r="146" spans="2:108" ht="11.25" customHeight="1" thickBot="1" x14ac:dyDescent="0.25">
      <c r="B146" s="17" t="s">
        <v>97</v>
      </c>
      <c r="C146" s="17"/>
    </row>
    <row r="147" spans="2:108" ht="15.75" customHeight="1" thickBot="1" x14ac:dyDescent="0.25">
      <c r="B147" s="385" t="s">
        <v>1</v>
      </c>
      <c r="C147" s="387" t="s">
        <v>77</v>
      </c>
      <c r="D147" s="389" t="s">
        <v>2</v>
      </c>
      <c r="E147" s="385" t="s">
        <v>3</v>
      </c>
      <c r="F147" s="391" t="s">
        <v>111</v>
      </c>
      <c r="G147" s="213"/>
      <c r="H147" s="254" t="s">
        <v>5</v>
      </c>
      <c r="I147" s="254"/>
      <c r="J147" s="254"/>
      <c r="K147" s="254"/>
      <c r="L147" s="254"/>
      <c r="M147" s="254"/>
      <c r="N147" s="247" t="s">
        <v>6</v>
      </c>
      <c r="O147" s="248"/>
      <c r="P147" s="248"/>
      <c r="Q147" s="248"/>
      <c r="R147" s="248"/>
      <c r="S147" s="248"/>
      <c r="T147" s="248"/>
      <c r="U147" s="248"/>
      <c r="V147" s="248"/>
      <c r="W147" s="249"/>
      <c r="X147" s="249"/>
      <c r="CX147" s="1"/>
      <c r="CY147" s="1"/>
      <c r="CZ147" s="1"/>
      <c r="DA147" s="1"/>
      <c r="DB147" s="1"/>
      <c r="DC147" s="1"/>
      <c r="DD147" s="1"/>
    </row>
    <row r="148" spans="2:108" ht="30.75" customHeight="1" thickBot="1" x14ac:dyDescent="0.25">
      <c r="B148" s="386"/>
      <c r="C148" s="388"/>
      <c r="D148" s="390"/>
      <c r="E148" s="386"/>
      <c r="F148" s="392"/>
      <c r="G148" s="256" t="s">
        <v>140</v>
      </c>
      <c r="H148" s="153" t="s">
        <v>141</v>
      </c>
      <c r="I148" s="153" t="s">
        <v>142</v>
      </c>
      <c r="J148" s="153" t="s">
        <v>143</v>
      </c>
      <c r="K148" s="153" t="s">
        <v>164</v>
      </c>
      <c r="L148" s="153" t="s">
        <v>166</v>
      </c>
      <c r="M148" s="258" t="s">
        <v>168</v>
      </c>
      <c r="N148" s="304" t="s">
        <v>106</v>
      </c>
      <c r="O148" s="207" t="s">
        <v>18</v>
      </c>
      <c r="P148" s="207" t="s">
        <v>19</v>
      </c>
      <c r="Q148" s="207" t="s">
        <v>110</v>
      </c>
      <c r="R148" s="207" t="s">
        <v>20</v>
      </c>
      <c r="S148" s="305" t="s">
        <v>21</v>
      </c>
      <c r="T148" s="305" t="s">
        <v>109</v>
      </c>
      <c r="U148" s="306" t="s">
        <v>22</v>
      </c>
      <c r="V148" s="315" t="s">
        <v>110</v>
      </c>
      <c r="W148" s="304" t="s">
        <v>3</v>
      </c>
      <c r="X148" s="307" t="s">
        <v>133</v>
      </c>
      <c r="CX148" s="1"/>
      <c r="CY148" s="1"/>
      <c r="CZ148" s="1"/>
      <c r="DA148" s="1"/>
      <c r="DB148" s="1"/>
      <c r="DC148" s="1"/>
      <c r="DD148" s="1"/>
    </row>
    <row r="149" spans="2:108" ht="14.25" customHeight="1" x14ac:dyDescent="0.35">
      <c r="B149" s="259" t="s">
        <v>241</v>
      </c>
      <c r="C149" s="260"/>
      <c r="D149" s="261"/>
      <c r="E149" s="262"/>
      <c r="F149" s="263"/>
      <c r="G149" s="264"/>
      <c r="H149" s="265"/>
      <c r="I149" s="265"/>
      <c r="J149" s="265"/>
      <c r="K149" s="265"/>
      <c r="L149" s="265"/>
      <c r="M149" s="266"/>
      <c r="N149" s="308"/>
      <c r="O149" s="309"/>
      <c r="P149" s="310"/>
      <c r="Q149" s="309"/>
      <c r="R149" s="309"/>
      <c r="S149" s="311"/>
      <c r="T149" s="312"/>
      <c r="U149" s="313"/>
      <c r="V149" s="316"/>
      <c r="W149" s="319">
        <f>Q149*-3+T149*-1+V149*-1</f>
        <v>0</v>
      </c>
      <c r="X149" s="322"/>
      <c r="CX149" s="1"/>
      <c r="CY149" s="1"/>
      <c r="CZ149" s="1"/>
      <c r="DA149" s="1"/>
      <c r="DB149" s="1"/>
      <c r="DC149" s="1"/>
      <c r="DD149" s="1"/>
    </row>
    <row r="150" spans="2:108" ht="14.25" customHeight="1" x14ac:dyDescent="0.35">
      <c r="B150" s="364" t="s">
        <v>207</v>
      </c>
      <c r="C150" s="365"/>
      <c r="D150" s="366"/>
      <c r="E150" s="367"/>
      <c r="F150" s="368"/>
      <c r="G150" s="264"/>
      <c r="H150" s="265"/>
      <c r="I150" s="265"/>
      <c r="J150" s="265"/>
      <c r="K150" s="265"/>
      <c r="L150" s="265"/>
      <c r="M150" s="266"/>
      <c r="N150" s="369"/>
      <c r="O150" s="370"/>
      <c r="P150" s="371"/>
      <c r="Q150" s="370"/>
      <c r="R150" s="370"/>
      <c r="S150" s="372"/>
      <c r="T150" s="373"/>
      <c r="U150" s="374"/>
      <c r="V150" s="375"/>
      <c r="W150" s="381"/>
      <c r="X150" s="382"/>
      <c r="CX150" s="1"/>
      <c r="CY150" s="1"/>
      <c r="CZ150" s="1"/>
      <c r="DA150" s="1"/>
      <c r="DB150" s="1"/>
      <c r="DC150" s="1"/>
      <c r="DD150" s="1"/>
    </row>
    <row r="151" spans="2:108" ht="14.25" customHeight="1" x14ac:dyDescent="0.35">
      <c r="B151" s="364" t="s">
        <v>209</v>
      </c>
      <c r="C151" s="365"/>
      <c r="D151" s="366"/>
      <c r="E151" s="367"/>
      <c r="F151" s="368"/>
      <c r="G151" s="264"/>
      <c r="H151" s="265"/>
      <c r="I151" s="265"/>
      <c r="J151" s="265"/>
      <c r="K151" s="265"/>
      <c r="L151" s="265"/>
      <c r="M151" s="266"/>
      <c r="N151" s="369"/>
      <c r="O151" s="370"/>
      <c r="P151" s="371"/>
      <c r="Q151" s="370"/>
      <c r="R151" s="370"/>
      <c r="S151" s="372"/>
      <c r="T151" s="373"/>
      <c r="U151" s="374"/>
      <c r="V151" s="375"/>
      <c r="W151" s="381"/>
      <c r="X151" s="382"/>
      <c r="CX151" s="1"/>
      <c r="CY151" s="1"/>
      <c r="CZ151" s="1"/>
      <c r="DA151" s="1"/>
      <c r="DB151" s="1"/>
      <c r="DC151" s="1"/>
      <c r="DD151" s="1"/>
    </row>
    <row r="152" spans="2:108" ht="14.25" customHeight="1" x14ac:dyDescent="0.35">
      <c r="B152" s="364" t="s">
        <v>91</v>
      </c>
      <c r="C152" s="365"/>
      <c r="D152" s="366"/>
      <c r="E152" s="367"/>
      <c r="F152" s="368"/>
      <c r="G152" s="264"/>
      <c r="H152" s="265"/>
      <c r="I152" s="265"/>
      <c r="J152" s="265"/>
      <c r="K152" s="265"/>
      <c r="L152" s="265"/>
      <c r="M152" s="266"/>
      <c r="N152" s="369"/>
      <c r="O152" s="370"/>
      <c r="P152" s="371"/>
      <c r="Q152" s="370"/>
      <c r="R152" s="370"/>
      <c r="S152" s="372"/>
      <c r="T152" s="373"/>
      <c r="U152" s="374"/>
      <c r="V152" s="375"/>
      <c r="W152" s="381"/>
      <c r="X152" s="382"/>
      <c r="CX152" s="1"/>
      <c r="CY152" s="1"/>
      <c r="CZ152" s="1"/>
      <c r="DA152" s="1"/>
      <c r="DB152" s="1"/>
      <c r="DC152" s="1"/>
      <c r="DD152" s="1"/>
    </row>
    <row r="153" spans="2:108" ht="14.25" customHeight="1" x14ac:dyDescent="0.35">
      <c r="B153" s="364" t="s">
        <v>92</v>
      </c>
      <c r="C153" s="365"/>
      <c r="D153" s="366"/>
      <c r="E153" s="367"/>
      <c r="F153" s="368"/>
      <c r="G153" s="264"/>
      <c r="H153" s="265"/>
      <c r="I153" s="265"/>
      <c r="J153" s="265"/>
      <c r="K153" s="265"/>
      <c r="L153" s="265"/>
      <c r="M153" s="266"/>
      <c r="N153" s="369"/>
      <c r="O153" s="370"/>
      <c r="P153" s="371"/>
      <c r="Q153" s="370"/>
      <c r="R153" s="370"/>
      <c r="S153" s="372"/>
      <c r="T153" s="373"/>
      <c r="U153" s="374"/>
      <c r="V153" s="375"/>
      <c r="W153" s="381"/>
      <c r="X153" s="382"/>
      <c r="CX153" s="1"/>
      <c r="CY153" s="1"/>
      <c r="CZ153" s="1"/>
      <c r="DA153" s="1"/>
      <c r="DB153" s="1"/>
      <c r="DC153" s="1"/>
      <c r="DD153" s="1"/>
    </row>
    <row r="154" spans="2:108" ht="14.25" customHeight="1" x14ac:dyDescent="0.35">
      <c r="B154" s="364" t="s">
        <v>93</v>
      </c>
      <c r="C154" s="365"/>
      <c r="D154" s="366"/>
      <c r="E154" s="367"/>
      <c r="F154" s="368"/>
      <c r="G154" s="264"/>
      <c r="H154" s="265"/>
      <c r="I154" s="265"/>
      <c r="J154" s="265"/>
      <c r="K154" s="265"/>
      <c r="L154" s="265"/>
      <c r="M154" s="266"/>
      <c r="N154" s="369"/>
      <c r="O154" s="370"/>
      <c r="P154" s="371"/>
      <c r="Q154" s="370"/>
      <c r="R154" s="370"/>
      <c r="S154" s="372"/>
      <c r="T154" s="373"/>
      <c r="U154" s="374"/>
      <c r="V154" s="375"/>
      <c r="W154" s="381"/>
      <c r="X154" s="382"/>
      <c r="CX154" s="1"/>
      <c r="CY154" s="1"/>
      <c r="CZ154" s="1"/>
      <c r="DA154" s="1"/>
      <c r="DB154" s="1"/>
      <c r="DC154" s="1"/>
      <c r="DD154" s="1"/>
    </row>
    <row r="155" spans="2:108" ht="14.25" customHeight="1" x14ac:dyDescent="0.35">
      <c r="B155" s="364" t="s">
        <v>94</v>
      </c>
      <c r="C155" s="365"/>
      <c r="D155" s="366"/>
      <c r="E155" s="367"/>
      <c r="F155" s="368"/>
      <c r="G155" s="264"/>
      <c r="H155" s="265"/>
      <c r="I155" s="265"/>
      <c r="J155" s="265"/>
      <c r="K155" s="265"/>
      <c r="L155" s="265"/>
      <c r="M155" s="266"/>
      <c r="N155" s="369"/>
      <c r="O155" s="370"/>
      <c r="P155" s="371"/>
      <c r="Q155" s="370"/>
      <c r="R155" s="370"/>
      <c r="S155" s="372"/>
      <c r="T155" s="373"/>
      <c r="U155" s="374"/>
      <c r="V155" s="375"/>
      <c r="W155" s="381"/>
      <c r="X155" s="382"/>
      <c r="CX155" s="1"/>
      <c r="CY155" s="1"/>
      <c r="CZ155" s="1"/>
      <c r="DA155" s="1"/>
      <c r="DB155" s="1"/>
      <c r="DC155" s="1"/>
      <c r="DD155" s="1"/>
    </row>
    <row r="156" spans="2:108" ht="14.25" customHeight="1" x14ac:dyDescent="0.35">
      <c r="B156" s="364" t="s">
        <v>95</v>
      </c>
      <c r="C156" s="365"/>
      <c r="D156" s="366"/>
      <c r="E156" s="367"/>
      <c r="F156" s="368"/>
      <c r="G156" s="264"/>
      <c r="H156" s="265"/>
      <c r="I156" s="265"/>
      <c r="J156" s="265"/>
      <c r="K156" s="265"/>
      <c r="L156" s="265"/>
      <c r="M156" s="266"/>
      <c r="N156" s="369"/>
      <c r="O156" s="370"/>
      <c r="P156" s="371"/>
      <c r="Q156" s="370"/>
      <c r="R156" s="370"/>
      <c r="S156" s="372"/>
      <c r="T156" s="373"/>
      <c r="U156" s="374"/>
      <c r="V156" s="375"/>
      <c r="W156" s="381"/>
      <c r="X156" s="382"/>
      <c r="CX156" s="1"/>
      <c r="CY156" s="1"/>
      <c r="CZ156" s="1"/>
      <c r="DA156" s="1"/>
      <c r="DB156" s="1"/>
      <c r="DC156" s="1"/>
      <c r="DD156" s="1"/>
    </row>
    <row r="157" spans="2:108" ht="14.25" customHeight="1" x14ac:dyDescent="0.35">
      <c r="B157" s="364" t="s">
        <v>96</v>
      </c>
      <c r="C157" s="365"/>
      <c r="D157" s="366"/>
      <c r="E157" s="367"/>
      <c r="F157" s="368"/>
      <c r="G157" s="264"/>
      <c r="H157" s="265"/>
      <c r="I157" s="265"/>
      <c r="J157" s="265"/>
      <c r="K157" s="265"/>
      <c r="L157" s="265"/>
      <c r="M157" s="266"/>
      <c r="N157" s="369"/>
      <c r="O157" s="370"/>
      <c r="P157" s="371"/>
      <c r="Q157" s="370"/>
      <c r="R157" s="370"/>
      <c r="S157" s="372"/>
      <c r="T157" s="373"/>
      <c r="U157" s="374"/>
      <c r="V157" s="375"/>
      <c r="W157" s="381"/>
      <c r="X157" s="382"/>
      <c r="CX157" s="1"/>
      <c r="CY157" s="1"/>
      <c r="CZ157" s="1"/>
      <c r="DA157" s="1"/>
      <c r="DB157" s="1"/>
      <c r="DC157" s="1"/>
      <c r="DD157" s="1"/>
    </row>
    <row r="158" spans="2:108" ht="14.25" customHeight="1" x14ac:dyDescent="0.35">
      <c r="B158" s="364" t="s">
        <v>210</v>
      </c>
      <c r="C158" s="365"/>
      <c r="D158" s="366"/>
      <c r="E158" s="367"/>
      <c r="F158" s="368"/>
      <c r="G158" s="264"/>
      <c r="H158" s="265"/>
      <c r="I158" s="265"/>
      <c r="J158" s="265"/>
      <c r="K158" s="265"/>
      <c r="L158" s="265"/>
      <c r="M158" s="266"/>
      <c r="N158" s="369"/>
      <c r="O158" s="370"/>
      <c r="P158" s="371"/>
      <c r="Q158" s="370"/>
      <c r="R158" s="370"/>
      <c r="S158" s="372"/>
      <c r="T158" s="373"/>
      <c r="U158" s="374"/>
      <c r="V158" s="375"/>
      <c r="W158" s="381"/>
      <c r="X158" s="382"/>
      <c r="CX158" s="1"/>
      <c r="CY158" s="1"/>
      <c r="CZ158" s="1"/>
      <c r="DA158" s="1"/>
      <c r="DB158" s="1"/>
      <c r="DC158" s="1"/>
      <c r="DD158" s="1"/>
    </row>
    <row r="159" spans="2:108" ht="14.25" customHeight="1" x14ac:dyDescent="0.35">
      <c r="B159" s="364" t="s">
        <v>211</v>
      </c>
      <c r="C159" s="365"/>
      <c r="D159" s="366"/>
      <c r="E159" s="367"/>
      <c r="F159" s="368"/>
      <c r="G159" s="264"/>
      <c r="H159" s="265"/>
      <c r="I159" s="265"/>
      <c r="J159" s="265"/>
      <c r="K159" s="265"/>
      <c r="L159" s="265"/>
      <c r="M159" s="266"/>
      <c r="N159" s="369"/>
      <c r="O159" s="370"/>
      <c r="P159" s="371"/>
      <c r="Q159" s="370"/>
      <c r="R159" s="370"/>
      <c r="S159" s="372"/>
      <c r="T159" s="373"/>
      <c r="U159" s="374"/>
      <c r="V159" s="375"/>
      <c r="W159" s="381"/>
      <c r="X159" s="382"/>
      <c r="CX159" s="1"/>
      <c r="CY159" s="1"/>
      <c r="CZ159" s="1"/>
      <c r="DA159" s="1"/>
      <c r="DB159" s="1"/>
      <c r="DC159" s="1"/>
      <c r="DD159" s="1"/>
    </row>
    <row r="160" spans="2:108" ht="14.25" customHeight="1" x14ac:dyDescent="0.35">
      <c r="B160" s="364" t="s">
        <v>212</v>
      </c>
      <c r="C160" s="365"/>
      <c r="D160" s="366"/>
      <c r="E160" s="367"/>
      <c r="F160" s="368"/>
      <c r="G160" s="264"/>
      <c r="H160" s="265"/>
      <c r="I160" s="265"/>
      <c r="J160" s="265"/>
      <c r="K160" s="265"/>
      <c r="L160" s="265"/>
      <c r="M160" s="266"/>
      <c r="N160" s="369"/>
      <c r="O160" s="370"/>
      <c r="P160" s="371"/>
      <c r="Q160" s="370"/>
      <c r="R160" s="370"/>
      <c r="S160" s="372"/>
      <c r="T160" s="373"/>
      <c r="U160" s="374"/>
      <c r="V160" s="375"/>
      <c r="W160" s="381"/>
      <c r="X160" s="382"/>
      <c r="CX160" s="1"/>
      <c r="CY160" s="1"/>
      <c r="CZ160" s="1"/>
      <c r="DA160" s="1"/>
      <c r="DB160" s="1"/>
      <c r="DC160" s="1"/>
      <c r="DD160" s="1"/>
    </row>
    <row r="161" spans="2:108" ht="14.25" customHeight="1" x14ac:dyDescent="0.35">
      <c r="B161" s="364" t="s">
        <v>213</v>
      </c>
      <c r="C161" s="365"/>
      <c r="D161" s="366"/>
      <c r="E161" s="367"/>
      <c r="F161" s="368"/>
      <c r="G161" s="264"/>
      <c r="H161" s="265"/>
      <c r="I161" s="265"/>
      <c r="J161" s="265"/>
      <c r="K161" s="265"/>
      <c r="L161" s="265"/>
      <c r="M161" s="266"/>
      <c r="N161" s="369"/>
      <c r="O161" s="370"/>
      <c r="P161" s="371"/>
      <c r="Q161" s="370"/>
      <c r="R161" s="370"/>
      <c r="S161" s="372"/>
      <c r="T161" s="373"/>
      <c r="U161" s="374"/>
      <c r="V161" s="375"/>
      <c r="W161" s="381"/>
      <c r="X161" s="382"/>
      <c r="CX161" s="1"/>
      <c r="CY161" s="1"/>
      <c r="CZ161" s="1"/>
      <c r="DA161" s="1"/>
      <c r="DB161" s="1"/>
      <c r="DC161" s="1"/>
      <c r="DD161" s="1"/>
    </row>
    <row r="162" spans="2:108" ht="14.25" customHeight="1" x14ac:dyDescent="0.35">
      <c r="B162" s="364" t="s">
        <v>214</v>
      </c>
      <c r="C162" s="365"/>
      <c r="D162" s="366"/>
      <c r="E162" s="367"/>
      <c r="F162" s="368"/>
      <c r="G162" s="264"/>
      <c r="H162" s="265"/>
      <c r="I162" s="265"/>
      <c r="J162" s="265"/>
      <c r="K162" s="265"/>
      <c r="L162" s="265"/>
      <c r="M162" s="266"/>
      <c r="N162" s="369"/>
      <c r="O162" s="370"/>
      <c r="P162" s="371"/>
      <c r="Q162" s="370"/>
      <c r="R162" s="370"/>
      <c r="S162" s="372"/>
      <c r="T162" s="373"/>
      <c r="U162" s="374"/>
      <c r="V162" s="375"/>
      <c r="W162" s="381"/>
      <c r="X162" s="382"/>
      <c r="CX162" s="1"/>
      <c r="CY162" s="1"/>
      <c r="CZ162" s="1"/>
      <c r="DA162" s="1"/>
      <c r="DB162" s="1"/>
      <c r="DC162" s="1"/>
      <c r="DD162" s="1"/>
    </row>
    <row r="163" spans="2:108" ht="14.25" customHeight="1" x14ac:dyDescent="0.35">
      <c r="B163" s="364" t="s">
        <v>215</v>
      </c>
      <c r="C163" s="365"/>
      <c r="D163" s="366"/>
      <c r="E163" s="367"/>
      <c r="F163" s="368"/>
      <c r="G163" s="264"/>
      <c r="H163" s="265"/>
      <c r="I163" s="265"/>
      <c r="J163" s="265"/>
      <c r="K163" s="265"/>
      <c r="L163" s="265"/>
      <c r="M163" s="266"/>
      <c r="N163" s="369"/>
      <c r="O163" s="370"/>
      <c r="P163" s="371"/>
      <c r="Q163" s="370"/>
      <c r="R163" s="370"/>
      <c r="S163" s="372"/>
      <c r="T163" s="373"/>
      <c r="U163" s="374"/>
      <c r="V163" s="375"/>
      <c r="W163" s="381"/>
      <c r="X163" s="382"/>
      <c r="CX163" s="1"/>
      <c r="CY163" s="1"/>
      <c r="CZ163" s="1"/>
      <c r="DA163" s="1"/>
      <c r="DB163" s="1"/>
      <c r="DC163" s="1"/>
      <c r="DD163" s="1"/>
    </row>
    <row r="164" spans="2:108" ht="14.25" customHeight="1" x14ac:dyDescent="0.35">
      <c r="B164" s="364" t="s">
        <v>216</v>
      </c>
      <c r="C164" s="365"/>
      <c r="D164" s="366"/>
      <c r="E164" s="367"/>
      <c r="F164" s="368"/>
      <c r="G164" s="264"/>
      <c r="H164" s="265"/>
      <c r="I164" s="265"/>
      <c r="J164" s="265"/>
      <c r="K164" s="265"/>
      <c r="L164" s="265"/>
      <c r="M164" s="266"/>
      <c r="N164" s="369"/>
      <c r="O164" s="370"/>
      <c r="P164" s="371"/>
      <c r="Q164" s="370"/>
      <c r="R164" s="370"/>
      <c r="S164" s="372"/>
      <c r="T164" s="373"/>
      <c r="U164" s="374"/>
      <c r="V164" s="375"/>
      <c r="W164" s="381"/>
      <c r="X164" s="382"/>
      <c r="CX164" s="1"/>
      <c r="CY164" s="1"/>
      <c r="CZ164" s="1"/>
      <c r="DA164" s="1"/>
      <c r="DB164" s="1"/>
      <c r="DC164" s="1"/>
      <c r="DD164" s="1"/>
    </row>
    <row r="165" spans="2:108" ht="14.25" customHeight="1" x14ac:dyDescent="0.35">
      <c r="B165" s="364" t="s">
        <v>217</v>
      </c>
      <c r="C165" s="365"/>
      <c r="D165" s="366"/>
      <c r="E165" s="367"/>
      <c r="F165" s="368"/>
      <c r="G165" s="264"/>
      <c r="H165" s="265"/>
      <c r="I165" s="265"/>
      <c r="J165" s="265"/>
      <c r="K165" s="265"/>
      <c r="L165" s="265"/>
      <c r="M165" s="266"/>
      <c r="N165" s="369"/>
      <c r="O165" s="370"/>
      <c r="P165" s="371"/>
      <c r="Q165" s="370"/>
      <c r="R165" s="370"/>
      <c r="S165" s="372"/>
      <c r="T165" s="373"/>
      <c r="U165" s="374"/>
      <c r="V165" s="375"/>
      <c r="W165" s="381"/>
      <c r="X165" s="382"/>
      <c r="CX165" s="1"/>
      <c r="CY165" s="1"/>
      <c r="CZ165" s="1"/>
      <c r="DA165" s="1"/>
      <c r="DB165" s="1"/>
      <c r="DC165" s="1"/>
      <c r="DD165" s="1"/>
    </row>
    <row r="166" spans="2:108" ht="14.25" customHeight="1" x14ac:dyDescent="0.35">
      <c r="B166" s="364" t="s">
        <v>218</v>
      </c>
      <c r="C166" s="365"/>
      <c r="D166" s="366"/>
      <c r="E166" s="367"/>
      <c r="F166" s="368"/>
      <c r="G166" s="264"/>
      <c r="H166" s="265"/>
      <c r="I166" s="265"/>
      <c r="J166" s="265"/>
      <c r="K166" s="265"/>
      <c r="L166" s="265"/>
      <c r="M166" s="266"/>
      <c r="N166" s="369"/>
      <c r="O166" s="370"/>
      <c r="P166" s="371"/>
      <c r="Q166" s="370"/>
      <c r="R166" s="370"/>
      <c r="S166" s="372"/>
      <c r="T166" s="373"/>
      <c r="U166" s="374"/>
      <c r="V166" s="375"/>
      <c r="W166" s="381"/>
      <c r="X166" s="382"/>
      <c r="CX166" s="1"/>
      <c r="CY166" s="1"/>
      <c r="CZ166" s="1"/>
      <c r="DA166" s="1"/>
      <c r="DB166" s="1"/>
      <c r="DC166" s="1"/>
      <c r="DD166" s="1"/>
    </row>
    <row r="167" spans="2:108" ht="14.25" customHeight="1" x14ac:dyDescent="0.35">
      <c r="B167" s="364" t="s">
        <v>219</v>
      </c>
      <c r="C167" s="365"/>
      <c r="D167" s="366"/>
      <c r="E167" s="367"/>
      <c r="F167" s="368"/>
      <c r="G167" s="264"/>
      <c r="H167" s="265"/>
      <c r="I167" s="265"/>
      <c r="J167" s="265"/>
      <c r="K167" s="265"/>
      <c r="L167" s="265"/>
      <c r="M167" s="266"/>
      <c r="N167" s="369"/>
      <c r="O167" s="370"/>
      <c r="P167" s="371"/>
      <c r="Q167" s="370"/>
      <c r="R167" s="370"/>
      <c r="S167" s="372"/>
      <c r="T167" s="373"/>
      <c r="U167" s="374"/>
      <c r="V167" s="375"/>
      <c r="W167" s="381"/>
      <c r="X167" s="382"/>
      <c r="CX167" s="1"/>
      <c r="CY167" s="1"/>
      <c r="CZ167" s="1"/>
      <c r="DA167" s="1"/>
      <c r="DB167" s="1"/>
      <c r="DC167" s="1"/>
      <c r="DD167" s="1"/>
    </row>
    <row r="168" spans="2:108" ht="14.25" customHeight="1" x14ac:dyDescent="0.35">
      <c r="B168" s="364" t="s">
        <v>220</v>
      </c>
      <c r="C168" s="365"/>
      <c r="D168" s="366"/>
      <c r="E168" s="367"/>
      <c r="F168" s="368"/>
      <c r="G168" s="264"/>
      <c r="H168" s="265"/>
      <c r="I168" s="265"/>
      <c r="J168" s="265"/>
      <c r="K168" s="265"/>
      <c r="L168" s="265"/>
      <c r="M168" s="266"/>
      <c r="N168" s="369"/>
      <c r="O168" s="370"/>
      <c r="P168" s="371"/>
      <c r="Q168" s="370"/>
      <c r="R168" s="370"/>
      <c r="S168" s="372"/>
      <c r="T168" s="373"/>
      <c r="U168" s="374"/>
      <c r="V168" s="375"/>
      <c r="W168" s="381"/>
      <c r="X168" s="382"/>
      <c r="CX168" s="1"/>
      <c r="CY168" s="1"/>
      <c r="CZ168" s="1"/>
      <c r="DA168" s="1"/>
      <c r="DB168" s="1"/>
      <c r="DC168" s="1"/>
      <c r="DD168" s="1"/>
    </row>
    <row r="169" spans="2:108" ht="14.25" customHeight="1" x14ac:dyDescent="0.35">
      <c r="B169" s="364" t="s">
        <v>221</v>
      </c>
      <c r="C169" s="365"/>
      <c r="D169" s="366"/>
      <c r="E169" s="367"/>
      <c r="F169" s="368"/>
      <c r="G169" s="264"/>
      <c r="H169" s="265"/>
      <c r="I169" s="265"/>
      <c r="J169" s="265"/>
      <c r="K169" s="265"/>
      <c r="L169" s="265"/>
      <c r="M169" s="266"/>
      <c r="N169" s="369"/>
      <c r="O169" s="370"/>
      <c r="P169" s="371"/>
      <c r="Q169" s="370"/>
      <c r="R169" s="370"/>
      <c r="S169" s="372"/>
      <c r="T169" s="373"/>
      <c r="U169" s="374"/>
      <c r="V169" s="375"/>
      <c r="W169" s="381"/>
      <c r="X169" s="382"/>
      <c r="CX169" s="1"/>
      <c r="CY169" s="1"/>
      <c r="CZ169" s="1"/>
      <c r="DA169" s="1"/>
      <c r="DB169" s="1"/>
      <c r="DC169" s="1"/>
      <c r="DD169" s="1"/>
    </row>
    <row r="170" spans="2:108" ht="14.25" customHeight="1" x14ac:dyDescent="0.35">
      <c r="B170" s="364" t="s">
        <v>222</v>
      </c>
      <c r="C170" s="365"/>
      <c r="D170" s="366"/>
      <c r="E170" s="367"/>
      <c r="F170" s="368"/>
      <c r="G170" s="264"/>
      <c r="H170" s="265"/>
      <c r="I170" s="265"/>
      <c r="J170" s="265"/>
      <c r="K170" s="265"/>
      <c r="L170" s="265"/>
      <c r="M170" s="266"/>
      <c r="N170" s="369"/>
      <c r="O170" s="370"/>
      <c r="P170" s="371"/>
      <c r="Q170" s="370"/>
      <c r="R170" s="370"/>
      <c r="S170" s="372"/>
      <c r="T170" s="373"/>
      <c r="U170" s="374"/>
      <c r="V170" s="375"/>
      <c r="W170" s="381"/>
      <c r="X170" s="382"/>
      <c r="CX170" s="1"/>
      <c r="CY170" s="1"/>
      <c r="CZ170" s="1"/>
      <c r="DA170" s="1"/>
      <c r="DB170" s="1"/>
      <c r="DC170" s="1"/>
      <c r="DD170" s="1"/>
    </row>
    <row r="171" spans="2:108" ht="14.25" customHeight="1" x14ac:dyDescent="0.35">
      <c r="B171" s="364" t="s">
        <v>223</v>
      </c>
      <c r="C171" s="365"/>
      <c r="D171" s="366"/>
      <c r="E171" s="367"/>
      <c r="F171" s="368"/>
      <c r="G171" s="264"/>
      <c r="H171" s="265"/>
      <c r="I171" s="265"/>
      <c r="J171" s="265"/>
      <c r="K171" s="265"/>
      <c r="L171" s="265"/>
      <c r="M171" s="266"/>
      <c r="N171" s="369"/>
      <c r="O171" s="370"/>
      <c r="P171" s="371"/>
      <c r="Q171" s="370"/>
      <c r="R171" s="370"/>
      <c r="S171" s="372"/>
      <c r="T171" s="373"/>
      <c r="U171" s="374"/>
      <c r="V171" s="375"/>
      <c r="W171" s="381"/>
      <c r="X171" s="382"/>
      <c r="CX171" s="1"/>
      <c r="CY171" s="1"/>
      <c r="CZ171" s="1"/>
      <c r="DA171" s="1"/>
      <c r="DB171" s="1"/>
      <c r="DC171" s="1"/>
      <c r="DD171" s="1"/>
    </row>
    <row r="172" spans="2:108" ht="14.25" customHeight="1" x14ac:dyDescent="0.35">
      <c r="B172" s="364" t="s">
        <v>224</v>
      </c>
      <c r="C172" s="365"/>
      <c r="D172" s="366"/>
      <c r="E172" s="367"/>
      <c r="F172" s="368"/>
      <c r="G172" s="264"/>
      <c r="H172" s="265"/>
      <c r="I172" s="265"/>
      <c r="J172" s="265"/>
      <c r="K172" s="265"/>
      <c r="L172" s="265"/>
      <c r="M172" s="266"/>
      <c r="N172" s="369"/>
      <c r="O172" s="370"/>
      <c r="P172" s="371"/>
      <c r="Q172" s="370"/>
      <c r="R172" s="370"/>
      <c r="S172" s="372"/>
      <c r="T172" s="373"/>
      <c r="U172" s="374"/>
      <c r="V172" s="375"/>
      <c r="W172" s="381"/>
      <c r="X172" s="382"/>
      <c r="CX172" s="1"/>
      <c r="CY172" s="1"/>
      <c r="CZ172" s="1"/>
      <c r="DA172" s="1"/>
      <c r="DB172" s="1"/>
      <c r="DC172" s="1"/>
      <c r="DD172" s="1"/>
    </row>
    <row r="173" spans="2:108" ht="14.25" customHeight="1" x14ac:dyDescent="0.35">
      <c r="B173" s="364" t="s">
        <v>225</v>
      </c>
      <c r="C173" s="365"/>
      <c r="D173" s="366"/>
      <c r="E173" s="367"/>
      <c r="F173" s="368"/>
      <c r="G173" s="264"/>
      <c r="H173" s="265"/>
      <c r="I173" s="265"/>
      <c r="J173" s="265"/>
      <c r="K173" s="265"/>
      <c r="L173" s="265"/>
      <c r="M173" s="266"/>
      <c r="N173" s="369"/>
      <c r="O173" s="370"/>
      <c r="P173" s="371"/>
      <c r="Q173" s="370"/>
      <c r="R173" s="370"/>
      <c r="S173" s="372"/>
      <c r="T173" s="373"/>
      <c r="U173" s="374"/>
      <c r="V173" s="375"/>
      <c r="W173" s="381"/>
      <c r="X173" s="382"/>
      <c r="CX173" s="1"/>
      <c r="CY173" s="1"/>
      <c r="CZ173" s="1"/>
      <c r="DA173" s="1"/>
      <c r="DB173" s="1"/>
      <c r="DC173" s="1"/>
      <c r="DD173" s="1"/>
    </row>
    <row r="174" spans="2:108" ht="14.25" customHeight="1" x14ac:dyDescent="0.35">
      <c r="B174" s="364" t="s">
        <v>226</v>
      </c>
      <c r="C174" s="365"/>
      <c r="D174" s="366"/>
      <c r="E174" s="367"/>
      <c r="F174" s="368"/>
      <c r="G174" s="264"/>
      <c r="H174" s="265"/>
      <c r="I174" s="265"/>
      <c r="J174" s="265"/>
      <c r="K174" s="265"/>
      <c r="L174" s="265"/>
      <c r="M174" s="266"/>
      <c r="N174" s="369"/>
      <c r="O174" s="370"/>
      <c r="P174" s="371"/>
      <c r="Q174" s="370"/>
      <c r="R174" s="370"/>
      <c r="S174" s="372"/>
      <c r="T174" s="373"/>
      <c r="U174" s="374"/>
      <c r="V174" s="375"/>
      <c r="W174" s="381"/>
      <c r="X174" s="382"/>
      <c r="CX174" s="1"/>
      <c r="CY174" s="1"/>
      <c r="CZ174" s="1"/>
      <c r="DA174" s="1"/>
      <c r="DB174" s="1"/>
      <c r="DC174" s="1"/>
      <c r="DD174" s="1"/>
    </row>
    <row r="175" spans="2:108" ht="14.25" customHeight="1" x14ac:dyDescent="0.35">
      <c r="B175" s="364" t="s">
        <v>227</v>
      </c>
      <c r="C175" s="365"/>
      <c r="D175" s="366"/>
      <c r="E175" s="367"/>
      <c r="F175" s="368"/>
      <c r="G175" s="264"/>
      <c r="H175" s="265"/>
      <c r="I175" s="265"/>
      <c r="J175" s="265"/>
      <c r="K175" s="265"/>
      <c r="L175" s="265"/>
      <c r="M175" s="266"/>
      <c r="N175" s="369"/>
      <c r="O175" s="370"/>
      <c r="P175" s="371"/>
      <c r="Q175" s="370"/>
      <c r="R175" s="370"/>
      <c r="S175" s="372"/>
      <c r="T175" s="373"/>
      <c r="U175" s="374"/>
      <c r="V175" s="375"/>
      <c r="W175" s="381"/>
      <c r="X175" s="382"/>
      <c r="CX175" s="1"/>
      <c r="CY175" s="1"/>
      <c r="CZ175" s="1"/>
      <c r="DA175" s="1"/>
      <c r="DB175" s="1"/>
      <c r="DC175" s="1"/>
      <c r="DD175" s="1"/>
    </row>
    <row r="176" spans="2:108" ht="14.25" customHeight="1" x14ac:dyDescent="0.35">
      <c r="B176" s="364" t="s">
        <v>228</v>
      </c>
      <c r="C176" s="365"/>
      <c r="D176" s="366"/>
      <c r="E176" s="367"/>
      <c r="F176" s="368"/>
      <c r="G176" s="264"/>
      <c r="H176" s="265"/>
      <c r="I176" s="265"/>
      <c r="J176" s="265"/>
      <c r="K176" s="265"/>
      <c r="L176" s="265"/>
      <c r="M176" s="266"/>
      <c r="N176" s="369"/>
      <c r="O176" s="370"/>
      <c r="P176" s="371"/>
      <c r="Q176" s="370"/>
      <c r="R176" s="370"/>
      <c r="S176" s="372"/>
      <c r="T176" s="373"/>
      <c r="U176" s="374"/>
      <c r="V176" s="375"/>
      <c r="W176" s="381"/>
      <c r="X176" s="382"/>
      <c r="CX176" s="1"/>
      <c r="CY176" s="1"/>
      <c r="CZ176" s="1"/>
      <c r="DA176" s="1"/>
      <c r="DB176" s="1"/>
      <c r="DC176" s="1"/>
      <c r="DD176" s="1"/>
    </row>
    <row r="177" spans="2:108" ht="14.25" customHeight="1" x14ac:dyDescent="0.35">
      <c r="B177" s="364" t="s">
        <v>229</v>
      </c>
      <c r="C177" s="365"/>
      <c r="D177" s="366"/>
      <c r="E177" s="367"/>
      <c r="F177" s="368"/>
      <c r="G177" s="264"/>
      <c r="H177" s="265"/>
      <c r="I177" s="265"/>
      <c r="J177" s="265"/>
      <c r="K177" s="265"/>
      <c r="L177" s="265"/>
      <c r="M177" s="266"/>
      <c r="N177" s="369"/>
      <c r="O177" s="370"/>
      <c r="P177" s="371"/>
      <c r="Q177" s="370"/>
      <c r="R177" s="370"/>
      <c r="S177" s="372"/>
      <c r="T177" s="373"/>
      <c r="U177" s="374"/>
      <c r="V177" s="375"/>
      <c r="W177" s="381"/>
      <c r="X177" s="382"/>
      <c r="CX177" s="1"/>
      <c r="CY177" s="1"/>
      <c r="CZ177" s="1"/>
      <c r="DA177" s="1"/>
      <c r="DB177" s="1"/>
      <c r="DC177" s="1"/>
      <c r="DD177" s="1"/>
    </row>
    <row r="178" spans="2:108" ht="14.25" customHeight="1" x14ac:dyDescent="0.35">
      <c r="B178" s="364" t="s">
        <v>230</v>
      </c>
      <c r="C178" s="365"/>
      <c r="D178" s="366"/>
      <c r="E178" s="367"/>
      <c r="F178" s="368"/>
      <c r="G178" s="264"/>
      <c r="H178" s="265"/>
      <c r="I178" s="265"/>
      <c r="J178" s="265"/>
      <c r="K178" s="265"/>
      <c r="L178" s="265"/>
      <c r="M178" s="266"/>
      <c r="N178" s="369"/>
      <c r="O178" s="370"/>
      <c r="P178" s="371"/>
      <c r="Q178" s="370"/>
      <c r="R178" s="370"/>
      <c r="S178" s="372"/>
      <c r="T178" s="373"/>
      <c r="U178" s="374"/>
      <c r="V178" s="375"/>
      <c r="W178" s="381"/>
      <c r="X178" s="382"/>
      <c r="CX178" s="1"/>
      <c r="CY178" s="1"/>
      <c r="CZ178" s="1"/>
      <c r="DA178" s="1"/>
      <c r="DB178" s="1"/>
      <c r="DC178" s="1"/>
      <c r="DD178" s="1"/>
    </row>
    <row r="179" spans="2:108" ht="14.25" customHeight="1" x14ac:dyDescent="0.35">
      <c r="B179" s="364" t="s">
        <v>231</v>
      </c>
      <c r="C179" s="365"/>
      <c r="D179" s="366"/>
      <c r="E179" s="367"/>
      <c r="F179" s="368"/>
      <c r="G179" s="264"/>
      <c r="H179" s="265"/>
      <c r="I179" s="265"/>
      <c r="J179" s="265"/>
      <c r="K179" s="265"/>
      <c r="L179" s="265"/>
      <c r="M179" s="266"/>
      <c r="N179" s="369"/>
      <c r="O179" s="370"/>
      <c r="P179" s="371"/>
      <c r="Q179" s="370"/>
      <c r="R179" s="370"/>
      <c r="S179" s="372"/>
      <c r="T179" s="373"/>
      <c r="U179" s="374"/>
      <c r="V179" s="375"/>
      <c r="W179" s="381"/>
      <c r="X179" s="382"/>
      <c r="CX179" s="1"/>
      <c r="CY179" s="1"/>
      <c r="CZ179" s="1"/>
      <c r="DA179" s="1"/>
      <c r="DB179" s="1"/>
      <c r="DC179" s="1"/>
      <c r="DD179" s="1"/>
    </row>
    <row r="180" spans="2:108" ht="14.25" customHeight="1" x14ac:dyDescent="0.35">
      <c r="B180" s="364" t="s">
        <v>232</v>
      </c>
      <c r="C180" s="365"/>
      <c r="D180" s="366"/>
      <c r="E180" s="367"/>
      <c r="F180" s="368"/>
      <c r="G180" s="264"/>
      <c r="H180" s="265"/>
      <c r="I180" s="265"/>
      <c r="J180" s="265"/>
      <c r="K180" s="265"/>
      <c r="L180" s="265"/>
      <c r="M180" s="266"/>
      <c r="N180" s="369"/>
      <c r="O180" s="370"/>
      <c r="P180" s="371"/>
      <c r="Q180" s="370"/>
      <c r="R180" s="370"/>
      <c r="S180" s="372"/>
      <c r="T180" s="373"/>
      <c r="U180" s="374"/>
      <c r="V180" s="375"/>
      <c r="W180" s="381"/>
      <c r="X180" s="382"/>
      <c r="CX180" s="1"/>
      <c r="CY180" s="1"/>
      <c r="CZ180" s="1"/>
      <c r="DA180" s="1"/>
      <c r="DB180" s="1"/>
      <c r="DC180" s="1"/>
      <c r="DD180" s="1"/>
    </row>
    <row r="181" spans="2:108" ht="14.25" customHeight="1" x14ac:dyDescent="0.35">
      <c r="B181" s="364" t="s">
        <v>233</v>
      </c>
      <c r="C181" s="365"/>
      <c r="D181" s="366"/>
      <c r="E181" s="367"/>
      <c r="F181" s="368"/>
      <c r="G181" s="264"/>
      <c r="H181" s="265"/>
      <c r="I181" s="265"/>
      <c r="J181" s="265"/>
      <c r="K181" s="265"/>
      <c r="L181" s="265"/>
      <c r="M181" s="266"/>
      <c r="N181" s="369"/>
      <c r="O181" s="370"/>
      <c r="P181" s="371"/>
      <c r="Q181" s="370"/>
      <c r="R181" s="370"/>
      <c r="S181" s="372"/>
      <c r="T181" s="373"/>
      <c r="U181" s="374"/>
      <c r="V181" s="375"/>
      <c r="W181" s="381"/>
      <c r="X181" s="382"/>
      <c r="CX181" s="1"/>
      <c r="CY181" s="1"/>
      <c r="CZ181" s="1"/>
      <c r="DA181" s="1"/>
      <c r="DB181" s="1"/>
      <c r="DC181" s="1"/>
      <c r="DD181" s="1"/>
    </row>
    <row r="182" spans="2:108" ht="14.25" customHeight="1" x14ac:dyDescent="0.35">
      <c r="B182" s="364" t="s">
        <v>234</v>
      </c>
      <c r="C182" s="365"/>
      <c r="D182" s="366"/>
      <c r="E182" s="367"/>
      <c r="F182" s="368"/>
      <c r="G182" s="264"/>
      <c r="H182" s="265"/>
      <c r="I182" s="265"/>
      <c r="J182" s="265"/>
      <c r="K182" s="265"/>
      <c r="L182" s="265"/>
      <c r="M182" s="266"/>
      <c r="N182" s="369"/>
      <c r="O182" s="370"/>
      <c r="P182" s="371"/>
      <c r="Q182" s="370"/>
      <c r="R182" s="370"/>
      <c r="S182" s="372"/>
      <c r="T182" s="373"/>
      <c r="U182" s="374"/>
      <c r="V182" s="375"/>
      <c r="W182" s="381"/>
      <c r="X182" s="382"/>
      <c r="CX182" s="1"/>
      <c r="CY182" s="1"/>
      <c r="CZ182" s="1"/>
      <c r="DA182" s="1"/>
      <c r="DB182" s="1"/>
      <c r="DC182" s="1"/>
      <c r="DD182" s="1"/>
    </row>
    <row r="183" spans="2:108" ht="14.25" customHeight="1" x14ac:dyDescent="0.35">
      <c r="B183" s="364" t="s">
        <v>235</v>
      </c>
      <c r="C183" s="365"/>
      <c r="D183" s="366"/>
      <c r="E183" s="367"/>
      <c r="F183" s="368"/>
      <c r="G183" s="264"/>
      <c r="H183" s="265"/>
      <c r="I183" s="265"/>
      <c r="J183" s="265"/>
      <c r="K183" s="265"/>
      <c r="L183" s="265"/>
      <c r="M183" s="266"/>
      <c r="N183" s="369"/>
      <c r="O183" s="370"/>
      <c r="P183" s="371"/>
      <c r="Q183" s="370"/>
      <c r="R183" s="370"/>
      <c r="S183" s="372"/>
      <c r="T183" s="373"/>
      <c r="U183" s="374"/>
      <c r="V183" s="375"/>
      <c r="W183" s="381"/>
      <c r="X183" s="382"/>
      <c r="CX183" s="1"/>
      <c r="CY183" s="1"/>
      <c r="CZ183" s="1"/>
      <c r="DA183" s="1"/>
      <c r="DB183" s="1"/>
      <c r="DC183" s="1"/>
      <c r="DD183" s="1"/>
    </row>
    <row r="184" spans="2:108" ht="14.25" customHeight="1" x14ac:dyDescent="0.35">
      <c r="B184" s="364" t="s">
        <v>236</v>
      </c>
      <c r="C184" s="365"/>
      <c r="D184" s="366"/>
      <c r="E184" s="367"/>
      <c r="F184" s="368"/>
      <c r="G184" s="264"/>
      <c r="H184" s="265"/>
      <c r="I184" s="265"/>
      <c r="J184" s="265"/>
      <c r="K184" s="265"/>
      <c r="L184" s="265"/>
      <c r="M184" s="266"/>
      <c r="N184" s="369"/>
      <c r="O184" s="370"/>
      <c r="P184" s="371"/>
      <c r="Q184" s="370"/>
      <c r="R184" s="370"/>
      <c r="S184" s="372"/>
      <c r="T184" s="373"/>
      <c r="U184" s="374"/>
      <c r="V184" s="375"/>
      <c r="W184" s="381"/>
      <c r="X184" s="382"/>
      <c r="CX184" s="1"/>
      <c r="CY184" s="1"/>
      <c r="CZ184" s="1"/>
      <c r="DA184" s="1"/>
      <c r="DB184" s="1"/>
      <c r="DC184" s="1"/>
      <c r="DD184" s="1"/>
    </row>
    <row r="185" spans="2:108" ht="14.25" customHeight="1" x14ac:dyDescent="0.35">
      <c r="B185" s="364" t="s">
        <v>237</v>
      </c>
      <c r="C185" s="365"/>
      <c r="D185" s="366"/>
      <c r="E185" s="367"/>
      <c r="F185" s="368"/>
      <c r="G185" s="264"/>
      <c r="H185" s="265"/>
      <c r="I185" s="265"/>
      <c r="J185" s="265"/>
      <c r="K185" s="265"/>
      <c r="L185" s="265"/>
      <c r="M185" s="266"/>
      <c r="N185" s="369"/>
      <c r="O185" s="370"/>
      <c r="P185" s="371"/>
      <c r="Q185" s="370"/>
      <c r="R185" s="370"/>
      <c r="S185" s="372"/>
      <c r="T185" s="373"/>
      <c r="U185" s="374"/>
      <c r="V185" s="375"/>
      <c r="W185" s="381"/>
      <c r="X185" s="382"/>
      <c r="CX185" s="1"/>
      <c r="CY185" s="1"/>
      <c r="CZ185" s="1"/>
      <c r="DA185" s="1"/>
      <c r="DB185" s="1"/>
      <c r="DC185" s="1"/>
      <c r="DD185" s="1"/>
    </row>
    <row r="186" spans="2:108" ht="15.75" customHeight="1" x14ac:dyDescent="0.35">
      <c r="B186" s="267" t="s">
        <v>238</v>
      </c>
      <c r="C186" s="268"/>
      <c r="D186" s="269"/>
      <c r="E186" s="270"/>
      <c r="F186" s="271"/>
      <c r="G186" s="272"/>
      <c r="H186" s="273"/>
      <c r="I186" s="273"/>
      <c r="J186" s="273"/>
      <c r="K186" s="273"/>
      <c r="L186" s="273"/>
      <c r="M186" s="274"/>
      <c r="N186" s="275"/>
      <c r="O186" s="276"/>
      <c r="P186" s="277"/>
      <c r="Q186" s="276"/>
      <c r="R186" s="276"/>
      <c r="S186" s="278"/>
      <c r="T186" s="279"/>
      <c r="U186" s="280"/>
      <c r="V186" s="317"/>
      <c r="W186" s="320">
        <f t="shared" ref="W186:W188" si="3">Q186*-3+T186*-1+V186*-1</f>
        <v>0</v>
      </c>
      <c r="X186" s="323"/>
      <c r="CX186" s="1"/>
      <c r="CY186" s="1"/>
      <c r="CZ186" s="1"/>
      <c r="DA186" s="1"/>
      <c r="DB186" s="1"/>
      <c r="DC186" s="1"/>
      <c r="DD186" s="1"/>
    </row>
    <row r="187" spans="2:108" ht="15.75" customHeight="1" x14ac:dyDescent="0.35">
      <c r="B187" s="267" t="s">
        <v>239</v>
      </c>
      <c r="C187" s="268"/>
      <c r="D187" s="269"/>
      <c r="E187" s="270"/>
      <c r="F187" s="271"/>
      <c r="G187" s="272"/>
      <c r="H187" s="273"/>
      <c r="I187" s="273"/>
      <c r="J187" s="273"/>
      <c r="K187" s="273"/>
      <c r="L187" s="273"/>
      <c r="M187" s="274"/>
      <c r="N187" s="275"/>
      <c r="O187" s="276"/>
      <c r="P187" s="277"/>
      <c r="Q187" s="276"/>
      <c r="R187" s="276"/>
      <c r="S187" s="278"/>
      <c r="T187" s="279"/>
      <c r="U187" s="280"/>
      <c r="V187" s="317"/>
      <c r="W187" s="320">
        <f t="shared" si="3"/>
        <v>0</v>
      </c>
      <c r="X187" s="323"/>
      <c r="CX187" s="1"/>
      <c r="CY187" s="1"/>
      <c r="CZ187" s="1"/>
      <c r="DA187" s="1"/>
      <c r="DB187" s="1"/>
      <c r="DC187" s="1"/>
      <c r="DD187" s="1"/>
    </row>
    <row r="188" spans="2:108" ht="15.75" customHeight="1" thickBot="1" x14ac:dyDescent="0.4">
      <c r="B188" s="282" t="s">
        <v>240</v>
      </c>
      <c r="C188" s="283"/>
      <c r="D188" s="284"/>
      <c r="E188" s="285"/>
      <c r="F188" s="286"/>
      <c r="G188" s="287"/>
      <c r="H188" s="288"/>
      <c r="I188" s="288"/>
      <c r="J188" s="288"/>
      <c r="K188" s="288"/>
      <c r="L188" s="288"/>
      <c r="M188" s="289"/>
      <c r="N188" s="290"/>
      <c r="O188" s="291"/>
      <c r="P188" s="292"/>
      <c r="Q188" s="291"/>
      <c r="R188" s="291"/>
      <c r="S188" s="293"/>
      <c r="T188" s="294"/>
      <c r="U188" s="295"/>
      <c r="V188" s="318"/>
      <c r="W188" s="320">
        <f t="shared" si="3"/>
        <v>0</v>
      </c>
      <c r="X188" s="324"/>
      <c r="CX188" s="1"/>
      <c r="CY188" s="1"/>
      <c r="CZ188" s="1"/>
      <c r="DA188" s="1"/>
      <c r="DB188" s="1"/>
      <c r="DC188" s="1"/>
      <c r="DD188" s="1"/>
    </row>
    <row r="189" spans="2:108" ht="15.75" customHeight="1" thickBot="1" x14ac:dyDescent="0.25">
      <c r="B189" s="171"/>
      <c r="C189" s="241"/>
      <c r="D189" s="250"/>
      <c r="E189" s="251"/>
      <c r="F189" s="252"/>
      <c r="G189" s="255"/>
      <c r="H189" s="245"/>
      <c r="I189" s="245"/>
      <c r="J189" s="245"/>
      <c r="K189" s="245"/>
      <c r="L189" s="245"/>
      <c r="M189" s="246"/>
      <c r="N189" s="257"/>
      <c r="O189" s="192">
        <f>SUM(O149:O188)</f>
        <v>0</v>
      </c>
      <c r="P189" s="191" t="e">
        <f>AVERAGE(P149:P188)</f>
        <v>#DIV/0!</v>
      </c>
      <c r="Q189" s="191"/>
      <c r="R189" s="192">
        <f>SUM(R149:R188)</f>
        <v>0</v>
      </c>
      <c r="S189" s="191" t="e">
        <f>AVERAGE(S149:S188)</f>
        <v>#DIV/0!</v>
      </c>
      <c r="T189" s="191"/>
      <c r="U189" s="253" t="e">
        <f>AVERAGE(U149:U188)</f>
        <v>#DIV/0!</v>
      </c>
      <c r="V189" s="303"/>
      <c r="W189" s="257"/>
      <c r="X189" s="193"/>
      <c r="CX189" s="1"/>
      <c r="CY189" s="1"/>
      <c r="CZ189" s="1"/>
      <c r="DA189" s="1"/>
      <c r="DB189" s="1"/>
      <c r="DC189" s="1"/>
      <c r="DD189" s="1"/>
    </row>
    <row r="190" spans="2:108" ht="15.75" customHeight="1" x14ac:dyDescent="0.2">
      <c r="B190" s="3"/>
      <c r="C190" s="3"/>
      <c r="D190" s="3"/>
      <c r="E190" s="15"/>
      <c r="F190" s="3"/>
      <c r="G190" s="3"/>
      <c r="H190" s="175"/>
      <c r="I190" s="175"/>
      <c r="J190" s="175"/>
      <c r="K190" s="175"/>
      <c r="L190" s="175"/>
      <c r="M190" s="175"/>
      <c r="N190" s="175"/>
      <c r="O190" s="175"/>
      <c r="P190" s="175"/>
      <c r="Q190" s="175"/>
      <c r="R190" s="175"/>
      <c r="S190" s="175"/>
      <c r="T190" s="175"/>
      <c r="U190" s="175"/>
      <c r="V190" s="175"/>
      <c r="W190" s="175"/>
      <c r="X190" s="175"/>
    </row>
    <row r="191" spans="2:108" ht="15.75" customHeight="1" x14ac:dyDescent="0.2">
      <c r="B191" s="3"/>
      <c r="C191" s="3"/>
      <c r="D191" s="3"/>
      <c r="E191" s="15"/>
      <c r="F191" s="3"/>
      <c r="G191" s="3"/>
      <c r="H191" s="175"/>
      <c r="I191" s="175"/>
      <c r="J191" s="175"/>
      <c r="K191" s="175"/>
      <c r="L191" s="175"/>
      <c r="M191" s="175"/>
      <c r="N191" s="175"/>
      <c r="O191" s="175"/>
      <c r="P191" s="175"/>
      <c r="Q191" s="175"/>
      <c r="R191" s="175"/>
      <c r="S191" s="175"/>
      <c r="T191" s="175"/>
      <c r="U191" s="175"/>
      <c r="V191" s="175"/>
      <c r="W191" s="175"/>
      <c r="X191" s="175"/>
    </row>
    <row r="192" spans="2:108" ht="15.75" customHeight="1" x14ac:dyDescent="0.2">
      <c r="B192" s="3"/>
      <c r="C192" s="3"/>
      <c r="D192" s="3"/>
      <c r="E192" s="15"/>
      <c r="F192" s="3"/>
      <c r="G192" s="3"/>
      <c r="H192" s="175"/>
      <c r="I192" s="175"/>
      <c r="J192" s="175"/>
      <c r="K192" s="175"/>
      <c r="L192" s="175"/>
      <c r="M192" s="175"/>
      <c r="N192" s="175"/>
      <c r="O192" s="175"/>
      <c r="P192" s="175"/>
      <c r="Q192" s="175"/>
      <c r="R192" s="175"/>
      <c r="S192" s="175"/>
      <c r="T192" s="175"/>
      <c r="U192" s="175"/>
      <c r="V192" s="175"/>
      <c r="W192" s="175"/>
      <c r="X192" s="175"/>
    </row>
    <row r="193" spans="1:108" ht="15.75" customHeight="1" x14ac:dyDescent="0.2"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</row>
    <row r="194" spans="1:108" ht="75" customHeight="1" thickBot="1" x14ac:dyDescent="0.25">
      <c r="B194" s="17" t="s">
        <v>48</v>
      </c>
      <c r="C194" s="17"/>
    </row>
    <row r="195" spans="1:108" ht="17.25" customHeight="1" thickBot="1" x14ac:dyDescent="0.25">
      <c r="A195" s="6"/>
      <c r="B195" s="385" t="s">
        <v>1</v>
      </c>
      <c r="C195" s="387" t="s">
        <v>77</v>
      </c>
      <c r="D195" s="389" t="s">
        <v>2</v>
      </c>
      <c r="E195" s="385" t="s">
        <v>3</v>
      </c>
      <c r="F195" s="391" t="s">
        <v>111</v>
      </c>
      <c r="G195" s="213"/>
      <c r="H195" s="254" t="s">
        <v>5</v>
      </c>
      <c r="I195" s="254"/>
      <c r="J195" s="254"/>
      <c r="K195" s="254"/>
      <c r="L195" s="254"/>
      <c r="M195" s="254"/>
      <c r="N195" s="247" t="s">
        <v>6</v>
      </c>
      <c r="O195" s="248"/>
      <c r="P195" s="248"/>
      <c r="Q195" s="248"/>
      <c r="R195" s="248"/>
      <c r="S195" s="248"/>
      <c r="T195" s="248"/>
      <c r="U195" s="248"/>
      <c r="V195" s="248"/>
      <c r="W195" s="249"/>
      <c r="X195" s="249"/>
      <c r="CX195" s="1"/>
      <c r="CY195" s="1"/>
      <c r="CZ195" s="1"/>
      <c r="DA195" s="1"/>
      <c r="DB195" s="1"/>
      <c r="DC195" s="1"/>
      <c r="DD195" s="1"/>
    </row>
    <row r="196" spans="1:108" s="6" customFormat="1" ht="30.75" customHeight="1" thickBot="1" x14ac:dyDescent="0.25">
      <c r="B196" s="386"/>
      <c r="C196" s="388"/>
      <c r="D196" s="390"/>
      <c r="E196" s="386"/>
      <c r="F196" s="392"/>
      <c r="G196" s="256" t="s">
        <v>136</v>
      </c>
      <c r="H196" s="153" t="s">
        <v>137</v>
      </c>
      <c r="I196" s="153" t="s">
        <v>138</v>
      </c>
      <c r="J196" s="153" t="s">
        <v>139</v>
      </c>
      <c r="K196" s="153" t="s">
        <v>170</v>
      </c>
      <c r="L196" s="153" t="s">
        <v>172</v>
      </c>
      <c r="M196" s="258" t="s">
        <v>174</v>
      </c>
      <c r="N196" s="304" t="s">
        <v>106</v>
      </c>
      <c r="O196" s="207" t="s">
        <v>18</v>
      </c>
      <c r="P196" s="207" t="s">
        <v>19</v>
      </c>
      <c r="Q196" s="207" t="s">
        <v>110</v>
      </c>
      <c r="R196" s="207" t="s">
        <v>20</v>
      </c>
      <c r="S196" s="305" t="s">
        <v>21</v>
      </c>
      <c r="T196" s="305" t="s">
        <v>109</v>
      </c>
      <c r="U196" s="306" t="s">
        <v>22</v>
      </c>
      <c r="V196" s="315" t="s">
        <v>110</v>
      </c>
      <c r="W196" s="304" t="s">
        <v>3</v>
      </c>
      <c r="X196" s="307" t="s">
        <v>133</v>
      </c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  <c r="CF196" s="29"/>
      <c r="CG196" s="29"/>
      <c r="CH196" s="29"/>
      <c r="CI196" s="29"/>
      <c r="CJ196" s="29"/>
      <c r="CK196" s="29"/>
      <c r="CL196" s="29"/>
      <c r="CM196" s="29"/>
      <c r="CN196" s="29"/>
      <c r="CO196" s="29"/>
      <c r="CP196" s="29"/>
      <c r="CQ196" s="29"/>
      <c r="CR196" s="29"/>
      <c r="CS196" s="29"/>
      <c r="CT196" s="29"/>
      <c r="CU196" s="29"/>
      <c r="CV196" s="29"/>
      <c r="CW196" s="29"/>
    </row>
    <row r="197" spans="1:108" s="6" customFormat="1" ht="17.25" customHeight="1" x14ac:dyDescent="0.35">
      <c r="A197" s="1"/>
      <c r="B197" s="259" t="s">
        <v>241</v>
      </c>
      <c r="C197" s="260"/>
      <c r="D197" s="261"/>
      <c r="E197" s="262"/>
      <c r="F197" s="263"/>
      <c r="G197" s="264"/>
      <c r="H197" s="265"/>
      <c r="I197" s="265"/>
      <c r="J197" s="265"/>
      <c r="K197" s="265"/>
      <c r="L197" s="265"/>
      <c r="M197" s="266"/>
      <c r="N197" s="308"/>
      <c r="O197" s="309"/>
      <c r="P197" s="310"/>
      <c r="Q197" s="309"/>
      <c r="R197" s="309"/>
      <c r="S197" s="311"/>
      <c r="T197" s="312"/>
      <c r="U197" s="313"/>
      <c r="V197" s="316"/>
      <c r="W197" s="319">
        <f>Q197*-3+T197*-1+V197*-1</f>
        <v>0</v>
      </c>
      <c r="X197" s="322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  <c r="CF197" s="29"/>
      <c r="CG197" s="29"/>
      <c r="CH197" s="29"/>
      <c r="CI197" s="29"/>
      <c r="CJ197" s="29"/>
      <c r="CK197" s="29"/>
      <c r="CL197" s="29"/>
      <c r="CM197" s="29"/>
      <c r="CN197" s="29"/>
      <c r="CO197" s="29"/>
      <c r="CP197" s="29"/>
      <c r="CQ197" s="29"/>
      <c r="CR197" s="29"/>
      <c r="CS197" s="29"/>
      <c r="CT197" s="29"/>
      <c r="CU197" s="29"/>
      <c r="CV197" s="29"/>
      <c r="CW197" s="29"/>
    </row>
    <row r="198" spans="1:108" s="6" customFormat="1" ht="17.25" customHeight="1" x14ac:dyDescent="0.35">
      <c r="A198" s="1"/>
      <c r="B198" s="364" t="s">
        <v>207</v>
      </c>
      <c r="C198" s="365"/>
      <c r="D198" s="366"/>
      <c r="E198" s="367"/>
      <c r="F198" s="368"/>
      <c r="G198" s="264"/>
      <c r="H198" s="265"/>
      <c r="I198" s="265"/>
      <c r="J198" s="265"/>
      <c r="K198" s="265"/>
      <c r="L198" s="265"/>
      <c r="M198" s="266"/>
      <c r="N198" s="369"/>
      <c r="O198" s="370"/>
      <c r="P198" s="371"/>
      <c r="Q198" s="370"/>
      <c r="R198" s="370"/>
      <c r="S198" s="372"/>
      <c r="T198" s="373"/>
      <c r="U198" s="374"/>
      <c r="V198" s="375"/>
      <c r="W198" s="381"/>
      <c r="X198" s="382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  <c r="CF198" s="29"/>
      <c r="CG198" s="29"/>
      <c r="CH198" s="29"/>
      <c r="CI198" s="29"/>
      <c r="CJ198" s="29"/>
      <c r="CK198" s="29"/>
      <c r="CL198" s="29"/>
      <c r="CM198" s="29"/>
      <c r="CN198" s="29"/>
      <c r="CO198" s="29"/>
      <c r="CP198" s="29"/>
      <c r="CQ198" s="29"/>
      <c r="CR198" s="29"/>
      <c r="CS198" s="29"/>
      <c r="CT198" s="29"/>
      <c r="CU198" s="29"/>
      <c r="CV198" s="29"/>
      <c r="CW198" s="29"/>
    </row>
    <row r="199" spans="1:108" s="6" customFormat="1" ht="17.25" customHeight="1" x14ac:dyDescent="0.35">
      <c r="A199" s="1"/>
      <c r="B199" s="364" t="s">
        <v>209</v>
      </c>
      <c r="C199" s="365"/>
      <c r="D199" s="366"/>
      <c r="E199" s="367"/>
      <c r="F199" s="368"/>
      <c r="G199" s="264"/>
      <c r="H199" s="265"/>
      <c r="I199" s="265"/>
      <c r="J199" s="265"/>
      <c r="K199" s="265"/>
      <c r="L199" s="265"/>
      <c r="M199" s="266"/>
      <c r="N199" s="369"/>
      <c r="O199" s="370"/>
      <c r="P199" s="371"/>
      <c r="Q199" s="370"/>
      <c r="R199" s="370"/>
      <c r="S199" s="372"/>
      <c r="T199" s="373"/>
      <c r="U199" s="374"/>
      <c r="V199" s="375"/>
      <c r="W199" s="381"/>
      <c r="X199" s="382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  <c r="CF199" s="29"/>
      <c r="CG199" s="29"/>
      <c r="CH199" s="29"/>
      <c r="CI199" s="29"/>
      <c r="CJ199" s="29"/>
      <c r="CK199" s="29"/>
      <c r="CL199" s="29"/>
      <c r="CM199" s="29"/>
      <c r="CN199" s="29"/>
      <c r="CO199" s="29"/>
      <c r="CP199" s="29"/>
      <c r="CQ199" s="29"/>
      <c r="CR199" s="29"/>
      <c r="CS199" s="29"/>
      <c r="CT199" s="29"/>
      <c r="CU199" s="29"/>
      <c r="CV199" s="29"/>
      <c r="CW199" s="29"/>
    </row>
    <row r="200" spans="1:108" s="6" customFormat="1" ht="17.25" customHeight="1" x14ac:dyDescent="0.35">
      <c r="A200" s="1"/>
      <c r="B200" s="364" t="s">
        <v>91</v>
      </c>
      <c r="C200" s="365"/>
      <c r="D200" s="366"/>
      <c r="E200" s="367"/>
      <c r="F200" s="368"/>
      <c r="G200" s="264"/>
      <c r="H200" s="265"/>
      <c r="I200" s="265"/>
      <c r="J200" s="265"/>
      <c r="K200" s="265"/>
      <c r="L200" s="265"/>
      <c r="M200" s="266"/>
      <c r="N200" s="369"/>
      <c r="O200" s="370"/>
      <c r="P200" s="371"/>
      <c r="Q200" s="370"/>
      <c r="R200" s="370"/>
      <c r="S200" s="372"/>
      <c r="T200" s="373"/>
      <c r="U200" s="374"/>
      <c r="V200" s="375"/>
      <c r="W200" s="381"/>
      <c r="X200" s="382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  <c r="CF200" s="29"/>
      <c r="CG200" s="29"/>
      <c r="CH200" s="29"/>
      <c r="CI200" s="29"/>
      <c r="CJ200" s="29"/>
      <c r="CK200" s="29"/>
      <c r="CL200" s="29"/>
      <c r="CM200" s="29"/>
      <c r="CN200" s="29"/>
      <c r="CO200" s="29"/>
      <c r="CP200" s="29"/>
      <c r="CQ200" s="29"/>
      <c r="CR200" s="29"/>
      <c r="CS200" s="29"/>
      <c r="CT200" s="29"/>
      <c r="CU200" s="29"/>
      <c r="CV200" s="29"/>
      <c r="CW200" s="29"/>
    </row>
    <row r="201" spans="1:108" s="6" customFormat="1" ht="17.25" customHeight="1" x14ac:dyDescent="0.35">
      <c r="A201" s="1"/>
      <c r="B201" s="364" t="s">
        <v>92</v>
      </c>
      <c r="C201" s="365"/>
      <c r="D201" s="366"/>
      <c r="E201" s="367"/>
      <c r="F201" s="368"/>
      <c r="G201" s="264"/>
      <c r="H201" s="265"/>
      <c r="I201" s="265"/>
      <c r="J201" s="265"/>
      <c r="K201" s="265"/>
      <c r="L201" s="265"/>
      <c r="M201" s="266"/>
      <c r="N201" s="369"/>
      <c r="O201" s="370"/>
      <c r="P201" s="371"/>
      <c r="Q201" s="370"/>
      <c r="R201" s="370"/>
      <c r="S201" s="372"/>
      <c r="T201" s="373"/>
      <c r="U201" s="374"/>
      <c r="V201" s="375"/>
      <c r="W201" s="381"/>
      <c r="X201" s="382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  <c r="CF201" s="29"/>
      <c r="CG201" s="29"/>
      <c r="CH201" s="29"/>
      <c r="CI201" s="29"/>
      <c r="CJ201" s="29"/>
      <c r="CK201" s="29"/>
      <c r="CL201" s="29"/>
      <c r="CM201" s="29"/>
      <c r="CN201" s="29"/>
      <c r="CO201" s="29"/>
      <c r="CP201" s="29"/>
      <c r="CQ201" s="29"/>
      <c r="CR201" s="29"/>
      <c r="CS201" s="29"/>
      <c r="CT201" s="29"/>
      <c r="CU201" s="29"/>
      <c r="CV201" s="29"/>
      <c r="CW201" s="29"/>
    </row>
    <row r="202" spans="1:108" s="6" customFormat="1" ht="17.25" customHeight="1" x14ac:dyDescent="0.35">
      <c r="A202" s="1"/>
      <c r="B202" s="364" t="s">
        <v>93</v>
      </c>
      <c r="C202" s="365"/>
      <c r="D202" s="366"/>
      <c r="E202" s="367"/>
      <c r="F202" s="368"/>
      <c r="G202" s="264"/>
      <c r="H202" s="265"/>
      <c r="I202" s="265"/>
      <c r="J202" s="265"/>
      <c r="K202" s="265"/>
      <c r="L202" s="265"/>
      <c r="M202" s="266"/>
      <c r="N202" s="369"/>
      <c r="O202" s="370"/>
      <c r="P202" s="371"/>
      <c r="Q202" s="370"/>
      <c r="R202" s="370"/>
      <c r="S202" s="372"/>
      <c r="T202" s="373"/>
      <c r="U202" s="374"/>
      <c r="V202" s="375"/>
      <c r="W202" s="381"/>
      <c r="X202" s="382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  <c r="CF202" s="29"/>
      <c r="CG202" s="29"/>
      <c r="CH202" s="29"/>
      <c r="CI202" s="29"/>
      <c r="CJ202" s="29"/>
      <c r="CK202" s="29"/>
      <c r="CL202" s="29"/>
      <c r="CM202" s="29"/>
      <c r="CN202" s="29"/>
      <c r="CO202" s="29"/>
      <c r="CP202" s="29"/>
      <c r="CQ202" s="29"/>
      <c r="CR202" s="29"/>
      <c r="CS202" s="29"/>
      <c r="CT202" s="29"/>
      <c r="CU202" s="29"/>
      <c r="CV202" s="29"/>
      <c r="CW202" s="29"/>
    </row>
    <row r="203" spans="1:108" s="6" customFormat="1" ht="17.25" customHeight="1" x14ac:dyDescent="0.35">
      <c r="A203" s="1"/>
      <c r="B203" s="364" t="s">
        <v>94</v>
      </c>
      <c r="C203" s="365"/>
      <c r="D203" s="366"/>
      <c r="E203" s="367"/>
      <c r="F203" s="368"/>
      <c r="G203" s="264"/>
      <c r="H203" s="265"/>
      <c r="I203" s="265"/>
      <c r="J203" s="265"/>
      <c r="K203" s="265"/>
      <c r="L203" s="265"/>
      <c r="M203" s="266"/>
      <c r="N203" s="369"/>
      <c r="O203" s="370"/>
      <c r="P203" s="371"/>
      <c r="Q203" s="370"/>
      <c r="R203" s="370"/>
      <c r="S203" s="372"/>
      <c r="T203" s="373"/>
      <c r="U203" s="374"/>
      <c r="V203" s="375"/>
      <c r="W203" s="381"/>
      <c r="X203" s="382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  <c r="CF203" s="29"/>
      <c r="CG203" s="29"/>
      <c r="CH203" s="29"/>
      <c r="CI203" s="29"/>
      <c r="CJ203" s="29"/>
      <c r="CK203" s="29"/>
      <c r="CL203" s="29"/>
      <c r="CM203" s="29"/>
      <c r="CN203" s="29"/>
      <c r="CO203" s="29"/>
      <c r="CP203" s="29"/>
      <c r="CQ203" s="29"/>
      <c r="CR203" s="29"/>
      <c r="CS203" s="29"/>
      <c r="CT203" s="29"/>
      <c r="CU203" s="29"/>
      <c r="CV203" s="29"/>
      <c r="CW203" s="29"/>
    </row>
    <row r="204" spans="1:108" s="6" customFormat="1" ht="17.25" customHeight="1" x14ac:dyDescent="0.35">
      <c r="A204" s="1"/>
      <c r="B204" s="364" t="s">
        <v>95</v>
      </c>
      <c r="C204" s="365"/>
      <c r="D204" s="366"/>
      <c r="E204" s="367"/>
      <c r="F204" s="368"/>
      <c r="G204" s="264"/>
      <c r="H204" s="265"/>
      <c r="I204" s="265"/>
      <c r="J204" s="265"/>
      <c r="K204" s="265"/>
      <c r="L204" s="265"/>
      <c r="M204" s="266"/>
      <c r="N204" s="369"/>
      <c r="O204" s="370"/>
      <c r="P204" s="371"/>
      <c r="Q204" s="370"/>
      <c r="R204" s="370"/>
      <c r="S204" s="372"/>
      <c r="T204" s="373"/>
      <c r="U204" s="374"/>
      <c r="V204" s="375"/>
      <c r="W204" s="381"/>
      <c r="X204" s="382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  <c r="CF204" s="29"/>
      <c r="CG204" s="29"/>
      <c r="CH204" s="29"/>
      <c r="CI204" s="29"/>
      <c r="CJ204" s="29"/>
      <c r="CK204" s="29"/>
      <c r="CL204" s="29"/>
      <c r="CM204" s="29"/>
      <c r="CN204" s="29"/>
      <c r="CO204" s="29"/>
      <c r="CP204" s="29"/>
      <c r="CQ204" s="29"/>
      <c r="CR204" s="29"/>
      <c r="CS204" s="29"/>
      <c r="CT204" s="29"/>
      <c r="CU204" s="29"/>
      <c r="CV204" s="29"/>
      <c r="CW204" s="29"/>
    </row>
    <row r="205" spans="1:108" s="6" customFormat="1" ht="17.25" customHeight="1" x14ac:dyDescent="0.35">
      <c r="A205" s="1"/>
      <c r="B205" s="364" t="s">
        <v>96</v>
      </c>
      <c r="C205" s="365"/>
      <c r="D205" s="366"/>
      <c r="E205" s="367"/>
      <c r="F205" s="368"/>
      <c r="G205" s="264"/>
      <c r="H205" s="265"/>
      <c r="I205" s="265"/>
      <c r="J205" s="265"/>
      <c r="K205" s="265"/>
      <c r="L205" s="265"/>
      <c r="M205" s="266"/>
      <c r="N205" s="369"/>
      <c r="O205" s="370"/>
      <c r="P205" s="371"/>
      <c r="Q205" s="370"/>
      <c r="R205" s="370"/>
      <c r="S205" s="372"/>
      <c r="T205" s="373"/>
      <c r="U205" s="374"/>
      <c r="V205" s="375"/>
      <c r="W205" s="381"/>
      <c r="X205" s="382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  <c r="CF205" s="29"/>
      <c r="CG205" s="29"/>
      <c r="CH205" s="29"/>
      <c r="CI205" s="29"/>
      <c r="CJ205" s="29"/>
      <c r="CK205" s="29"/>
      <c r="CL205" s="29"/>
      <c r="CM205" s="29"/>
      <c r="CN205" s="29"/>
      <c r="CO205" s="29"/>
      <c r="CP205" s="29"/>
      <c r="CQ205" s="29"/>
      <c r="CR205" s="29"/>
      <c r="CS205" s="29"/>
      <c r="CT205" s="29"/>
      <c r="CU205" s="29"/>
      <c r="CV205" s="29"/>
      <c r="CW205" s="29"/>
    </row>
    <row r="206" spans="1:108" s="6" customFormat="1" ht="17.25" customHeight="1" x14ac:dyDescent="0.35">
      <c r="A206" s="1"/>
      <c r="B206" s="364" t="s">
        <v>210</v>
      </c>
      <c r="C206" s="365"/>
      <c r="D206" s="366"/>
      <c r="E206" s="367"/>
      <c r="F206" s="368"/>
      <c r="G206" s="264"/>
      <c r="H206" s="265"/>
      <c r="I206" s="265"/>
      <c r="J206" s="265"/>
      <c r="K206" s="265"/>
      <c r="L206" s="265"/>
      <c r="M206" s="266"/>
      <c r="N206" s="369"/>
      <c r="O206" s="370"/>
      <c r="P206" s="371"/>
      <c r="Q206" s="370"/>
      <c r="R206" s="370"/>
      <c r="S206" s="372"/>
      <c r="T206" s="373"/>
      <c r="U206" s="374"/>
      <c r="V206" s="375"/>
      <c r="W206" s="381"/>
      <c r="X206" s="382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  <c r="CF206" s="29"/>
      <c r="CG206" s="29"/>
      <c r="CH206" s="29"/>
      <c r="CI206" s="29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  <c r="CW206" s="29"/>
    </row>
    <row r="207" spans="1:108" s="6" customFormat="1" ht="17.25" customHeight="1" x14ac:dyDescent="0.35">
      <c r="A207" s="1"/>
      <c r="B207" s="364" t="s">
        <v>211</v>
      </c>
      <c r="C207" s="365"/>
      <c r="D207" s="366"/>
      <c r="E207" s="367"/>
      <c r="F207" s="368"/>
      <c r="G207" s="264"/>
      <c r="H207" s="265"/>
      <c r="I207" s="265"/>
      <c r="J207" s="265"/>
      <c r="K207" s="265"/>
      <c r="L207" s="265"/>
      <c r="M207" s="266"/>
      <c r="N207" s="369"/>
      <c r="O207" s="370"/>
      <c r="P207" s="371"/>
      <c r="Q207" s="370"/>
      <c r="R207" s="370"/>
      <c r="S207" s="372"/>
      <c r="T207" s="373"/>
      <c r="U207" s="374"/>
      <c r="V207" s="375"/>
      <c r="W207" s="381"/>
      <c r="X207" s="382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  <c r="CF207" s="29"/>
      <c r="CG207" s="29"/>
      <c r="CH207" s="29"/>
      <c r="CI207" s="29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  <c r="CW207" s="29"/>
    </row>
    <row r="208" spans="1:108" s="6" customFormat="1" ht="17.25" customHeight="1" x14ac:dyDescent="0.35">
      <c r="A208" s="1"/>
      <c r="B208" s="364" t="s">
        <v>212</v>
      </c>
      <c r="C208" s="365"/>
      <c r="D208" s="366"/>
      <c r="E208" s="367"/>
      <c r="F208" s="368"/>
      <c r="G208" s="264"/>
      <c r="H208" s="265"/>
      <c r="I208" s="265"/>
      <c r="J208" s="265"/>
      <c r="K208" s="265"/>
      <c r="L208" s="265"/>
      <c r="M208" s="266"/>
      <c r="N208" s="369"/>
      <c r="O208" s="370"/>
      <c r="P208" s="371"/>
      <c r="Q208" s="370"/>
      <c r="R208" s="370"/>
      <c r="S208" s="372"/>
      <c r="T208" s="373"/>
      <c r="U208" s="374"/>
      <c r="V208" s="375"/>
      <c r="W208" s="381"/>
      <c r="X208" s="382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  <c r="CF208" s="29"/>
      <c r="CG208" s="29"/>
      <c r="CH208" s="29"/>
      <c r="CI208" s="29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  <c r="CW208" s="29"/>
    </row>
    <row r="209" spans="1:101" s="6" customFormat="1" ht="17.25" customHeight="1" x14ac:dyDescent="0.35">
      <c r="A209" s="1"/>
      <c r="B209" s="364" t="s">
        <v>213</v>
      </c>
      <c r="C209" s="365"/>
      <c r="D209" s="366"/>
      <c r="E209" s="367"/>
      <c r="F209" s="368"/>
      <c r="G209" s="264"/>
      <c r="H209" s="265"/>
      <c r="I209" s="265"/>
      <c r="J209" s="265"/>
      <c r="K209" s="265"/>
      <c r="L209" s="265"/>
      <c r="M209" s="266"/>
      <c r="N209" s="369"/>
      <c r="O209" s="370"/>
      <c r="P209" s="371"/>
      <c r="Q209" s="370"/>
      <c r="R209" s="370"/>
      <c r="S209" s="372"/>
      <c r="T209" s="373"/>
      <c r="U209" s="374"/>
      <c r="V209" s="375"/>
      <c r="W209" s="381"/>
      <c r="X209" s="382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  <c r="CF209" s="29"/>
      <c r="CG209" s="29"/>
      <c r="CH209" s="29"/>
      <c r="CI209" s="29"/>
      <c r="CJ209" s="29"/>
      <c r="CK209" s="29"/>
      <c r="CL209" s="29"/>
      <c r="CM209" s="29"/>
      <c r="CN209" s="29"/>
      <c r="CO209" s="29"/>
      <c r="CP209" s="29"/>
      <c r="CQ209" s="29"/>
      <c r="CR209" s="29"/>
      <c r="CS209" s="29"/>
      <c r="CT209" s="29"/>
      <c r="CU209" s="29"/>
      <c r="CV209" s="29"/>
      <c r="CW209" s="29"/>
    </row>
    <row r="210" spans="1:101" s="6" customFormat="1" ht="17.25" customHeight="1" x14ac:dyDescent="0.35">
      <c r="A210" s="1"/>
      <c r="B210" s="364" t="s">
        <v>214</v>
      </c>
      <c r="C210" s="365"/>
      <c r="D210" s="366"/>
      <c r="E210" s="367"/>
      <c r="F210" s="368"/>
      <c r="G210" s="264"/>
      <c r="H210" s="265"/>
      <c r="I210" s="265"/>
      <c r="J210" s="265"/>
      <c r="K210" s="265"/>
      <c r="L210" s="265"/>
      <c r="M210" s="266"/>
      <c r="N210" s="369"/>
      <c r="O210" s="370"/>
      <c r="P210" s="371"/>
      <c r="Q210" s="370"/>
      <c r="R210" s="370"/>
      <c r="S210" s="372"/>
      <c r="T210" s="373"/>
      <c r="U210" s="374"/>
      <c r="V210" s="375"/>
      <c r="W210" s="381"/>
      <c r="X210" s="382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  <c r="CF210" s="29"/>
      <c r="CG210" s="29"/>
      <c r="CH210" s="29"/>
      <c r="CI210" s="29"/>
      <c r="CJ210" s="29"/>
      <c r="CK210" s="29"/>
      <c r="CL210" s="29"/>
      <c r="CM210" s="29"/>
      <c r="CN210" s="29"/>
      <c r="CO210" s="29"/>
      <c r="CP210" s="29"/>
      <c r="CQ210" s="29"/>
      <c r="CR210" s="29"/>
      <c r="CS210" s="29"/>
      <c r="CT210" s="29"/>
      <c r="CU210" s="29"/>
      <c r="CV210" s="29"/>
      <c r="CW210" s="29"/>
    </row>
    <row r="211" spans="1:101" s="6" customFormat="1" ht="17.25" customHeight="1" x14ac:dyDescent="0.35">
      <c r="A211" s="1"/>
      <c r="B211" s="364" t="s">
        <v>215</v>
      </c>
      <c r="C211" s="365"/>
      <c r="D211" s="366"/>
      <c r="E211" s="367"/>
      <c r="F211" s="368"/>
      <c r="G211" s="264"/>
      <c r="H211" s="265"/>
      <c r="I211" s="265"/>
      <c r="J211" s="265"/>
      <c r="K211" s="265"/>
      <c r="L211" s="265"/>
      <c r="M211" s="266"/>
      <c r="N211" s="369"/>
      <c r="O211" s="370"/>
      <c r="P211" s="371"/>
      <c r="Q211" s="370"/>
      <c r="R211" s="370"/>
      <c r="S211" s="372"/>
      <c r="T211" s="373"/>
      <c r="U211" s="374"/>
      <c r="V211" s="375"/>
      <c r="W211" s="381"/>
      <c r="X211" s="382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  <c r="CF211" s="29"/>
      <c r="CG211" s="29"/>
      <c r="CH211" s="29"/>
      <c r="CI211" s="29"/>
      <c r="CJ211" s="29"/>
      <c r="CK211" s="29"/>
      <c r="CL211" s="29"/>
      <c r="CM211" s="29"/>
      <c r="CN211" s="29"/>
      <c r="CO211" s="29"/>
      <c r="CP211" s="29"/>
      <c r="CQ211" s="29"/>
      <c r="CR211" s="29"/>
      <c r="CS211" s="29"/>
      <c r="CT211" s="29"/>
      <c r="CU211" s="29"/>
      <c r="CV211" s="29"/>
      <c r="CW211" s="29"/>
    </row>
    <row r="212" spans="1:101" s="6" customFormat="1" ht="17.25" customHeight="1" x14ac:dyDescent="0.35">
      <c r="A212" s="1"/>
      <c r="B212" s="364" t="s">
        <v>216</v>
      </c>
      <c r="C212" s="365"/>
      <c r="D212" s="366"/>
      <c r="E212" s="367"/>
      <c r="F212" s="368"/>
      <c r="G212" s="264"/>
      <c r="H212" s="265"/>
      <c r="I212" s="265"/>
      <c r="J212" s="265"/>
      <c r="K212" s="265"/>
      <c r="L212" s="265"/>
      <c r="M212" s="266"/>
      <c r="N212" s="369"/>
      <c r="O212" s="370"/>
      <c r="P212" s="371"/>
      <c r="Q212" s="370"/>
      <c r="R212" s="370"/>
      <c r="S212" s="372"/>
      <c r="T212" s="373"/>
      <c r="U212" s="374"/>
      <c r="V212" s="375"/>
      <c r="W212" s="381"/>
      <c r="X212" s="382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  <c r="CF212" s="29"/>
      <c r="CG212" s="29"/>
      <c r="CH212" s="29"/>
      <c r="CI212" s="29"/>
      <c r="CJ212" s="29"/>
      <c r="CK212" s="29"/>
      <c r="CL212" s="29"/>
      <c r="CM212" s="29"/>
      <c r="CN212" s="29"/>
      <c r="CO212" s="29"/>
      <c r="CP212" s="29"/>
      <c r="CQ212" s="29"/>
      <c r="CR212" s="29"/>
      <c r="CS212" s="29"/>
      <c r="CT212" s="29"/>
      <c r="CU212" s="29"/>
      <c r="CV212" s="29"/>
      <c r="CW212" s="29"/>
    </row>
    <row r="213" spans="1:101" s="6" customFormat="1" ht="17.25" customHeight="1" x14ac:dyDescent="0.35">
      <c r="A213" s="1"/>
      <c r="B213" s="364" t="s">
        <v>217</v>
      </c>
      <c r="C213" s="365"/>
      <c r="D213" s="366"/>
      <c r="E213" s="367"/>
      <c r="F213" s="368"/>
      <c r="G213" s="264"/>
      <c r="H213" s="265"/>
      <c r="I213" s="265"/>
      <c r="J213" s="265"/>
      <c r="K213" s="265"/>
      <c r="L213" s="265"/>
      <c r="M213" s="266"/>
      <c r="N213" s="369"/>
      <c r="O213" s="370"/>
      <c r="P213" s="371"/>
      <c r="Q213" s="370"/>
      <c r="R213" s="370"/>
      <c r="S213" s="372"/>
      <c r="T213" s="373"/>
      <c r="U213" s="374"/>
      <c r="V213" s="375"/>
      <c r="W213" s="381"/>
      <c r="X213" s="382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  <c r="CF213" s="29"/>
      <c r="CG213" s="29"/>
      <c r="CH213" s="29"/>
      <c r="CI213" s="29"/>
      <c r="CJ213" s="29"/>
      <c r="CK213" s="29"/>
      <c r="CL213" s="29"/>
      <c r="CM213" s="29"/>
      <c r="CN213" s="29"/>
      <c r="CO213" s="29"/>
      <c r="CP213" s="29"/>
      <c r="CQ213" s="29"/>
      <c r="CR213" s="29"/>
      <c r="CS213" s="29"/>
      <c r="CT213" s="29"/>
      <c r="CU213" s="29"/>
      <c r="CV213" s="29"/>
      <c r="CW213" s="29"/>
    </row>
    <row r="214" spans="1:101" s="6" customFormat="1" ht="17.25" customHeight="1" x14ac:dyDescent="0.35">
      <c r="A214" s="1"/>
      <c r="B214" s="364" t="s">
        <v>218</v>
      </c>
      <c r="C214" s="365"/>
      <c r="D214" s="366"/>
      <c r="E214" s="367"/>
      <c r="F214" s="368"/>
      <c r="G214" s="264"/>
      <c r="H214" s="265"/>
      <c r="I214" s="265"/>
      <c r="J214" s="265"/>
      <c r="K214" s="265"/>
      <c r="L214" s="265"/>
      <c r="M214" s="266"/>
      <c r="N214" s="369"/>
      <c r="O214" s="370"/>
      <c r="P214" s="371"/>
      <c r="Q214" s="370"/>
      <c r="R214" s="370"/>
      <c r="S214" s="372"/>
      <c r="T214" s="373"/>
      <c r="U214" s="374"/>
      <c r="V214" s="375"/>
      <c r="W214" s="381"/>
      <c r="X214" s="382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  <c r="CF214" s="29"/>
      <c r="CG214" s="29"/>
      <c r="CH214" s="29"/>
      <c r="CI214" s="29"/>
      <c r="CJ214" s="29"/>
      <c r="CK214" s="29"/>
      <c r="CL214" s="29"/>
      <c r="CM214" s="29"/>
      <c r="CN214" s="29"/>
      <c r="CO214" s="29"/>
      <c r="CP214" s="29"/>
      <c r="CQ214" s="29"/>
      <c r="CR214" s="29"/>
      <c r="CS214" s="29"/>
      <c r="CT214" s="29"/>
      <c r="CU214" s="29"/>
      <c r="CV214" s="29"/>
      <c r="CW214" s="29"/>
    </row>
    <row r="215" spans="1:101" s="6" customFormat="1" ht="17.25" customHeight="1" x14ac:dyDescent="0.35">
      <c r="A215" s="1"/>
      <c r="B215" s="364" t="s">
        <v>219</v>
      </c>
      <c r="C215" s="365"/>
      <c r="D215" s="366"/>
      <c r="E215" s="367"/>
      <c r="F215" s="368"/>
      <c r="G215" s="264"/>
      <c r="H215" s="265"/>
      <c r="I215" s="265"/>
      <c r="J215" s="265"/>
      <c r="K215" s="265"/>
      <c r="L215" s="265"/>
      <c r="M215" s="266"/>
      <c r="N215" s="369"/>
      <c r="O215" s="370"/>
      <c r="P215" s="371"/>
      <c r="Q215" s="370"/>
      <c r="R215" s="370"/>
      <c r="S215" s="372"/>
      <c r="T215" s="373"/>
      <c r="U215" s="374"/>
      <c r="V215" s="375"/>
      <c r="W215" s="381"/>
      <c r="X215" s="382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  <c r="CF215" s="29"/>
      <c r="CG215" s="29"/>
      <c r="CH215" s="29"/>
      <c r="CI215" s="29"/>
      <c r="CJ215" s="29"/>
      <c r="CK215" s="29"/>
      <c r="CL215" s="29"/>
      <c r="CM215" s="29"/>
      <c r="CN215" s="29"/>
      <c r="CO215" s="29"/>
      <c r="CP215" s="29"/>
      <c r="CQ215" s="29"/>
      <c r="CR215" s="29"/>
      <c r="CS215" s="29"/>
      <c r="CT215" s="29"/>
      <c r="CU215" s="29"/>
      <c r="CV215" s="29"/>
      <c r="CW215" s="29"/>
    </row>
    <row r="216" spans="1:101" s="6" customFormat="1" ht="17.25" customHeight="1" x14ac:dyDescent="0.35">
      <c r="A216" s="1"/>
      <c r="B216" s="364" t="s">
        <v>220</v>
      </c>
      <c r="C216" s="365"/>
      <c r="D216" s="366"/>
      <c r="E216" s="367"/>
      <c r="F216" s="368"/>
      <c r="G216" s="264"/>
      <c r="H216" s="265"/>
      <c r="I216" s="265"/>
      <c r="J216" s="265"/>
      <c r="K216" s="265"/>
      <c r="L216" s="265"/>
      <c r="M216" s="266"/>
      <c r="N216" s="369"/>
      <c r="O216" s="370"/>
      <c r="P216" s="371"/>
      <c r="Q216" s="370"/>
      <c r="R216" s="370"/>
      <c r="S216" s="372"/>
      <c r="T216" s="373"/>
      <c r="U216" s="374"/>
      <c r="V216" s="375"/>
      <c r="W216" s="381"/>
      <c r="X216" s="382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  <c r="CF216" s="29"/>
      <c r="CG216" s="29"/>
      <c r="CH216" s="29"/>
      <c r="CI216" s="29"/>
      <c r="CJ216" s="29"/>
      <c r="CK216" s="29"/>
      <c r="CL216" s="29"/>
      <c r="CM216" s="29"/>
      <c r="CN216" s="29"/>
      <c r="CO216" s="29"/>
      <c r="CP216" s="29"/>
      <c r="CQ216" s="29"/>
      <c r="CR216" s="29"/>
      <c r="CS216" s="29"/>
      <c r="CT216" s="29"/>
      <c r="CU216" s="29"/>
      <c r="CV216" s="29"/>
      <c r="CW216" s="29"/>
    </row>
    <row r="217" spans="1:101" s="6" customFormat="1" ht="17.25" customHeight="1" x14ac:dyDescent="0.35">
      <c r="A217" s="1"/>
      <c r="B217" s="364" t="s">
        <v>221</v>
      </c>
      <c r="C217" s="365"/>
      <c r="D217" s="366"/>
      <c r="E217" s="367"/>
      <c r="F217" s="368"/>
      <c r="G217" s="264"/>
      <c r="H217" s="265"/>
      <c r="I217" s="265"/>
      <c r="J217" s="265"/>
      <c r="K217" s="265"/>
      <c r="L217" s="265"/>
      <c r="M217" s="266"/>
      <c r="N217" s="369"/>
      <c r="O217" s="370"/>
      <c r="P217" s="371"/>
      <c r="Q217" s="370"/>
      <c r="R217" s="370"/>
      <c r="S217" s="372"/>
      <c r="T217" s="373"/>
      <c r="U217" s="374"/>
      <c r="V217" s="375"/>
      <c r="W217" s="381"/>
      <c r="X217" s="382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  <c r="CF217" s="29"/>
      <c r="CG217" s="29"/>
      <c r="CH217" s="29"/>
      <c r="CI217" s="29"/>
      <c r="CJ217" s="29"/>
      <c r="CK217" s="29"/>
      <c r="CL217" s="29"/>
      <c r="CM217" s="29"/>
      <c r="CN217" s="29"/>
      <c r="CO217" s="29"/>
      <c r="CP217" s="29"/>
      <c r="CQ217" s="29"/>
      <c r="CR217" s="29"/>
      <c r="CS217" s="29"/>
      <c r="CT217" s="29"/>
      <c r="CU217" s="29"/>
      <c r="CV217" s="29"/>
      <c r="CW217" s="29"/>
    </row>
    <row r="218" spans="1:101" s="6" customFormat="1" ht="17.25" customHeight="1" x14ac:dyDescent="0.35">
      <c r="A218" s="1"/>
      <c r="B218" s="364" t="s">
        <v>222</v>
      </c>
      <c r="C218" s="365"/>
      <c r="D218" s="366"/>
      <c r="E218" s="367"/>
      <c r="F218" s="368"/>
      <c r="G218" s="264"/>
      <c r="H218" s="265"/>
      <c r="I218" s="265"/>
      <c r="J218" s="265"/>
      <c r="K218" s="265"/>
      <c r="L218" s="265"/>
      <c r="M218" s="266"/>
      <c r="N218" s="369"/>
      <c r="O218" s="370"/>
      <c r="P218" s="371"/>
      <c r="Q218" s="370"/>
      <c r="R218" s="370"/>
      <c r="S218" s="372"/>
      <c r="T218" s="373"/>
      <c r="U218" s="374"/>
      <c r="V218" s="375"/>
      <c r="W218" s="381"/>
      <c r="X218" s="382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  <c r="CF218" s="29"/>
      <c r="CG218" s="29"/>
      <c r="CH218" s="29"/>
      <c r="CI218" s="29"/>
      <c r="CJ218" s="29"/>
      <c r="CK218" s="29"/>
      <c r="CL218" s="29"/>
      <c r="CM218" s="29"/>
      <c r="CN218" s="29"/>
      <c r="CO218" s="29"/>
      <c r="CP218" s="29"/>
      <c r="CQ218" s="29"/>
      <c r="CR218" s="29"/>
      <c r="CS218" s="29"/>
      <c r="CT218" s="29"/>
      <c r="CU218" s="29"/>
      <c r="CV218" s="29"/>
      <c r="CW218" s="29"/>
    </row>
    <row r="219" spans="1:101" s="6" customFormat="1" ht="17.25" customHeight="1" x14ac:dyDescent="0.35">
      <c r="A219" s="1"/>
      <c r="B219" s="364" t="s">
        <v>223</v>
      </c>
      <c r="C219" s="365"/>
      <c r="D219" s="366"/>
      <c r="E219" s="367"/>
      <c r="F219" s="368"/>
      <c r="G219" s="264"/>
      <c r="H219" s="265"/>
      <c r="I219" s="265"/>
      <c r="J219" s="265"/>
      <c r="K219" s="265"/>
      <c r="L219" s="265"/>
      <c r="M219" s="266"/>
      <c r="N219" s="369"/>
      <c r="O219" s="370"/>
      <c r="P219" s="371"/>
      <c r="Q219" s="370"/>
      <c r="R219" s="370"/>
      <c r="S219" s="372"/>
      <c r="T219" s="373"/>
      <c r="U219" s="374"/>
      <c r="V219" s="375"/>
      <c r="W219" s="381"/>
      <c r="X219" s="382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  <c r="CF219" s="29"/>
      <c r="CG219" s="29"/>
      <c r="CH219" s="29"/>
      <c r="CI219" s="29"/>
      <c r="CJ219" s="29"/>
      <c r="CK219" s="29"/>
      <c r="CL219" s="29"/>
      <c r="CM219" s="29"/>
      <c r="CN219" s="29"/>
      <c r="CO219" s="29"/>
      <c r="CP219" s="29"/>
      <c r="CQ219" s="29"/>
      <c r="CR219" s="29"/>
      <c r="CS219" s="29"/>
      <c r="CT219" s="29"/>
      <c r="CU219" s="29"/>
      <c r="CV219" s="29"/>
      <c r="CW219" s="29"/>
    </row>
    <row r="220" spans="1:101" s="6" customFormat="1" ht="17.25" customHeight="1" x14ac:dyDescent="0.35">
      <c r="A220" s="1"/>
      <c r="B220" s="364" t="s">
        <v>224</v>
      </c>
      <c r="C220" s="365"/>
      <c r="D220" s="366"/>
      <c r="E220" s="367"/>
      <c r="F220" s="368"/>
      <c r="G220" s="264"/>
      <c r="H220" s="265"/>
      <c r="I220" s="265"/>
      <c r="J220" s="265"/>
      <c r="K220" s="265"/>
      <c r="L220" s="265"/>
      <c r="M220" s="266"/>
      <c r="N220" s="369"/>
      <c r="O220" s="370"/>
      <c r="P220" s="371"/>
      <c r="Q220" s="370"/>
      <c r="R220" s="370"/>
      <c r="S220" s="372"/>
      <c r="T220" s="373"/>
      <c r="U220" s="374"/>
      <c r="V220" s="375"/>
      <c r="W220" s="381"/>
      <c r="X220" s="382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  <c r="CF220" s="29"/>
      <c r="CG220" s="29"/>
      <c r="CH220" s="29"/>
      <c r="CI220" s="29"/>
      <c r="CJ220" s="29"/>
      <c r="CK220" s="29"/>
      <c r="CL220" s="29"/>
      <c r="CM220" s="29"/>
      <c r="CN220" s="29"/>
      <c r="CO220" s="29"/>
      <c r="CP220" s="29"/>
      <c r="CQ220" s="29"/>
      <c r="CR220" s="29"/>
      <c r="CS220" s="29"/>
      <c r="CT220" s="29"/>
      <c r="CU220" s="29"/>
      <c r="CV220" s="29"/>
      <c r="CW220" s="29"/>
    </row>
    <row r="221" spans="1:101" s="6" customFormat="1" ht="17.25" customHeight="1" x14ac:dyDescent="0.35">
      <c r="A221" s="1"/>
      <c r="B221" s="364" t="s">
        <v>225</v>
      </c>
      <c r="C221" s="365"/>
      <c r="D221" s="366"/>
      <c r="E221" s="367"/>
      <c r="F221" s="368"/>
      <c r="G221" s="264"/>
      <c r="H221" s="265"/>
      <c r="I221" s="265"/>
      <c r="J221" s="265"/>
      <c r="K221" s="265"/>
      <c r="L221" s="265"/>
      <c r="M221" s="266"/>
      <c r="N221" s="369"/>
      <c r="O221" s="370"/>
      <c r="P221" s="371"/>
      <c r="Q221" s="370"/>
      <c r="R221" s="370"/>
      <c r="S221" s="372"/>
      <c r="T221" s="373"/>
      <c r="U221" s="374"/>
      <c r="V221" s="375"/>
      <c r="W221" s="381"/>
      <c r="X221" s="382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  <c r="CF221" s="29"/>
      <c r="CG221" s="29"/>
      <c r="CH221" s="29"/>
      <c r="CI221" s="29"/>
      <c r="CJ221" s="29"/>
      <c r="CK221" s="29"/>
      <c r="CL221" s="29"/>
      <c r="CM221" s="29"/>
      <c r="CN221" s="29"/>
      <c r="CO221" s="29"/>
      <c r="CP221" s="29"/>
      <c r="CQ221" s="29"/>
      <c r="CR221" s="29"/>
      <c r="CS221" s="29"/>
      <c r="CT221" s="29"/>
      <c r="CU221" s="29"/>
      <c r="CV221" s="29"/>
      <c r="CW221" s="29"/>
    </row>
    <row r="222" spans="1:101" s="6" customFormat="1" ht="17.25" customHeight="1" x14ac:dyDescent="0.35">
      <c r="A222" s="1"/>
      <c r="B222" s="364" t="s">
        <v>226</v>
      </c>
      <c r="C222" s="365"/>
      <c r="D222" s="366"/>
      <c r="E222" s="367"/>
      <c r="F222" s="368"/>
      <c r="G222" s="264"/>
      <c r="H222" s="265"/>
      <c r="I222" s="265"/>
      <c r="J222" s="265"/>
      <c r="K222" s="265"/>
      <c r="L222" s="265"/>
      <c r="M222" s="266"/>
      <c r="N222" s="369"/>
      <c r="O222" s="370"/>
      <c r="P222" s="371"/>
      <c r="Q222" s="370"/>
      <c r="R222" s="370"/>
      <c r="S222" s="372"/>
      <c r="T222" s="373"/>
      <c r="U222" s="374"/>
      <c r="V222" s="375"/>
      <c r="W222" s="381"/>
      <c r="X222" s="382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  <c r="CF222" s="29"/>
      <c r="CG222" s="29"/>
      <c r="CH222" s="29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  <c r="CS222" s="29"/>
      <c r="CT222" s="29"/>
      <c r="CU222" s="29"/>
      <c r="CV222" s="29"/>
      <c r="CW222" s="29"/>
    </row>
    <row r="223" spans="1:101" s="6" customFormat="1" ht="17.25" customHeight="1" x14ac:dyDescent="0.35">
      <c r="A223" s="1"/>
      <c r="B223" s="364" t="s">
        <v>227</v>
      </c>
      <c r="C223" s="365"/>
      <c r="D223" s="366"/>
      <c r="E223" s="367"/>
      <c r="F223" s="368"/>
      <c r="G223" s="264"/>
      <c r="H223" s="265"/>
      <c r="I223" s="265"/>
      <c r="J223" s="265"/>
      <c r="K223" s="265"/>
      <c r="L223" s="265"/>
      <c r="M223" s="266"/>
      <c r="N223" s="369"/>
      <c r="O223" s="370"/>
      <c r="P223" s="371"/>
      <c r="Q223" s="370"/>
      <c r="R223" s="370"/>
      <c r="S223" s="372"/>
      <c r="T223" s="373"/>
      <c r="U223" s="374"/>
      <c r="V223" s="375"/>
      <c r="W223" s="381"/>
      <c r="X223" s="382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  <c r="CF223" s="29"/>
      <c r="CG223" s="29"/>
      <c r="CH223" s="29"/>
      <c r="CI223" s="29"/>
      <c r="CJ223" s="29"/>
      <c r="CK223" s="29"/>
      <c r="CL223" s="29"/>
      <c r="CM223" s="29"/>
      <c r="CN223" s="29"/>
      <c r="CO223" s="29"/>
      <c r="CP223" s="29"/>
      <c r="CQ223" s="29"/>
      <c r="CR223" s="29"/>
      <c r="CS223" s="29"/>
      <c r="CT223" s="29"/>
      <c r="CU223" s="29"/>
      <c r="CV223" s="29"/>
      <c r="CW223" s="29"/>
    </row>
    <row r="224" spans="1:101" s="6" customFormat="1" ht="17.25" customHeight="1" x14ac:dyDescent="0.35">
      <c r="A224" s="1"/>
      <c r="B224" s="364" t="s">
        <v>228</v>
      </c>
      <c r="C224" s="365"/>
      <c r="D224" s="366"/>
      <c r="E224" s="367"/>
      <c r="F224" s="368"/>
      <c r="G224" s="264"/>
      <c r="H224" s="265"/>
      <c r="I224" s="265"/>
      <c r="J224" s="265"/>
      <c r="K224" s="265"/>
      <c r="L224" s="265"/>
      <c r="M224" s="266"/>
      <c r="N224" s="369"/>
      <c r="O224" s="370"/>
      <c r="P224" s="371"/>
      <c r="Q224" s="370"/>
      <c r="R224" s="370"/>
      <c r="S224" s="372"/>
      <c r="T224" s="373"/>
      <c r="U224" s="374"/>
      <c r="V224" s="375"/>
      <c r="W224" s="381"/>
      <c r="X224" s="382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  <c r="CF224" s="29"/>
      <c r="CG224" s="29"/>
      <c r="CH224" s="29"/>
      <c r="CI224" s="29"/>
      <c r="CJ224" s="29"/>
      <c r="CK224" s="29"/>
      <c r="CL224" s="29"/>
      <c r="CM224" s="29"/>
      <c r="CN224" s="29"/>
      <c r="CO224" s="29"/>
      <c r="CP224" s="29"/>
      <c r="CQ224" s="29"/>
      <c r="CR224" s="29"/>
      <c r="CS224" s="29"/>
      <c r="CT224" s="29"/>
      <c r="CU224" s="29"/>
      <c r="CV224" s="29"/>
      <c r="CW224" s="29"/>
    </row>
    <row r="225" spans="1:108" s="6" customFormat="1" ht="17.25" customHeight="1" x14ac:dyDescent="0.35">
      <c r="A225" s="1"/>
      <c r="B225" s="364" t="s">
        <v>229</v>
      </c>
      <c r="C225" s="365"/>
      <c r="D225" s="366"/>
      <c r="E225" s="367"/>
      <c r="F225" s="368"/>
      <c r="G225" s="264"/>
      <c r="H225" s="265"/>
      <c r="I225" s="265"/>
      <c r="J225" s="265"/>
      <c r="K225" s="265"/>
      <c r="L225" s="265"/>
      <c r="M225" s="266"/>
      <c r="N225" s="369"/>
      <c r="O225" s="370"/>
      <c r="P225" s="371"/>
      <c r="Q225" s="370"/>
      <c r="R225" s="370"/>
      <c r="S225" s="372"/>
      <c r="T225" s="373"/>
      <c r="U225" s="374"/>
      <c r="V225" s="375"/>
      <c r="W225" s="381"/>
      <c r="X225" s="382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  <c r="CF225" s="29"/>
      <c r="CG225" s="29"/>
      <c r="CH225" s="29"/>
      <c r="CI225" s="29"/>
      <c r="CJ225" s="29"/>
      <c r="CK225" s="29"/>
      <c r="CL225" s="29"/>
      <c r="CM225" s="29"/>
      <c r="CN225" s="29"/>
      <c r="CO225" s="29"/>
      <c r="CP225" s="29"/>
      <c r="CQ225" s="29"/>
      <c r="CR225" s="29"/>
      <c r="CS225" s="29"/>
      <c r="CT225" s="29"/>
      <c r="CU225" s="29"/>
      <c r="CV225" s="29"/>
      <c r="CW225" s="29"/>
    </row>
    <row r="226" spans="1:108" s="6" customFormat="1" ht="17.25" customHeight="1" x14ac:dyDescent="0.35">
      <c r="A226" s="1"/>
      <c r="B226" s="364" t="s">
        <v>230</v>
      </c>
      <c r="C226" s="365"/>
      <c r="D226" s="366"/>
      <c r="E226" s="367"/>
      <c r="F226" s="368"/>
      <c r="G226" s="264"/>
      <c r="H226" s="265"/>
      <c r="I226" s="265"/>
      <c r="J226" s="265"/>
      <c r="K226" s="265"/>
      <c r="L226" s="265"/>
      <c r="M226" s="266"/>
      <c r="N226" s="369"/>
      <c r="O226" s="370"/>
      <c r="P226" s="371"/>
      <c r="Q226" s="370"/>
      <c r="R226" s="370"/>
      <c r="S226" s="372"/>
      <c r="T226" s="373"/>
      <c r="U226" s="374"/>
      <c r="V226" s="375"/>
      <c r="W226" s="381"/>
      <c r="X226" s="382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  <c r="CF226" s="29"/>
      <c r="CG226" s="29"/>
      <c r="CH226" s="29"/>
      <c r="CI226" s="29"/>
      <c r="CJ226" s="29"/>
      <c r="CK226" s="29"/>
      <c r="CL226" s="29"/>
      <c r="CM226" s="29"/>
      <c r="CN226" s="29"/>
      <c r="CO226" s="29"/>
      <c r="CP226" s="29"/>
      <c r="CQ226" s="29"/>
      <c r="CR226" s="29"/>
      <c r="CS226" s="29"/>
      <c r="CT226" s="29"/>
      <c r="CU226" s="29"/>
      <c r="CV226" s="29"/>
      <c r="CW226" s="29"/>
    </row>
    <row r="227" spans="1:108" s="6" customFormat="1" ht="17.25" customHeight="1" x14ac:dyDescent="0.35">
      <c r="A227" s="1"/>
      <c r="B227" s="364" t="s">
        <v>231</v>
      </c>
      <c r="C227" s="365"/>
      <c r="D227" s="366"/>
      <c r="E227" s="367"/>
      <c r="F227" s="368"/>
      <c r="G227" s="264"/>
      <c r="H227" s="265"/>
      <c r="I227" s="265"/>
      <c r="J227" s="265"/>
      <c r="K227" s="265"/>
      <c r="L227" s="265"/>
      <c r="M227" s="266"/>
      <c r="N227" s="369"/>
      <c r="O227" s="370"/>
      <c r="P227" s="371"/>
      <c r="Q227" s="370"/>
      <c r="R227" s="370"/>
      <c r="S227" s="372"/>
      <c r="T227" s="373"/>
      <c r="U227" s="374"/>
      <c r="V227" s="375"/>
      <c r="W227" s="381"/>
      <c r="X227" s="382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  <c r="CF227" s="29"/>
      <c r="CG227" s="29"/>
      <c r="CH227" s="29"/>
      <c r="CI227" s="29"/>
      <c r="CJ227" s="29"/>
      <c r="CK227" s="29"/>
      <c r="CL227" s="29"/>
      <c r="CM227" s="29"/>
      <c r="CN227" s="29"/>
      <c r="CO227" s="29"/>
      <c r="CP227" s="29"/>
      <c r="CQ227" s="29"/>
      <c r="CR227" s="29"/>
      <c r="CS227" s="29"/>
      <c r="CT227" s="29"/>
      <c r="CU227" s="29"/>
      <c r="CV227" s="29"/>
      <c r="CW227" s="29"/>
    </row>
    <row r="228" spans="1:108" s="6" customFormat="1" ht="17.25" customHeight="1" x14ac:dyDescent="0.35">
      <c r="A228" s="1"/>
      <c r="B228" s="364" t="s">
        <v>232</v>
      </c>
      <c r="C228" s="365"/>
      <c r="D228" s="366"/>
      <c r="E228" s="367"/>
      <c r="F228" s="368"/>
      <c r="G228" s="264"/>
      <c r="H228" s="265"/>
      <c r="I228" s="265"/>
      <c r="J228" s="265"/>
      <c r="K228" s="265"/>
      <c r="L228" s="265"/>
      <c r="M228" s="266"/>
      <c r="N228" s="369"/>
      <c r="O228" s="370"/>
      <c r="P228" s="371"/>
      <c r="Q228" s="370"/>
      <c r="R228" s="370"/>
      <c r="S228" s="372"/>
      <c r="T228" s="373"/>
      <c r="U228" s="374"/>
      <c r="V228" s="375"/>
      <c r="W228" s="381"/>
      <c r="X228" s="382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  <c r="CF228" s="29"/>
      <c r="CG228" s="29"/>
      <c r="CH228" s="29"/>
      <c r="CI228" s="29"/>
      <c r="CJ228" s="29"/>
      <c r="CK228" s="29"/>
      <c r="CL228" s="29"/>
      <c r="CM228" s="29"/>
      <c r="CN228" s="29"/>
      <c r="CO228" s="29"/>
      <c r="CP228" s="29"/>
      <c r="CQ228" s="29"/>
      <c r="CR228" s="29"/>
      <c r="CS228" s="29"/>
      <c r="CT228" s="29"/>
      <c r="CU228" s="29"/>
      <c r="CV228" s="29"/>
      <c r="CW228" s="29"/>
    </row>
    <row r="229" spans="1:108" s="6" customFormat="1" ht="17.25" customHeight="1" x14ac:dyDescent="0.35">
      <c r="A229" s="1"/>
      <c r="B229" s="364" t="s">
        <v>233</v>
      </c>
      <c r="C229" s="365"/>
      <c r="D229" s="366"/>
      <c r="E229" s="367"/>
      <c r="F229" s="368"/>
      <c r="G229" s="264"/>
      <c r="H229" s="265"/>
      <c r="I229" s="265"/>
      <c r="J229" s="265"/>
      <c r="K229" s="265"/>
      <c r="L229" s="265"/>
      <c r="M229" s="266"/>
      <c r="N229" s="369"/>
      <c r="O229" s="370"/>
      <c r="P229" s="371"/>
      <c r="Q229" s="370"/>
      <c r="R229" s="370"/>
      <c r="S229" s="372"/>
      <c r="T229" s="373"/>
      <c r="U229" s="374"/>
      <c r="V229" s="375"/>
      <c r="W229" s="381"/>
      <c r="X229" s="382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  <c r="CF229" s="29"/>
      <c r="CG229" s="29"/>
      <c r="CH229" s="29"/>
      <c r="CI229" s="29"/>
      <c r="CJ229" s="29"/>
      <c r="CK229" s="29"/>
      <c r="CL229" s="29"/>
      <c r="CM229" s="29"/>
      <c r="CN229" s="29"/>
      <c r="CO229" s="29"/>
      <c r="CP229" s="29"/>
      <c r="CQ229" s="29"/>
      <c r="CR229" s="29"/>
      <c r="CS229" s="29"/>
      <c r="CT229" s="29"/>
      <c r="CU229" s="29"/>
      <c r="CV229" s="29"/>
      <c r="CW229" s="29"/>
    </row>
    <row r="230" spans="1:108" s="6" customFormat="1" ht="17.25" customHeight="1" x14ac:dyDescent="0.35">
      <c r="A230" s="1"/>
      <c r="B230" s="364" t="s">
        <v>234</v>
      </c>
      <c r="C230" s="365"/>
      <c r="D230" s="366"/>
      <c r="E230" s="367"/>
      <c r="F230" s="368"/>
      <c r="G230" s="264"/>
      <c r="H230" s="265"/>
      <c r="I230" s="265"/>
      <c r="J230" s="265"/>
      <c r="K230" s="265"/>
      <c r="L230" s="265"/>
      <c r="M230" s="266"/>
      <c r="N230" s="369"/>
      <c r="O230" s="370"/>
      <c r="P230" s="371"/>
      <c r="Q230" s="370"/>
      <c r="R230" s="370"/>
      <c r="S230" s="372"/>
      <c r="T230" s="373"/>
      <c r="U230" s="374"/>
      <c r="V230" s="375"/>
      <c r="W230" s="381"/>
      <c r="X230" s="382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  <c r="CF230" s="29"/>
      <c r="CG230" s="29"/>
      <c r="CH230" s="29"/>
      <c r="CI230" s="29"/>
      <c r="CJ230" s="29"/>
      <c r="CK230" s="29"/>
      <c r="CL230" s="29"/>
      <c r="CM230" s="29"/>
      <c r="CN230" s="29"/>
      <c r="CO230" s="29"/>
      <c r="CP230" s="29"/>
      <c r="CQ230" s="29"/>
      <c r="CR230" s="29"/>
      <c r="CS230" s="29"/>
      <c r="CT230" s="29"/>
      <c r="CU230" s="29"/>
      <c r="CV230" s="29"/>
      <c r="CW230" s="29"/>
    </row>
    <row r="231" spans="1:108" s="6" customFormat="1" ht="17.25" customHeight="1" x14ac:dyDescent="0.35">
      <c r="A231" s="1"/>
      <c r="B231" s="364" t="s">
        <v>235</v>
      </c>
      <c r="C231" s="365"/>
      <c r="D231" s="366"/>
      <c r="E231" s="367"/>
      <c r="F231" s="368"/>
      <c r="G231" s="264"/>
      <c r="H231" s="265"/>
      <c r="I231" s="265"/>
      <c r="J231" s="265"/>
      <c r="K231" s="265"/>
      <c r="L231" s="265"/>
      <c r="M231" s="266"/>
      <c r="N231" s="369"/>
      <c r="O231" s="370"/>
      <c r="P231" s="371"/>
      <c r="Q231" s="370"/>
      <c r="R231" s="370"/>
      <c r="S231" s="372"/>
      <c r="T231" s="373"/>
      <c r="U231" s="374"/>
      <c r="V231" s="375"/>
      <c r="W231" s="381"/>
      <c r="X231" s="382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  <c r="CF231" s="29"/>
      <c r="CG231" s="29"/>
      <c r="CH231" s="29"/>
      <c r="CI231" s="29"/>
      <c r="CJ231" s="29"/>
      <c r="CK231" s="29"/>
      <c r="CL231" s="29"/>
      <c r="CM231" s="29"/>
      <c r="CN231" s="29"/>
      <c r="CO231" s="29"/>
      <c r="CP231" s="29"/>
      <c r="CQ231" s="29"/>
      <c r="CR231" s="29"/>
      <c r="CS231" s="29"/>
      <c r="CT231" s="29"/>
      <c r="CU231" s="29"/>
      <c r="CV231" s="29"/>
      <c r="CW231" s="29"/>
    </row>
    <row r="232" spans="1:108" ht="14.25" customHeight="1" x14ac:dyDescent="0.35">
      <c r="B232" s="267" t="s">
        <v>236</v>
      </c>
      <c r="C232" s="268"/>
      <c r="D232" s="269"/>
      <c r="E232" s="270"/>
      <c r="F232" s="271"/>
      <c r="G232" s="272"/>
      <c r="H232" s="273"/>
      <c r="I232" s="273"/>
      <c r="J232" s="273"/>
      <c r="K232" s="273"/>
      <c r="L232" s="273"/>
      <c r="M232" s="274"/>
      <c r="N232" s="275"/>
      <c r="O232" s="276"/>
      <c r="P232" s="277"/>
      <c r="Q232" s="276"/>
      <c r="R232" s="276"/>
      <c r="S232" s="278"/>
      <c r="T232" s="279"/>
      <c r="U232" s="280"/>
      <c r="V232" s="317"/>
      <c r="W232" s="320">
        <f t="shared" ref="W232:W236" si="4">Q232*-3+T232*-1+V232*-1</f>
        <v>0</v>
      </c>
      <c r="X232" s="323"/>
      <c r="Y232" s="29"/>
      <c r="CX232" s="1"/>
      <c r="CY232" s="1"/>
      <c r="CZ232" s="1"/>
      <c r="DA232" s="1"/>
      <c r="DB232" s="1"/>
      <c r="DC232" s="1"/>
      <c r="DD232" s="1"/>
    </row>
    <row r="233" spans="1:108" ht="14.25" customHeight="1" x14ac:dyDescent="0.35">
      <c r="B233" s="267" t="s">
        <v>237</v>
      </c>
      <c r="C233" s="268"/>
      <c r="D233" s="269"/>
      <c r="E233" s="270"/>
      <c r="F233" s="271"/>
      <c r="G233" s="272"/>
      <c r="H233" s="273"/>
      <c r="I233" s="273"/>
      <c r="J233" s="273"/>
      <c r="K233" s="273"/>
      <c r="L233" s="273"/>
      <c r="M233" s="274"/>
      <c r="N233" s="275"/>
      <c r="O233" s="276"/>
      <c r="P233" s="277"/>
      <c r="Q233" s="276"/>
      <c r="R233" s="276"/>
      <c r="S233" s="278"/>
      <c r="T233" s="279"/>
      <c r="U233" s="280"/>
      <c r="V233" s="317"/>
      <c r="W233" s="320">
        <f t="shared" si="4"/>
        <v>0</v>
      </c>
      <c r="X233" s="323"/>
      <c r="Y233" s="29"/>
      <c r="CX233" s="1"/>
      <c r="CY233" s="1"/>
      <c r="CZ233" s="1"/>
      <c r="DA233" s="1"/>
      <c r="DB233" s="1"/>
      <c r="DC233" s="1"/>
      <c r="DD233" s="1"/>
    </row>
    <row r="234" spans="1:108" ht="14.25" customHeight="1" x14ac:dyDescent="0.35">
      <c r="B234" s="267" t="s">
        <v>238</v>
      </c>
      <c r="C234" s="268"/>
      <c r="D234" s="269"/>
      <c r="E234" s="270"/>
      <c r="F234" s="271"/>
      <c r="G234" s="272"/>
      <c r="H234" s="273"/>
      <c r="I234" s="273"/>
      <c r="J234" s="273"/>
      <c r="K234" s="273"/>
      <c r="L234" s="273"/>
      <c r="M234" s="274"/>
      <c r="N234" s="275"/>
      <c r="O234" s="276"/>
      <c r="P234" s="277"/>
      <c r="Q234" s="276"/>
      <c r="R234" s="276"/>
      <c r="S234" s="278"/>
      <c r="T234" s="279"/>
      <c r="U234" s="280"/>
      <c r="V234" s="317"/>
      <c r="W234" s="320">
        <f t="shared" si="4"/>
        <v>0</v>
      </c>
      <c r="X234" s="323"/>
      <c r="Y234" s="29"/>
      <c r="CX234" s="1"/>
      <c r="CY234" s="1"/>
      <c r="CZ234" s="1"/>
      <c r="DA234" s="1"/>
      <c r="DB234" s="1"/>
      <c r="DC234" s="1"/>
      <c r="DD234" s="1"/>
    </row>
    <row r="235" spans="1:108" ht="14.25" customHeight="1" x14ac:dyDescent="0.35">
      <c r="B235" s="267" t="s">
        <v>239</v>
      </c>
      <c r="C235" s="268"/>
      <c r="D235" s="269"/>
      <c r="E235" s="270"/>
      <c r="F235" s="271"/>
      <c r="G235" s="272"/>
      <c r="H235" s="273"/>
      <c r="I235" s="273"/>
      <c r="J235" s="273"/>
      <c r="K235" s="273"/>
      <c r="L235" s="273"/>
      <c r="M235" s="274"/>
      <c r="N235" s="275"/>
      <c r="O235" s="276"/>
      <c r="P235" s="277"/>
      <c r="Q235" s="276"/>
      <c r="R235" s="276"/>
      <c r="S235" s="278"/>
      <c r="T235" s="279"/>
      <c r="U235" s="280"/>
      <c r="V235" s="317"/>
      <c r="W235" s="320">
        <f t="shared" si="4"/>
        <v>0</v>
      </c>
      <c r="X235" s="323"/>
      <c r="Y235" s="29"/>
      <c r="CX235" s="1"/>
      <c r="CY235" s="1"/>
      <c r="CZ235" s="1"/>
      <c r="DA235" s="1"/>
      <c r="DB235" s="1"/>
      <c r="DC235" s="1"/>
      <c r="DD235" s="1"/>
    </row>
    <row r="236" spans="1:108" ht="14.25" customHeight="1" thickBot="1" x14ac:dyDescent="0.4">
      <c r="B236" s="282" t="s">
        <v>240</v>
      </c>
      <c r="C236" s="283"/>
      <c r="D236" s="284"/>
      <c r="E236" s="285"/>
      <c r="F236" s="286"/>
      <c r="G236" s="287"/>
      <c r="H236" s="288"/>
      <c r="I236" s="288"/>
      <c r="J236" s="288"/>
      <c r="K236" s="288"/>
      <c r="L236" s="288"/>
      <c r="M236" s="289"/>
      <c r="N236" s="290"/>
      <c r="O236" s="291"/>
      <c r="P236" s="292"/>
      <c r="Q236" s="291"/>
      <c r="R236" s="291"/>
      <c r="S236" s="293"/>
      <c r="T236" s="294"/>
      <c r="U236" s="295"/>
      <c r="V236" s="318"/>
      <c r="W236" s="320">
        <f t="shared" si="4"/>
        <v>0</v>
      </c>
      <c r="X236" s="324"/>
      <c r="Y236" s="29"/>
      <c r="CX236" s="1"/>
      <c r="CY236" s="1"/>
      <c r="CZ236" s="1"/>
      <c r="DA236" s="1"/>
      <c r="DB236" s="1"/>
      <c r="DC236" s="1"/>
      <c r="DD236" s="1"/>
    </row>
    <row r="237" spans="1:108" ht="14.25" customHeight="1" thickBot="1" x14ac:dyDescent="0.25">
      <c r="B237" s="171"/>
      <c r="C237" s="241"/>
      <c r="D237" s="250"/>
      <c r="E237" s="251"/>
      <c r="F237" s="252"/>
      <c r="G237" s="255"/>
      <c r="H237" s="245"/>
      <c r="I237" s="245"/>
      <c r="J237" s="245"/>
      <c r="K237" s="245"/>
      <c r="L237" s="245"/>
      <c r="M237" s="246"/>
      <c r="N237" s="257"/>
      <c r="O237" s="192">
        <f>SUM(O197:O236)</f>
        <v>0</v>
      </c>
      <c r="P237" s="191" t="e">
        <f>AVERAGE(P197:P236)</f>
        <v>#DIV/0!</v>
      </c>
      <c r="Q237" s="191"/>
      <c r="R237" s="192">
        <f>SUM(R197:R236)</f>
        <v>0</v>
      </c>
      <c r="S237" s="191" t="e">
        <f>AVERAGE(S197:S236)</f>
        <v>#DIV/0!</v>
      </c>
      <c r="T237" s="191"/>
      <c r="U237" s="253" t="e">
        <f>AVERAGE(U197:U236)</f>
        <v>#DIV/0!</v>
      </c>
      <c r="V237" s="303"/>
      <c r="W237" s="257"/>
      <c r="X237" s="193"/>
      <c r="CX237" s="1"/>
      <c r="CY237" s="1"/>
      <c r="CZ237" s="1"/>
      <c r="DA237" s="1"/>
      <c r="DB237" s="1"/>
      <c r="DC237" s="1"/>
      <c r="DD237" s="1"/>
    </row>
    <row r="238" spans="1:108" ht="14.25" customHeight="1" x14ac:dyDescent="0.2">
      <c r="B238" s="3"/>
      <c r="C238" s="3"/>
      <c r="D238" s="3"/>
      <c r="E238" s="15"/>
      <c r="F238" s="3"/>
      <c r="G238" s="3"/>
      <c r="H238" s="175"/>
      <c r="I238" s="175"/>
      <c r="J238" s="175"/>
      <c r="K238" s="175"/>
      <c r="L238" s="175"/>
      <c r="M238" s="175"/>
      <c r="N238" s="175"/>
      <c r="O238" s="175"/>
      <c r="P238" s="175"/>
      <c r="Q238" s="175"/>
      <c r="R238" s="175"/>
      <c r="S238" s="175"/>
      <c r="T238" s="175"/>
      <c r="U238" s="175"/>
      <c r="V238" s="175"/>
      <c r="W238" s="175"/>
      <c r="X238" s="175"/>
    </row>
    <row r="239" spans="1:108" ht="14.25" customHeight="1" x14ac:dyDescent="0.2">
      <c r="B239" s="3"/>
      <c r="C239" s="3"/>
      <c r="D239" s="3"/>
      <c r="E239" s="15"/>
      <c r="F239" s="3"/>
      <c r="G239" s="3"/>
      <c r="H239" s="175"/>
      <c r="I239" s="175"/>
      <c r="J239" s="175"/>
      <c r="K239" s="175"/>
      <c r="L239" s="175"/>
      <c r="M239" s="175"/>
      <c r="N239" s="175"/>
      <c r="O239" s="175"/>
      <c r="P239" s="175"/>
      <c r="Q239" s="175"/>
      <c r="R239" s="175"/>
      <c r="S239" s="175"/>
      <c r="T239" s="175"/>
      <c r="U239" s="175"/>
      <c r="V239" s="175"/>
      <c r="W239" s="175"/>
      <c r="X239" s="175"/>
    </row>
    <row r="240" spans="1:108" ht="14.25" customHeight="1" x14ac:dyDescent="0.2">
      <c r="B240" s="3"/>
      <c r="C240" s="3"/>
      <c r="D240" s="3"/>
      <c r="E240" s="15"/>
      <c r="F240" s="3"/>
      <c r="G240" s="3"/>
      <c r="H240" s="175"/>
      <c r="I240" s="175"/>
      <c r="J240" s="175"/>
      <c r="K240" s="175"/>
      <c r="L240" s="175"/>
      <c r="M240" s="175"/>
      <c r="N240" s="175"/>
      <c r="O240" s="175"/>
      <c r="P240" s="175"/>
      <c r="Q240" s="175"/>
      <c r="R240" s="175"/>
      <c r="S240" s="175"/>
      <c r="T240" s="175"/>
      <c r="U240" s="175"/>
      <c r="V240" s="175"/>
      <c r="W240" s="175"/>
      <c r="X240" s="175"/>
    </row>
    <row r="241" spans="1:108" ht="14.25" customHeight="1" x14ac:dyDescent="0.2"/>
    <row r="242" spans="1:108" ht="73.5" customHeight="1" thickBot="1" x14ac:dyDescent="0.25">
      <c r="B242" s="17" t="s">
        <v>49</v>
      </c>
      <c r="C242" s="17"/>
    </row>
    <row r="243" spans="1:108" ht="13.5" customHeight="1" thickBot="1" x14ac:dyDescent="0.25">
      <c r="A243" s="6"/>
      <c r="B243" s="385" t="s">
        <v>1</v>
      </c>
      <c r="C243" s="387" t="s">
        <v>77</v>
      </c>
      <c r="D243" s="389" t="s">
        <v>2</v>
      </c>
      <c r="E243" s="385" t="s">
        <v>3</v>
      </c>
      <c r="F243" s="391" t="s">
        <v>111</v>
      </c>
      <c r="G243" s="213"/>
      <c r="H243" s="254" t="s">
        <v>5</v>
      </c>
      <c r="I243" s="254"/>
      <c r="J243" s="254"/>
      <c r="K243" s="254"/>
      <c r="L243" s="254"/>
      <c r="M243" s="254"/>
      <c r="N243" s="247" t="s">
        <v>6</v>
      </c>
      <c r="O243" s="248"/>
      <c r="P243" s="248"/>
      <c r="Q243" s="248"/>
      <c r="R243" s="248"/>
      <c r="S243" s="248"/>
      <c r="T243" s="248"/>
      <c r="U243" s="248"/>
      <c r="V243" s="248"/>
      <c r="W243" s="249"/>
      <c r="X243" s="249"/>
      <c r="CX243" s="1"/>
      <c r="CY243" s="1"/>
      <c r="CZ243" s="1"/>
      <c r="DA243" s="1"/>
      <c r="DB243" s="1"/>
      <c r="DC243" s="1"/>
      <c r="DD243" s="1"/>
    </row>
    <row r="244" spans="1:108" s="6" customFormat="1" ht="29.25" customHeight="1" thickBot="1" x14ac:dyDescent="0.25">
      <c r="B244" s="386"/>
      <c r="C244" s="388"/>
      <c r="D244" s="390"/>
      <c r="E244" s="386"/>
      <c r="F244" s="392"/>
      <c r="G244" s="256" t="s">
        <v>140</v>
      </c>
      <c r="H244" s="153" t="s">
        <v>141</v>
      </c>
      <c r="I244" s="153" t="s">
        <v>142</v>
      </c>
      <c r="J244" s="153" t="s">
        <v>143</v>
      </c>
      <c r="K244" s="153" t="s">
        <v>163</v>
      </c>
      <c r="L244" s="153" t="s">
        <v>165</v>
      </c>
      <c r="M244" s="258" t="s">
        <v>167</v>
      </c>
      <c r="N244" s="304" t="s">
        <v>106</v>
      </c>
      <c r="O244" s="207" t="s">
        <v>18</v>
      </c>
      <c r="P244" s="207" t="s">
        <v>19</v>
      </c>
      <c r="Q244" s="207" t="s">
        <v>110</v>
      </c>
      <c r="R244" s="207" t="s">
        <v>20</v>
      </c>
      <c r="S244" s="305" t="s">
        <v>21</v>
      </c>
      <c r="T244" s="305" t="s">
        <v>109</v>
      </c>
      <c r="U244" s="306" t="s">
        <v>22</v>
      </c>
      <c r="V244" s="315" t="s">
        <v>110</v>
      </c>
      <c r="W244" s="304" t="s">
        <v>3</v>
      </c>
      <c r="X244" s="307" t="s">
        <v>133</v>
      </c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  <c r="CF244" s="29"/>
      <c r="CG244" s="29"/>
      <c r="CH244" s="29"/>
      <c r="CI244" s="29"/>
      <c r="CJ244" s="29"/>
      <c r="CK244" s="29"/>
      <c r="CL244" s="29"/>
      <c r="CM244" s="29"/>
      <c r="CN244" s="29"/>
      <c r="CO244" s="29"/>
      <c r="CP244" s="29"/>
      <c r="CQ244" s="29"/>
      <c r="CR244" s="29"/>
      <c r="CS244" s="29"/>
      <c r="CT244" s="29"/>
      <c r="CU244" s="29"/>
      <c r="CV244" s="29"/>
      <c r="CW244" s="29"/>
    </row>
    <row r="245" spans="1:108" s="6" customFormat="1" ht="18" customHeight="1" x14ac:dyDescent="0.35">
      <c r="A245" s="1"/>
      <c r="B245" s="259" t="s">
        <v>241</v>
      </c>
      <c r="C245" s="260"/>
      <c r="D245" s="261"/>
      <c r="E245" s="262"/>
      <c r="F245" s="263"/>
      <c r="G245" s="264"/>
      <c r="H245" s="265"/>
      <c r="I245" s="265"/>
      <c r="J245" s="265"/>
      <c r="K245" s="265"/>
      <c r="L245" s="265"/>
      <c r="M245" s="266"/>
      <c r="N245" s="308"/>
      <c r="O245" s="309"/>
      <c r="P245" s="310"/>
      <c r="Q245" s="309"/>
      <c r="R245" s="309"/>
      <c r="S245" s="311"/>
      <c r="T245" s="312"/>
      <c r="U245" s="313"/>
      <c r="V245" s="316"/>
      <c r="W245" s="319">
        <f>Q245*-3+T245*-1+V245*-1</f>
        <v>0</v>
      </c>
      <c r="X245" s="322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  <c r="CF245" s="29"/>
      <c r="CG245" s="29"/>
      <c r="CH245" s="29"/>
      <c r="CI245" s="29"/>
      <c r="CJ245" s="29"/>
      <c r="CK245" s="29"/>
      <c r="CL245" s="29"/>
      <c r="CM245" s="29"/>
      <c r="CN245" s="29"/>
      <c r="CO245" s="29"/>
      <c r="CP245" s="29"/>
      <c r="CQ245" s="29"/>
      <c r="CR245" s="29"/>
      <c r="CS245" s="29"/>
      <c r="CT245" s="29"/>
      <c r="CU245" s="29"/>
      <c r="CV245" s="29"/>
      <c r="CW245" s="29"/>
    </row>
    <row r="246" spans="1:108" s="6" customFormat="1" ht="18" customHeight="1" x14ac:dyDescent="0.35">
      <c r="A246" s="1"/>
      <c r="B246" s="364" t="s">
        <v>207</v>
      </c>
      <c r="C246" s="365"/>
      <c r="D246" s="366"/>
      <c r="E246" s="367"/>
      <c r="F246" s="368"/>
      <c r="G246" s="264"/>
      <c r="H246" s="265"/>
      <c r="I246" s="265"/>
      <c r="J246" s="265"/>
      <c r="K246" s="265"/>
      <c r="L246" s="265"/>
      <c r="M246" s="266"/>
      <c r="N246" s="369"/>
      <c r="O246" s="370"/>
      <c r="P246" s="371"/>
      <c r="Q246" s="370"/>
      <c r="R246" s="370"/>
      <c r="S246" s="372"/>
      <c r="T246" s="373"/>
      <c r="U246" s="374"/>
      <c r="V246" s="375"/>
      <c r="W246" s="381"/>
      <c r="X246" s="382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  <c r="CF246" s="29"/>
      <c r="CG246" s="29"/>
      <c r="CH246" s="29"/>
      <c r="CI246" s="29"/>
      <c r="CJ246" s="29"/>
      <c r="CK246" s="29"/>
      <c r="CL246" s="29"/>
      <c r="CM246" s="29"/>
      <c r="CN246" s="29"/>
      <c r="CO246" s="29"/>
      <c r="CP246" s="29"/>
      <c r="CQ246" s="29"/>
      <c r="CR246" s="29"/>
      <c r="CS246" s="29"/>
      <c r="CT246" s="29"/>
      <c r="CU246" s="29"/>
      <c r="CV246" s="29"/>
      <c r="CW246" s="29"/>
    </row>
    <row r="247" spans="1:108" s="6" customFormat="1" ht="18" customHeight="1" x14ac:dyDescent="0.35">
      <c r="A247" s="1"/>
      <c r="B247" s="364" t="s">
        <v>209</v>
      </c>
      <c r="C247" s="365"/>
      <c r="D247" s="366"/>
      <c r="E247" s="367"/>
      <c r="F247" s="368"/>
      <c r="G247" s="264"/>
      <c r="H247" s="265"/>
      <c r="I247" s="265"/>
      <c r="J247" s="265"/>
      <c r="K247" s="265"/>
      <c r="L247" s="265"/>
      <c r="M247" s="266"/>
      <c r="N247" s="369"/>
      <c r="O247" s="370"/>
      <c r="P247" s="371"/>
      <c r="Q247" s="370"/>
      <c r="R247" s="370"/>
      <c r="S247" s="372"/>
      <c r="T247" s="373"/>
      <c r="U247" s="374"/>
      <c r="V247" s="375"/>
      <c r="W247" s="381"/>
      <c r="X247" s="382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  <c r="CF247" s="29"/>
      <c r="CG247" s="29"/>
      <c r="CH247" s="29"/>
      <c r="CI247" s="29"/>
      <c r="CJ247" s="29"/>
      <c r="CK247" s="29"/>
      <c r="CL247" s="29"/>
      <c r="CM247" s="29"/>
      <c r="CN247" s="29"/>
      <c r="CO247" s="29"/>
      <c r="CP247" s="29"/>
      <c r="CQ247" s="29"/>
      <c r="CR247" s="29"/>
      <c r="CS247" s="29"/>
      <c r="CT247" s="29"/>
      <c r="CU247" s="29"/>
      <c r="CV247" s="29"/>
      <c r="CW247" s="29"/>
    </row>
    <row r="248" spans="1:108" s="6" customFormat="1" ht="18" customHeight="1" x14ac:dyDescent="0.35">
      <c r="A248" s="1"/>
      <c r="B248" s="364" t="s">
        <v>91</v>
      </c>
      <c r="C248" s="365"/>
      <c r="D248" s="366"/>
      <c r="E248" s="367"/>
      <c r="F248" s="368"/>
      <c r="G248" s="264"/>
      <c r="H248" s="265"/>
      <c r="I248" s="265"/>
      <c r="J248" s="265"/>
      <c r="K248" s="265"/>
      <c r="L248" s="265"/>
      <c r="M248" s="266"/>
      <c r="N248" s="369"/>
      <c r="O248" s="370"/>
      <c r="P248" s="371"/>
      <c r="Q248" s="370"/>
      <c r="R248" s="370"/>
      <c r="S248" s="372"/>
      <c r="T248" s="373"/>
      <c r="U248" s="374"/>
      <c r="V248" s="375"/>
      <c r="W248" s="381"/>
      <c r="X248" s="382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  <c r="CF248" s="29"/>
      <c r="CG248" s="29"/>
      <c r="CH248" s="29"/>
      <c r="CI248" s="29"/>
      <c r="CJ248" s="29"/>
      <c r="CK248" s="29"/>
      <c r="CL248" s="29"/>
      <c r="CM248" s="29"/>
      <c r="CN248" s="29"/>
      <c r="CO248" s="29"/>
      <c r="CP248" s="29"/>
      <c r="CQ248" s="29"/>
      <c r="CR248" s="29"/>
      <c r="CS248" s="29"/>
      <c r="CT248" s="29"/>
      <c r="CU248" s="29"/>
      <c r="CV248" s="29"/>
      <c r="CW248" s="29"/>
    </row>
    <row r="249" spans="1:108" s="6" customFormat="1" ht="18" customHeight="1" x14ac:dyDescent="0.35">
      <c r="A249" s="1"/>
      <c r="B249" s="364" t="s">
        <v>92</v>
      </c>
      <c r="C249" s="365"/>
      <c r="D249" s="366"/>
      <c r="E249" s="367"/>
      <c r="F249" s="368"/>
      <c r="G249" s="264"/>
      <c r="H249" s="265"/>
      <c r="I249" s="265"/>
      <c r="J249" s="265"/>
      <c r="K249" s="265"/>
      <c r="L249" s="265"/>
      <c r="M249" s="266"/>
      <c r="N249" s="369"/>
      <c r="O249" s="370"/>
      <c r="P249" s="371"/>
      <c r="Q249" s="370"/>
      <c r="R249" s="370"/>
      <c r="S249" s="372"/>
      <c r="T249" s="373"/>
      <c r="U249" s="374"/>
      <c r="V249" s="375"/>
      <c r="W249" s="381"/>
      <c r="X249" s="382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  <c r="CF249" s="29"/>
      <c r="CG249" s="29"/>
      <c r="CH249" s="29"/>
      <c r="CI249" s="29"/>
      <c r="CJ249" s="29"/>
      <c r="CK249" s="29"/>
      <c r="CL249" s="29"/>
      <c r="CM249" s="29"/>
      <c r="CN249" s="29"/>
      <c r="CO249" s="29"/>
      <c r="CP249" s="29"/>
      <c r="CQ249" s="29"/>
      <c r="CR249" s="29"/>
      <c r="CS249" s="29"/>
      <c r="CT249" s="29"/>
      <c r="CU249" s="29"/>
      <c r="CV249" s="29"/>
      <c r="CW249" s="29"/>
    </row>
    <row r="250" spans="1:108" s="6" customFormat="1" ht="18" customHeight="1" x14ac:dyDescent="0.35">
      <c r="A250" s="1"/>
      <c r="B250" s="364" t="s">
        <v>93</v>
      </c>
      <c r="C250" s="365"/>
      <c r="D250" s="366"/>
      <c r="E250" s="367"/>
      <c r="F250" s="368"/>
      <c r="G250" s="264"/>
      <c r="H250" s="265"/>
      <c r="I250" s="265"/>
      <c r="J250" s="265"/>
      <c r="K250" s="265"/>
      <c r="L250" s="265"/>
      <c r="M250" s="266"/>
      <c r="N250" s="369"/>
      <c r="O250" s="370"/>
      <c r="P250" s="371"/>
      <c r="Q250" s="370"/>
      <c r="R250" s="370"/>
      <c r="S250" s="372"/>
      <c r="T250" s="373"/>
      <c r="U250" s="374"/>
      <c r="V250" s="375"/>
      <c r="W250" s="381"/>
      <c r="X250" s="382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  <c r="CF250" s="29"/>
      <c r="CG250" s="29"/>
      <c r="CH250" s="29"/>
      <c r="CI250" s="29"/>
      <c r="CJ250" s="29"/>
      <c r="CK250" s="29"/>
      <c r="CL250" s="29"/>
      <c r="CM250" s="29"/>
      <c r="CN250" s="29"/>
      <c r="CO250" s="29"/>
      <c r="CP250" s="29"/>
      <c r="CQ250" s="29"/>
      <c r="CR250" s="29"/>
      <c r="CS250" s="29"/>
      <c r="CT250" s="29"/>
      <c r="CU250" s="29"/>
      <c r="CV250" s="29"/>
      <c r="CW250" s="29"/>
    </row>
    <row r="251" spans="1:108" s="6" customFormat="1" ht="18" customHeight="1" x14ac:dyDescent="0.35">
      <c r="A251" s="1"/>
      <c r="B251" s="364" t="s">
        <v>94</v>
      </c>
      <c r="C251" s="365"/>
      <c r="D251" s="366"/>
      <c r="E251" s="367"/>
      <c r="F251" s="368"/>
      <c r="G251" s="264"/>
      <c r="H251" s="265"/>
      <c r="I251" s="265"/>
      <c r="J251" s="265"/>
      <c r="K251" s="265"/>
      <c r="L251" s="265"/>
      <c r="M251" s="266"/>
      <c r="N251" s="369"/>
      <c r="O251" s="370"/>
      <c r="P251" s="371"/>
      <c r="Q251" s="370"/>
      <c r="R251" s="370"/>
      <c r="S251" s="372"/>
      <c r="T251" s="373"/>
      <c r="U251" s="374"/>
      <c r="V251" s="375"/>
      <c r="W251" s="381"/>
      <c r="X251" s="382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  <c r="CF251" s="29"/>
      <c r="CG251" s="29"/>
      <c r="CH251" s="29"/>
      <c r="CI251" s="29"/>
      <c r="CJ251" s="29"/>
      <c r="CK251" s="29"/>
      <c r="CL251" s="29"/>
      <c r="CM251" s="29"/>
      <c r="CN251" s="29"/>
      <c r="CO251" s="29"/>
      <c r="CP251" s="29"/>
      <c r="CQ251" s="29"/>
      <c r="CR251" s="29"/>
      <c r="CS251" s="29"/>
      <c r="CT251" s="29"/>
      <c r="CU251" s="29"/>
      <c r="CV251" s="29"/>
      <c r="CW251" s="29"/>
    </row>
    <row r="252" spans="1:108" s="6" customFormat="1" ht="18" customHeight="1" x14ac:dyDescent="0.35">
      <c r="A252" s="1"/>
      <c r="B252" s="364" t="s">
        <v>95</v>
      </c>
      <c r="C252" s="365"/>
      <c r="D252" s="366"/>
      <c r="E252" s="367"/>
      <c r="F252" s="368"/>
      <c r="G252" s="264"/>
      <c r="H252" s="265"/>
      <c r="I252" s="265"/>
      <c r="J252" s="265"/>
      <c r="K252" s="265"/>
      <c r="L252" s="265"/>
      <c r="M252" s="266"/>
      <c r="N252" s="369"/>
      <c r="O252" s="370"/>
      <c r="P252" s="371"/>
      <c r="Q252" s="370"/>
      <c r="R252" s="370"/>
      <c r="S252" s="372"/>
      <c r="T252" s="373"/>
      <c r="U252" s="374"/>
      <c r="V252" s="375"/>
      <c r="W252" s="381"/>
      <c r="X252" s="382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  <c r="CF252" s="29"/>
      <c r="CG252" s="29"/>
      <c r="CH252" s="29"/>
      <c r="CI252" s="29"/>
      <c r="CJ252" s="29"/>
      <c r="CK252" s="29"/>
      <c r="CL252" s="29"/>
      <c r="CM252" s="29"/>
      <c r="CN252" s="29"/>
      <c r="CO252" s="29"/>
      <c r="CP252" s="29"/>
      <c r="CQ252" s="29"/>
      <c r="CR252" s="29"/>
      <c r="CS252" s="29"/>
      <c r="CT252" s="29"/>
      <c r="CU252" s="29"/>
      <c r="CV252" s="29"/>
      <c r="CW252" s="29"/>
    </row>
    <row r="253" spans="1:108" s="6" customFormat="1" ht="18" customHeight="1" x14ac:dyDescent="0.35">
      <c r="A253" s="1"/>
      <c r="B253" s="364" t="s">
        <v>96</v>
      </c>
      <c r="C253" s="365"/>
      <c r="D253" s="366"/>
      <c r="E253" s="367"/>
      <c r="F253" s="368"/>
      <c r="G253" s="264"/>
      <c r="H253" s="265"/>
      <c r="I253" s="265"/>
      <c r="J253" s="265"/>
      <c r="K253" s="265"/>
      <c r="L253" s="265"/>
      <c r="M253" s="266"/>
      <c r="N253" s="369"/>
      <c r="O253" s="370"/>
      <c r="P253" s="371"/>
      <c r="Q253" s="370"/>
      <c r="R253" s="370"/>
      <c r="S253" s="372"/>
      <c r="T253" s="373"/>
      <c r="U253" s="374"/>
      <c r="V253" s="375"/>
      <c r="W253" s="381"/>
      <c r="X253" s="382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  <c r="CF253" s="29"/>
      <c r="CG253" s="29"/>
      <c r="CH253" s="29"/>
      <c r="CI253" s="29"/>
      <c r="CJ253" s="29"/>
      <c r="CK253" s="29"/>
      <c r="CL253" s="29"/>
      <c r="CM253" s="29"/>
      <c r="CN253" s="29"/>
      <c r="CO253" s="29"/>
      <c r="CP253" s="29"/>
      <c r="CQ253" s="29"/>
      <c r="CR253" s="29"/>
      <c r="CS253" s="29"/>
      <c r="CT253" s="29"/>
      <c r="CU253" s="29"/>
      <c r="CV253" s="29"/>
      <c r="CW253" s="29"/>
    </row>
    <row r="254" spans="1:108" s="6" customFormat="1" ht="18" customHeight="1" x14ac:dyDescent="0.35">
      <c r="A254" s="1"/>
      <c r="B254" s="364" t="s">
        <v>210</v>
      </c>
      <c r="C254" s="365"/>
      <c r="D254" s="366"/>
      <c r="E254" s="367"/>
      <c r="F254" s="368"/>
      <c r="G254" s="264"/>
      <c r="H254" s="265"/>
      <c r="I254" s="265"/>
      <c r="J254" s="265"/>
      <c r="K254" s="265"/>
      <c r="L254" s="265"/>
      <c r="M254" s="266"/>
      <c r="N254" s="369"/>
      <c r="O254" s="370"/>
      <c r="P254" s="371"/>
      <c r="Q254" s="370"/>
      <c r="R254" s="370"/>
      <c r="S254" s="372"/>
      <c r="T254" s="373"/>
      <c r="U254" s="374"/>
      <c r="V254" s="375"/>
      <c r="W254" s="381"/>
      <c r="X254" s="382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  <c r="CS254" s="29"/>
      <c r="CT254" s="29"/>
      <c r="CU254" s="29"/>
      <c r="CV254" s="29"/>
      <c r="CW254" s="29"/>
    </row>
    <row r="255" spans="1:108" s="6" customFormat="1" ht="18" customHeight="1" x14ac:dyDescent="0.35">
      <c r="A255" s="1"/>
      <c r="B255" s="364" t="s">
        <v>211</v>
      </c>
      <c r="C255" s="365"/>
      <c r="D255" s="366"/>
      <c r="E255" s="367"/>
      <c r="F255" s="368"/>
      <c r="G255" s="264"/>
      <c r="H255" s="265"/>
      <c r="I255" s="265"/>
      <c r="J255" s="265"/>
      <c r="K255" s="265"/>
      <c r="L255" s="265"/>
      <c r="M255" s="266"/>
      <c r="N255" s="369"/>
      <c r="O255" s="370"/>
      <c r="P255" s="371"/>
      <c r="Q255" s="370"/>
      <c r="R255" s="370"/>
      <c r="S255" s="372"/>
      <c r="T255" s="373"/>
      <c r="U255" s="374"/>
      <c r="V255" s="375"/>
      <c r="W255" s="381"/>
      <c r="X255" s="382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  <c r="CF255" s="29"/>
      <c r="CG255" s="29"/>
      <c r="CH255" s="29"/>
      <c r="CI255" s="29"/>
      <c r="CJ255" s="29"/>
      <c r="CK255" s="29"/>
      <c r="CL255" s="29"/>
      <c r="CM255" s="29"/>
      <c r="CN255" s="29"/>
      <c r="CO255" s="29"/>
      <c r="CP255" s="29"/>
      <c r="CQ255" s="29"/>
      <c r="CR255" s="29"/>
      <c r="CS255" s="29"/>
      <c r="CT255" s="29"/>
      <c r="CU255" s="29"/>
      <c r="CV255" s="29"/>
      <c r="CW255" s="29"/>
    </row>
    <row r="256" spans="1:108" s="6" customFormat="1" ht="18" customHeight="1" x14ac:dyDescent="0.35">
      <c r="A256" s="1"/>
      <c r="B256" s="364" t="s">
        <v>212</v>
      </c>
      <c r="C256" s="365"/>
      <c r="D256" s="366"/>
      <c r="E256" s="367"/>
      <c r="F256" s="368"/>
      <c r="G256" s="264"/>
      <c r="H256" s="265"/>
      <c r="I256" s="265"/>
      <c r="J256" s="265"/>
      <c r="K256" s="265"/>
      <c r="L256" s="265"/>
      <c r="M256" s="266"/>
      <c r="N256" s="369"/>
      <c r="O256" s="370"/>
      <c r="P256" s="371"/>
      <c r="Q256" s="370"/>
      <c r="R256" s="370"/>
      <c r="S256" s="372"/>
      <c r="T256" s="373"/>
      <c r="U256" s="374"/>
      <c r="V256" s="375"/>
      <c r="W256" s="381"/>
      <c r="X256" s="382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  <c r="CF256" s="29"/>
      <c r="CG256" s="29"/>
      <c r="CH256" s="29"/>
      <c r="CI256" s="29"/>
      <c r="CJ256" s="29"/>
      <c r="CK256" s="29"/>
      <c r="CL256" s="29"/>
      <c r="CM256" s="29"/>
      <c r="CN256" s="29"/>
      <c r="CO256" s="29"/>
      <c r="CP256" s="29"/>
      <c r="CQ256" s="29"/>
      <c r="CR256" s="29"/>
      <c r="CS256" s="29"/>
      <c r="CT256" s="29"/>
      <c r="CU256" s="29"/>
      <c r="CV256" s="29"/>
      <c r="CW256" s="29"/>
    </row>
    <row r="257" spans="1:101" s="6" customFormat="1" ht="18" customHeight="1" x14ac:dyDescent="0.35">
      <c r="A257" s="1"/>
      <c r="B257" s="364" t="s">
        <v>213</v>
      </c>
      <c r="C257" s="365"/>
      <c r="D257" s="366"/>
      <c r="E257" s="367"/>
      <c r="F257" s="368"/>
      <c r="G257" s="264"/>
      <c r="H257" s="265"/>
      <c r="I257" s="265"/>
      <c r="J257" s="265"/>
      <c r="K257" s="265"/>
      <c r="L257" s="265"/>
      <c r="M257" s="266"/>
      <c r="N257" s="369"/>
      <c r="O257" s="370"/>
      <c r="P257" s="371"/>
      <c r="Q257" s="370"/>
      <c r="R257" s="370"/>
      <c r="S257" s="372"/>
      <c r="T257" s="373"/>
      <c r="U257" s="374"/>
      <c r="V257" s="375"/>
      <c r="W257" s="381"/>
      <c r="X257" s="382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  <c r="CF257" s="29"/>
      <c r="CG257" s="29"/>
      <c r="CH257" s="29"/>
      <c r="CI257" s="29"/>
      <c r="CJ257" s="29"/>
      <c r="CK257" s="29"/>
      <c r="CL257" s="29"/>
      <c r="CM257" s="29"/>
      <c r="CN257" s="29"/>
      <c r="CO257" s="29"/>
      <c r="CP257" s="29"/>
      <c r="CQ257" s="29"/>
      <c r="CR257" s="29"/>
      <c r="CS257" s="29"/>
      <c r="CT257" s="29"/>
      <c r="CU257" s="29"/>
      <c r="CV257" s="29"/>
      <c r="CW257" s="29"/>
    </row>
    <row r="258" spans="1:101" s="6" customFormat="1" ht="18" customHeight="1" x14ac:dyDescent="0.35">
      <c r="A258" s="1"/>
      <c r="B258" s="364" t="s">
        <v>214</v>
      </c>
      <c r="C258" s="365"/>
      <c r="D258" s="366"/>
      <c r="E258" s="367"/>
      <c r="F258" s="368"/>
      <c r="G258" s="264"/>
      <c r="H258" s="265"/>
      <c r="I258" s="265"/>
      <c r="J258" s="265"/>
      <c r="K258" s="265"/>
      <c r="L258" s="265"/>
      <c r="M258" s="266"/>
      <c r="N258" s="369"/>
      <c r="O258" s="370"/>
      <c r="P258" s="371"/>
      <c r="Q258" s="370"/>
      <c r="R258" s="370"/>
      <c r="S258" s="372"/>
      <c r="T258" s="373"/>
      <c r="U258" s="374"/>
      <c r="V258" s="375"/>
      <c r="W258" s="381"/>
      <c r="X258" s="382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  <c r="CF258" s="29"/>
      <c r="CG258" s="29"/>
      <c r="CH258" s="29"/>
      <c r="CI258" s="29"/>
      <c r="CJ258" s="29"/>
      <c r="CK258" s="29"/>
      <c r="CL258" s="29"/>
      <c r="CM258" s="29"/>
      <c r="CN258" s="29"/>
      <c r="CO258" s="29"/>
      <c r="CP258" s="29"/>
      <c r="CQ258" s="29"/>
      <c r="CR258" s="29"/>
      <c r="CS258" s="29"/>
      <c r="CT258" s="29"/>
      <c r="CU258" s="29"/>
      <c r="CV258" s="29"/>
      <c r="CW258" s="29"/>
    </row>
    <row r="259" spans="1:101" s="6" customFormat="1" ht="18" customHeight="1" x14ac:dyDescent="0.35">
      <c r="A259" s="1"/>
      <c r="B259" s="364" t="s">
        <v>215</v>
      </c>
      <c r="C259" s="365"/>
      <c r="D259" s="366"/>
      <c r="E259" s="367"/>
      <c r="F259" s="368"/>
      <c r="G259" s="264"/>
      <c r="H259" s="265"/>
      <c r="I259" s="265"/>
      <c r="J259" s="265"/>
      <c r="K259" s="265"/>
      <c r="L259" s="265"/>
      <c r="M259" s="266"/>
      <c r="N259" s="369"/>
      <c r="O259" s="370"/>
      <c r="P259" s="371"/>
      <c r="Q259" s="370"/>
      <c r="R259" s="370"/>
      <c r="S259" s="372"/>
      <c r="T259" s="373"/>
      <c r="U259" s="374"/>
      <c r="V259" s="375"/>
      <c r="W259" s="381"/>
      <c r="X259" s="382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  <c r="CF259" s="29"/>
      <c r="CG259" s="29"/>
      <c r="CH259" s="29"/>
      <c r="CI259" s="29"/>
      <c r="CJ259" s="29"/>
      <c r="CK259" s="29"/>
      <c r="CL259" s="29"/>
      <c r="CM259" s="29"/>
      <c r="CN259" s="29"/>
      <c r="CO259" s="29"/>
      <c r="CP259" s="29"/>
      <c r="CQ259" s="29"/>
      <c r="CR259" s="29"/>
      <c r="CS259" s="29"/>
      <c r="CT259" s="29"/>
      <c r="CU259" s="29"/>
      <c r="CV259" s="29"/>
      <c r="CW259" s="29"/>
    </row>
    <row r="260" spans="1:101" s="6" customFormat="1" ht="18" customHeight="1" x14ac:dyDescent="0.35">
      <c r="A260" s="1"/>
      <c r="B260" s="364" t="s">
        <v>216</v>
      </c>
      <c r="C260" s="365"/>
      <c r="D260" s="366"/>
      <c r="E260" s="367"/>
      <c r="F260" s="368"/>
      <c r="G260" s="264"/>
      <c r="H260" s="265"/>
      <c r="I260" s="265"/>
      <c r="J260" s="265"/>
      <c r="K260" s="265"/>
      <c r="L260" s="265"/>
      <c r="M260" s="266"/>
      <c r="N260" s="369"/>
      <c r="O260" s="370"/>
      <c r="P260" s="371"/>
      <c r="Q260" s="370"/>
      <c r="R260" s="370"/>
      <c r="S260" s="372"/>
      <c r="T260" s="373"/>
      <c r="U260" s="374"/>
      <c r="V260" s="375"/>
      <c r="W260" s="381"/>
      <c r="X260" s="382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  <c r="CF260" s="29"/>
      <c r="CG260" s="29"/>
      <c r="CH260" s="29"/>
      <c r="CI260" s="29"/>
      <c r="CJ260" s="29"/>
      <c r="CK260" s="29"/>
      <c r="CL260" s="29"/>
      <c r="CM260" s="29"/>
      <c r="CN260" s="29"/>
      <c r="CO260" s="29"/>
      <c r="CP260" s="29"/>
      <c r="CQ260" s="29"/>
      <c r="CR260" s="29"/>
      <c r="CS260" s="29"/>
      <c r="CT260" s="29"/>
      <c r="CU260" s="29"/>
      <c r="CV260" s="29"/>
      <c r="CW260" s="29"/>
    </row>
    <row r="261" spans="1:101" s="6" customFormat="1" ht="18" customHeight="1" x14ac:dyDescent="0.35">
      <c r="A261" s="1"/>
      <c r="B261" s="364" t="s">
        <v>217</v>
      </c>
      <c r="C261" s="365"/>
      <c r="D261" s="366"/>
      <c r="E261" s="367"/>
      <c r="F261" s="368"/>
      <c r="G261" s="264"/>
      <c r="H261" s="265"/>
      <c r="I261" s="265"/>
      <c r="J261" s="265"/>
      <c r="K261" s="265"/>
      <c r="L261" s="265"/>
      <c r="M261" s="266"/>
      <c r="N261" s="369"/>
      <c r="O261" s="370"/>
      <c r="P261" s="371"/>
      <c r="Q261" s="370"/>
      <c r="R261" s="370"/>
      <c r="S261" s="372"/>
      <c r="T261" s="373"/>
      <c r="U261" s="374"/>
      <c r="V261" s="375"/>
      <c r="W261" s="381"/>
      <c r="X261" s="382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  <c r="CF261" s="29"/>
      <c r="CG261" s="29"/>
      <c r="CH261" s="29"/>
      <c r="CI261" s="29"/>
      <c r="CJ261" s="29"/>
      <c r="CK261" s="29"/>
      <c r="CL261" s="29"/>
      <c r="CM261" s="29"/>
      <c r="CN261" s="29"/>
      <c r="CO261" s="29"/>
      <c r="CP261" s="29"/>
      <c r="CQ261" s="29"/>
      <c r="CR261" s="29"/>
      <c r="CS261" s="29"/>
      <c r="CT261" s="29"/>
      <c r="CU261" s="29"/>
      <c r="CV261" s="29"/>
      <c r="CW261" s="29"/>
    </row>
    <row r="262" spans="1:101" s="6" customFormat="1" ht="18" customHeight="1" x14ac:dyDescent="0.35">
      <c r="A262" s="1"/>
      <c r="B262" s="364" t="s">
        <v>218</v>
      </c>
      <c r="C262" s="365"/>
      <c r="D262" s="366"/>
      <c r="E262" s="367"/>
      <c r="F262" s="368"/>
      <c r="G262" s="264"/>
      <c r="H262" s="265"/>
      <c r="I262" s="265"/>
      <c r="J262" s="265"/>
      <c r="K262" s="265"/>
      <c r="L262" s="265"/>
      <c r="M262" s="266"/>
      <c r="N262" s="369"/>
      <c r="O262" s="370"/>
      <c r="P262" s="371"/>
      <c r="Q262" s="370"/>
      <c r="R262" s="370"/>
      <c r="S262" s="372"/>
      <c r="T262" s="373"/>
      <c r="U262" s="374"/>
      <c r="V262" s="375"/>
      <c r="W262" s="381"/>
      <c r="X262" s="382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  <c r="CF262" s="29"/>
      <c r="CG262" s="29"/>
      <c r="CH262" s="29"/>
      <c r="CI262" s="29"/>
      <c r="CJ262" s="29"/>
      <c r="CK262" s="29"/>
      <c r="CL262" s="29"/>
      <c r="CM262" s="29"/>
      <c r="CN262" s="29"/>
      <c r="CO262" s="29"/>
      <c r="CP262" s="29"/>
      <c r="CQ262" s="29"/>
      <c r="CR262" s="29"/>
      <c r="CS262" s="29"/>
      <c r="CT262" s="29"/>
      <c r="CU262" s="29"/>
      <c r="CV262" s="29"/>
      <c r="CW262" s="29"/>
    </row>
    <row r="263" spans="1:101" s="6" customFormat="1" ht="18" customHeight="1" x14ac:dyDescent="0.35">
      <c r="A263" s="1"/>
      <c r="B263" s="364" t="s">
        <v>219</v>
      </c>
      <c r="C263" s="365"/>
      <c r="D263" s="366"/>
      <c r="E263" s="367"/>
      <c r="F263" s="368"/>
      <c r="G263" s="264"/>
      <c r="H263" s="265"/>
      <c r="I263" s="265"/>
      <c r="J263" s="265"/>
      <c r="K263" s="265"/>
      <c r="L263" s="265"/>
      <c r="M263" s="266"/>
      <c r="N263" s="369"/>
      <c r="O263" s="370"/>
      <c r="P263" s="371"/>
      <c r="Q263" s="370"/>
      <c r="R263" s="370"/>
      <c r="S263" s="372"/>
      <c r="T263" s="373"/>
      <c r="U263" s="374"/>
      <c r="V263" s="375"/>
      <c r="W263" s="381"/>
      <c r="X263" s="382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  <c r="CF263" s="29"/>
      <c r="CG263" s="29"/>
      <c r="CH263" s="29"/>
      <c r="CI263" s="29"/>
      <c r="CJ263" s="29"/>
      <c r="CK263" s="29"/>
      <c r="CL263" s="29"/>
      <c r="CM263" s="29"/>
      <c r="CN263" s="29"/>
      <c r="CO263" s="29"/>
      <c r="CP263" s="29"/>
      <c r="CQ263" s="29"/>
      <c r="CR263" s="29"/>
      <c r="CS263" s="29"/>
      <c r="CT263" s="29"/>
      <c r="CU263" s="29"/>
      <c r="CV263" s="29"/>
      <c r="CW263" s="29"/>
    </row>
    <row r="264" spans="1:101" s="6" customFormat="1" ht="18" customHeight="1" x14ac:dyDescent="0.35">
      <c r="A264" s="1"/>
      <c r="B264" s="364" t="s">
        <v>220</v>
      </c>
      <c r="C264" s="365"/>
      <c r="D264" s="366"/>
      <c r="E264" s="367"/>
      <c r="F264" s="368"/>
      <c r="G264" s="264"/>
      <c r="H264" s="265"/>
      <c r="I264" s="265"/>
      <c r="J264" s="265"/>
      <c r="K264" s="265"/>
      <c r="L264" s="265"/>
      <c r="M264" s="266"/>
      <c r="N264" s="369"/>
      <c r="O264" s="370"/>
      <c r="P264" s="371"/>
      <c r="Q264" s="370"/>
      <c r="R264" s="370"/>
      <c r="S264" s="372"/>
      <c r="T264" s="373"/>
      <c r="U264" s="374"/>
      <c r="V264" s="375"/>
      <c r="W264" s="381"/>
      <c r="X264" s="382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  <c r="CF264" s="29"/>
      <c r="CG264" s="29"/>
      <c r="CH264" s="29"/>
      <c r="CI264" s="29"/>
      <c r="CJ264" s="29"/>
      <c r="CK264" s="29"/>
      <c r="CL264" s="29"/>
      <c r="CM264" s="29"/>
      <c r="CN264" s="29"/>
      <c r="CO264" s="29"/>
      <c r="CP264" s="29"/>
      <c r="CQ264" s="29"/>
      <c r="CR264" s="29"/>
      <c r="CS264" s="29"/>
      <c r="CT264" s="29"/>
      <c r="CU264" s="29"/>
      <c r="CV264" s="29"/>
      <c r="CW264" s="29"/>
    </row>
    <row r="265" spans="1:101" s="6" customFormat="1" ht="18" customHeight="1" x14ac:dyDescent="0.35">
      <c r="A265" s="1"/>
      <c r="B265" s="364" t="s">
        <v>221</v>
      </c>
      <c r="C265" s="365"/>
      <c r="D265" s="366"/>
      <c r="E265" s="367"/>
      <c r="F265" s="368"/>
      <c r="G265" s="264"/>
      <c r="H265" s="265"/>
      <c r="I265" s="265"/>
      <c r="J265" s="265"/>
      <c r="K265" s="265"/>
      <c r="L265" s="265"/>
      <c r="M265" s="266"/>
      <c r="N265" s="369"/>
      <c r="O265" s="370"/>
      <c r="P265" s="371"/>
      <c r="Q265" s="370"/>
      <c r="R265" s="370"/>
      <c r="S265" s="372"/>
      <c r="T265" s="373"/>
      <c r="U265" s="374"/>
      <c r="V265" s="375"/>
      <c r="W265" s="381"/>
      <c r="X265" s="382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  <c r="CF265" s="29"/>
      <c r="CG265" s="29"/>
      <c r="CH265" s="29"/>
      <c r="CI265" s="29"/>
      <c r="CJ265" s="29"/>
      <c r="CK265" s="29"/>
      <c r="CL265" s="29"/>
      <c r="CM265" s="29"/>
      <c r="CN265" s="29"/>
      <c r="CO265" s="29"/>
      <c r="CP265" s="29"/>
      <c r="CQ265" s="29"/>
      <c r="CR265" s="29"/>
      <c r="CS265" s="29"/>
      <c r="CT265" s="29"/>
      <c r="CU265" s="29"/>
      <c r="CV265" s="29"/>
      <c r="CW265" s="29"/>
    </row>
    <row r="266" spans="1:101" s="6" customFormat="1" ht="18" customHeight="1" x14ac:dyDescent="0.35">
      <c r="A266" s="1"/>
      <c r="B266" s="364" t="s">
        <v>222</v>
      </c>
      <c r="C266" s="365"/>
      <c r="D266" s="366"/>
      <c r="E266" s="367"/>
      <c r="F266" s="368"/>
      <c r="G266" s="264"/>
      <c r="H266" s="265"/>
      <c r="I266" s="265"/>
      <c r="J266" s="265"/>
      <c r="K266" s="265"/>
      <c r="L266" s="265"/>
      <c r="M266" s="266"/>
      <c r="N266" s="369"/>
      <c r="O266" s="370"/>
      <c r="P266" s="371"/>
      <c r="Q266" s="370"/>
      <c r="R266" s="370"/>
      <c r="S266" s="372"/>
      <c r="T266" s="373"/>
      <c r="U266" s="374"/>
      <c r="V266" s="375"/>
      <c r="W266" s="381"/>
      <c r="X266" s="382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  <c r="CF266" s="29"/>
      <c r="CG266" s="29"/>
      <c r="CH266" s="29"/>
      <c r="CI266" s="29"/>
      <c r="CJ266" s="29"/>
      <c r="CK266" s="29"/>
      <c r="CL266" s="29"/>
      <c r="CM266" s="29"/>
      <c r="CN266" s="29"/>
      <c r="CO266" s="29"/>
      <c r="CP266" s="29"/>
      <c r="CQ266" s="29"/>
      <c r="CR266" s="29"/>
      <c r="CS266" s="29"/>
      <c r="CT266" s="29"/>
      <c r="CU266" s="29"/>
      <c r="CV266" s="29"/>
      <c r="CW266" s="29"/>
    </row>
    <row r="267" spans="1:101" s="6" customFormat="1" ht="18" customHeight="1" x14ac:dyDescent="0.35">
      <c r="A267" s="1"/>
      <c r="B267" s="364" t="s">
        <v>223</v>
      </c>
      <c r="C267" s="365"/>
      <c r="D267" s="366"/>
      <c r="E267" s="367"/>
      <c r="F267" s="368"/>
      <c r="G267" s="264"/>
      <c r="H267" s="265"/>
      <c r="I267" s="265"/>
      <c r="J267" s="265"/>
      <c r="K267" s="265"/>
      <c r="L267" s="265"/>
      <c r="M267" s="266"/>
      <c r="N267" s="369"/>
      <c r="O267" s="370"/>
      <c r="P267" s="371"/>
      <c r="Q267" s="370"/>
      <c r="R267" s="370"/>
      <c r="S267" s="372"/>
      <c r="T267" s="373"/>
      <c r="U267" s="374"/>
      <c r="V267" s="375"/>
      <c r="W267" s="381"/>
      <c r="X267" s="382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  <c r="CF267" s="29"/>
      <c r="CG267" s="29"/>
      <c r="CH267" s="29"/>
      <c r="CI267" s="29"/>
      <c r="CJ267" s="29"/>
      <c r="CK267" s="29"/>
      <c r="CL267" s="29"/>
      <c r="CM267" s="29"/>
      <c r="CN267" s="29"/>
      <c r="CO267" s="29"/>
      <c r="CP267" s="29"/>
      <c r="CQ267" s="29"/>
      <c r="CR267" s="29"/>
      <c r="CS267" s="29"/>
      <c r="CT267" s="29"/>
      <c r="CU267" s="29"/>
      <c r="CV267" s="29"/>
      <c r="CW267" s="29"/>
    </row>
    <row r="268" spans="1:101" s="6" customFormat="1" ht="18" customHeight="1" x14ac:dyDescent="0.35">
      <c r="A268" s="1"/>
      <c r="B268" s="364" t="s">
        <v>224</v>
      </c>
      <c r="C268" s="365"/>
      <c r="D268" s="366"/>
      <c r="E268" s="367"/>
      <c r="F268" s="368"/>
      <c r="G268" s="264"/>
      <c r="H268" s="265"/>
      <c r="I268" s="265"/>
      <c r="J268" s="265"/>
      <c r="K268" s="265"/>
      <c r="L268" s="265"/>
      <c r="M268" s="266"/>
      <c r="N268" s="369"/>
      <c r="O268" s="370"/>
      <c r="P268" s="371"/>
      <c r="Q268" s="370"/>
      <c r="R268" s="370"/>
      <c r="S268" s="372"/>
      <c r="T268" s="373"/>
      <c r="U268" s="374"/>
      <c r="V268" s="375"/>
      <c r="W268" s="381"/>
      <c r="X268" s="382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  <c r="CF268" s="29"/>
      <c r="CG268" s="29"/>
      <c r="CH268" s="29"/>
      <c r="CI268" s="29"/>
      <c r="CJ268" s="29"/>
      <c r="CK268" s="29"/>
      <c r="CL268" s="29"/>
      <c r="CM268" s="29"/>
      <c r="CN268" s="29"/>
      <c r="CO268" s="29"/>
      <c r="CP268" s="29"/>
      <c r="CQ268" s="29"/>
      <c r="CR268" s="29"/>
      <c r="CS268" s="29"/>
      <c r="CT268" s="29"/>
      <c r="CU268" s="29"/>
      <c r="CV268" s="29"/>
      <c r="CW268" s="29"/>
    </row>
    <row r="269" spans="1:101" s="6" customFormat="1" ht="18" customHeight="1" x14ac:dyDescent="0.35">
      <c r="A269" s="1"/>
      <c r="B269" s="364" t="s">
        <v>225</v>
      </c>
      <c r="C269" s="365"/>
      <c r="D269" s="366"/>
      <c r="E269" s="367"/>
      <c r="F269" s="368"/>
      <c r="G269" s="264"/>
      <c r="H269" s="265"/>
      <c r="I269" s="265"/>
      <c r="J269" s="265"/>
      <c r="K269" s="265"/>
      <c r="L269" s="265"/>
      <c r="M269" s="266"/>
      <c r="N269" s="369"/>
      <c r="O269" s="370"/>
      <c r="P269" s="371"/>
      <c r="Q269" s="370"/>
      <c r="R269" s="370"/>
      <c r="S269" s="372"/>
      <c r="T269" s="373"/>
      <c r="U269" s="374"/>
      <c r="V269" s="375"/>
      <c r="W269" s="381"/>
      <c r="X269" s="382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  <c r="CF269" s="29"/>
      <c r="CG269" s="29"/>
      <c r="CH269" s="29"/>
      <c r="CI269" s="29"/>
      <c r="CJ269" s="29"/>
      <c r="CK269" s="29"/>
      <c r="CL269" s="29"/>
      <c r="CM269" s="29"/>
      <c r="CN269" s="29"/>
      <c r="CO269" s="29"/>
      <c r="CP269" s="29"/>
      <c r="CQ269" s="29"/>
      <c r="CR269" s="29"/>
      <c r="CS269" s="29"/>
      <c r="CT269" s="29"/>
      <c r="CU269" s="29"/>
      <c r="CV269" s="29"/>
      <c r="CW269" s="29"/>
    </row>
    <row r="270" spans="1:101" s="6" customFormat="1" ht="18" customHeight="1" x14ac:dyDescent="0.35">
      <c r="A270" s="1"/>
      <c r="B270" s="364" t="s">
        <v>226</v>
      </c>
      <c r="C270" s="365"/>
      <c r="D270" s="366"/>
      <c r="E270" s="367"/>
      <c r="F270" s="368"/>
      <c r="G270" s="264"/>
      <c r="H270" s="265"/>
      <c r="I270" s="265"/>
      <c r="J270" s="265"/>
      <c r="K270" s="265"/>
      <c r="L270" s="265"/>
      <c r="M270" s="266"/>
      <c r="N270" s="369"/>
      <c r="O270" s="370"/>
      <c r="P270" s="371"/>
      <c r="Q270" s="370"/>
      <c r="R270" s="370"/>
      <c r="S270" s="372"/>
      <c r="T270" s="373"/>
      <c r="U270" s="374"/>
      <c r="V270" s="375"/>
      <c r="W270" s="381"/>
      <c r="X270" s="382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  <c r="CF270" s="29"/>
      <c r="CG270" s="29"/>
      <c r="CH270" s="29"/>
      <c r="CI270" s="29"/>
      <c r="CJ270" s="29"/>
      <c r="CK270" s="29"/>
      <c r="CL270" s="29"/>
      <c r="CM270" s="29"/>
      <c r="CN270" s="29"/>
      <c r="CO270" s="29"/>
      <c r="CP270" s="29"/>
      <c r="CQ270" s="29"/>
      <c r="CR270" s="29"/>
      <c r="CS270" s="29"/>
      <c r="CT270" s="29"/>
      <c r="CU270" s="29"/>
      <c r="CV270" s="29"/>
      <c r="CW270" s="29"/>
    </row>
    <row r="271" spans="1:101" s="6" customFormat="1" ht="18" customHeight="1" x14ac:dyDescent="0.35">
      <c r="A271" s="1"/>
      <c r="B271" s="364" t="s">
        <v>227</v>
      </c>
      <c r="C271" s="365"/>
      <c r="D271" s="366"/>
      <c r="E271" s="367"/>
      <c r="F271" s="368"/>
      <c r="G271" s="264"/>
      <c r="H271" s="265"/>
      <c r="I271" s="265"/>
      <c r="J271" s="265"/>
      <c r="K271" s="265"/>
      <c r="L271" s="265"/>
      <c r="M271" s="266"/>
      <c r="N271" s="369"/>
      <c r="O271" s="370"/>
      <c r="P271" s="371"/>
      <c r="Q271" s="370"/>
      <c r="R271" s="370"/>
      <c r="S271" s="372"/>
      <c r="T271" s="373"/>
      <c r="U271" s="374"/>
      <c r="V271" s="375"/>
      <c r="W271" s="381"/>
      <c r="X271" s="382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  <c r="CF271" s="29"/>
      <c r="CG271" s="29"/>
      <c r="CH271" s="29"/>
      <c r="CI271" s="29"/>
      <c r="CJ271" s="29"/>
      <c r="CK271" s="29"/>
      <c r="CL271" s="29"/>
      <c r="CM271" s="29"/>
      <c r="CN271" s="29"/>
      <c r="CO271" s="29"/>
      <c r="CP271" s="29"/>
      <c r="CQ271" s="29"/>
      <c r="CR271" s="29"/>
      <c r="CS271" s="29"/>
      <c r="CT271" s="29"/>
      <c r="CU271" s="29"/>
      <c r="CV271" s="29"/>
      <c r="CW271" s="29"/>
    </row>
    <row r="272" spans="1:101" s="6" customFormat="1" ht="18" customHeight="1" x14ac:dyDescent="0.35">
      <c r="A272" s="1"/>
      <c r="B272" s="364" t="s">
        <v>228</v>
      </c>
      <c r="C272" s="365"/>
      <c r="D272" s="366"/>
      <c r="E272" s="367"/>
      <c r="F272" s="368"/>
      <c r="G272" s="264"/>
      <c r="H272" s="265"/>
      <c r="I272" s="265"/>
      <c r="J272" s="265"/>
      <c r="K272" s="265"/>
      <c r="L272" s="265"/>
      <c r="M272" s="266"/>
      <c r="N272" s="369"/>
      <c r="O272" s="370"/>
      <c r="P272" s="371"/>
      <c r="Q272" s="370"/>
      <c r="R272" s="370"/>
      <c r="S272" s="372"/>
      <c r="T272" s="373"/>
      <c r="U272" s="374"/>
      <c r="V272" s="375"/>
      <c r="W272" s="381"/>
      <c r="X272" s="382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  <c r="CF272" s="29"/>
      <c r="CG272" s="29"/>
      <c r="CH272" s="29"/>
      <c r="CI272" s="29"/>
      <c r="CJ272" s="29"/>
      <c r="CK272" s="29"/>
      <c r="CL272" s="29"/>
      <c r="CM272" s="29"/>
      <c r="CN272" s="29"/>
      <c r="CO272" s="29"/>
      <c r="CP272" s="29"/>
      <c r="CQ272" s="29"/>
      <c r="CR272" s="29"/>
      <c r="CS272" s="29"/>
      <c r="CT272" s="29"/>
      <c r="CU272" s="29"/>
      <c r="CV272" s="29"/>
      <c r="CW272" s="29"/>
    </row>
    <row r="273" spans="1:108" s="6" customFormat="1" ht="18" customHeight="1" x14ac:dyDescent="0.35">
      <c r="A273" s="1"/>
      <c r="B273" s="364" t="s">
        <v>229</v>
      </c>
      <c r="C273" s="365"/>
      <c r="D273" s="366"/>
      <c r="E273" s="367"/>
      <c r="F273" s="368"/>
      <c r="G273" s="264"/>
      <c r="H273" s="265"/>
      <c r="I273" s="265"/>
      <c r="J273" s="265"/>
      <c r="K273" s="265"/>
      <c r="L273" s="265"/>
      <c r="M273" s="266"/>
      <c r="N273" s="369"/>
      <c r="O273" s="370"/>
      <c r="P273" s="371"/>
      <c r="Q273" s="370"/>
      <c r="R273" s="370"/>
      <c r="S273" s="372"/>
      <c r="T273" s="373"/>
      <c r="U273" s="374"/>
      <c r="V273" s="375"/>
      <c r="W273" s="381"/>
      <c r="X273" s="382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  <c r="CF273" s="29"/>
      <c r="CG273" s="29"/>
      <c r="CH273" s="29"/>
      <c r="CI273" s="29"/>
      <c r="CJ273" s="29"/>
      <c r="CK273" s="29"/>
      <c r="CL273" s="29"/>
      <c r="CM273" s="29"/>
      <c r="CN273" s="29"/>
      <c r="CO273" s="29"/>
      <c r="CP273" s="29"/>
      <c r="CQ273" s="29"/>
      <c r="CR273" s="29"/>
      <c r="CS273" s="29"/>
      <c r="CT273" s="29"/>
      <c r="CU273" s="29"/>
      <c r="CV273" s="29"/>
      <c r="CW273" s="29"/>
    </row>
    <row r="274" spans="1:108" s="6" customFormat="1" ht="18" customHeight="1" x14ac:dyDescent="0.35">
      <c r="A274" s="1"/>
      <c r="B274" s="364" t="s">
        <v>230</v>
      </c>
      <c r="C274" s="365"/>
      <c r="D274" s="366"/>
      <c r="E274" s="367"/>
      <c r="F274" s="368"/>
      <c r="G274" s="264"/>
      <c r="H274" s="265"/>
      <c r="I274" s="265"/>
      <c r="J274" s="265"/>
      <c r="K274" s="265"/>
      <c r="L274" s="265"/>
      <c r="M274" s="266"/>
      <c r="N274" s="369"/>
      <c r="O274" s="370"/>
      <c r="P274" s="371"/>
      <c r="Q274" s="370"/>
      <c r="R274" s="370"/>
      <c r="S274" s="372"/>
      <c r="T274" s="373"/>
      <c r="U274" s="374"/>
      <c r="V274" s="375"/>
      <c r="W274" s="381"/>
      <c r="X274" s="382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  <c r="CF274" s="29"/>
      <c r="CG274" s="29"/>
      <c r="CH274" s="29"/>
      <c r="CI274" s="29"/>
      <c r="CJ274" s="29"/>
      <c r="CK274" s="29"/>
      <c r="CL274" s="29"/>
      <c r="CM274" s="29"/>
      <c r="CN274" s="29"/>
      <c r="CO274" s="29"/>
      <c r="CP274" s="29"/>
      <c r="CQ274" s="29"/>
      <c r="CR274" s="29"/>
      <c r="CS274" s="29"/>
      <c r="CT274" s="29"/>
      <c r="CU274" s="29"/>
      <c r="CV274" s="29"/>
      <c r="CW274" s="29"/>
    </row>
    <row r="275" spans="1:108" s="6" customFormat="1" ht="18" customHeight="1" x14ac:dyDescent="0.35">
      <c r="A275" s="1"/>
      <c r="B275" s="364" t="s">
        <v>231</v>
      </c>
      <c r="C275" s="365"/>
      <c r="D275" s="366"/>
      <c r="E275" s="367"/>
      <c r="F275" s="368"/>
      <c r="G275" s="264"/>
      <c r="H275" s="265"/>
      <c r="I275" s="265"/>
      <c r="J275" s="265"/>
      <c r="K275" s="265"/>
      <c r="L275" s="265"/>
      <c r="M275" s="266"/>
      <c r="N275" s="369"/>
      <c r="O275" s="370"/>
      <c r="P275" s="371"/>
      <c r="Q275" s="370"/>
      <c r="R275" s="370"/>
      <c r="S275" s="372"/>
      <c r="T275" s="373"/>
      <c r="U275" s="374"/>
      <c r="V275" s="375"/>
      <c r="W275" s="381"/>
      <c r="X275" s="382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  <c r="CF275" s="29"/>
      <c r="CG275" s="29"/>
      <c r="CH275" s="29"/>
      <c r="CI275" s="29"/>
      <c r="CJ275" s="29"/>
      <c r="CK275" s="29"/>
      <c r="CL275" s="29"/>
      <c r="CM275" s="29"/>
      <c r="CN275" s="29"/>
      <c r="CO275" s="29"/>
      <c r="CP275" s="29"/>
      <c r="CQ275" s="29"/>
      <c r="CR275" s="29"/>
      <c r="CS275" s="29"/>
      <c r="CT275" s="29"/>
      <c r="CU275" s="29"/>
      <c r="CV275" s="29"/>
      <c r="CW275" s="29"/>
    </row>
    <row r="276" spans="1:108" s="6" customFormat="1" ht="18" customHeight="1" x14ac:dyDescent="0.35">
      <c r="A276" s="1"/>
      <c r="B276" s="364" t="s">
        <v>232</v>
      </c>
      <c r="C276" s="365"/>
      <c r="D276" s="366"/>
      <c r="E276" s="367"/>
      <c r="F276" s="368"/>
      <c r="G276" s="264"/>
      <c r="H276" s="265"/>
      <c r="I276" s="265"/>
      <c r="J276" s="265"/>
      <c r="K276" s="265"/>
      <c r="L276" s="265"/>
      <c r="M276" s="266"/>
      <c r="N276" s="369"/>
      <c r="O276" s="370"/>
      <c r="P276" s="371"/>
      <c r="Q276" s="370"/>
      <c r="R276" s="370"/>
      <c r="S276" s="372"/>
      <c r="T276" s="373"/>
      <c r="U276" s="374"/>
      <c r="V276" s="375"/>
      <c r="W276" s="381"/>
      <c r="X276" s="382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  <c r="CF276" s="29"/>
      <c r="CG276" s="29"/>
      <c r="CH276" s="29"/>
      <c r="CI276" s="29"/>
      <c r="CJ276" s="29"/>
      <c r="CK276" s="29"/>
      <c r="CL276" s="29"/>
      <c r="CM276" s="29"/>
      <c r="CN276" s="29"/>
      <c r="CO276" s="29"/>
      <c r="CP276" s="29"/>
      <c r="CQ276" s="29"/>
      <c r="CR276" s="29"/>
      <c r="CS276" s="29"/>
      <c r="CT276" s="29"/>
      <c r="CU276" s="29"/>
      <c r="CV276" s="29"/>
      <c r="CW276" s="29"/>
    </row>
    <row r="277" spans="1:108" s="6" customFormat="1" ht="18" customHeight="1" x14ac:dyDescent="0.35">
      <c r="A277" s="1"/>
      <c r="B277" s="364" t="s">
        <v>233</v>
      </c>
      <c r="C277" s="365"/>
      <c r="D277" s="366"/>
      <c r="E277" s="367"/>
      <c r="F277" s="368"/>
      <c r="G277" s="264"/>
      <c r="H277" s="265"/>
      <c r="I277" s="265"/>
      <c r="J277" s="265"/>
      <c r="K277" s="265"/>
      <c r="L277" s="265"/>
      <c r="M277" s="266"/>
      <c r="N277" s="369"/>
      <c r="O277" s="370"/>
      <c r="P277" s="371"/>
      <c r="Q277" s="370"/>
      <c r="R277" s="370"/>
      <c r="S277" s="372"/>
      <c r="T277" s="373"/>
      <c r="U277" s="374"/>
      <c r="V277" s="375"/>
      <c r="W277" s="381"/>
      <c r="X277" s="382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  <c r="CF277" s="29"/>
      <c r="CG277" s="29"/>
      <c r="CH277" s="29"/>
      <c r="CI277" s="29"/>
      <c r="CJ277" s="29"/>
      <c r="CK277" s="29"/>
      <c r="CL277" s="29"/>
      <c r="CM277" s="29"/>
      <c r="CN277" s="29"/>
      <c r="CO277" s="29"/>
      <c r="CP277" s="29"/>
      <c r="CQ277" s="29"/>
      <c r="CR277" s="29"/>
      <c r="CS277" s="29"/>
      <c r="CT277" s="29"/>
      <c r="CU277" s="29"/>
      <c r="CV277" s="29"/>
      <c r="CW277" s="29"/>
    </row>
    <row r="278" spans="1:108" s="6" customFormat="1" ht="18" customHeight="1" x14ac:dyDescent="0.35">
      <c r="A278" s="1"/>
      <c r="B278" s="364" t="s">
        <v>234</v>
      </c>
      <c r="C278" s="365"/>
      <c r="D278" s="366"/>
      <c r="E278" s="367"/>
      <c r="F278" s="368"/>
      <c r="G278" s="264"/>
      <c r="H278" s="265"/>
      <c r="I278" s="265"/>
      <c r="J278" s="265"/>
      <c r="K278" s="265"/>
      <c r="L278" s="265"/>
      <c r="M278" s="266"/>
      <c r="N278" s="369"/>
      <c r="O278" s="370"/>
      <c r="P278" s="371"/>
      <c r="Q278" s="370"/>
      <c r="R278" s="370"/>
      <c r="S278" s="372"/>
      <c r="T278" s="373"/>
      <c r="U278" s="374"/>
      <c r="V278" s="375"/>
      <c r="W278" s="381"/>
      <c r="X278" s="382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  <c r="CF278" s="29"/>
      <c r="CG278" s="29"/>
      <c r="CH278" s="29"/>
      <c r="CI278" s="29"/>
      <c r="CJ278" s="29"/>
      <c r="CK278" s="29"/>
      <c r="CL278" s="29"/>
      <c r="CM278" s="29"/>
      <c r="CN278" s="29"/>
      <c r="CO278" s="29"/>
      <c r="CP278" s="29"/>
      <c r="CQ278" s="29"/>
      <c r="CR278" s="29"/>
      <c r="CS278" s="29"/>
      <c r="CT278" s="29"/>
      <c r="CU278" s="29"/>
      <c r="CV278" s="29"/>
      <c r="CW278" s="29"/>
    </row>
    <row r="279" spans="1:108" s="6" customFormat="1" ht="18" customHeight="1" x14ac:dyDescent="0.35">
      <c r="A279" s="1"/>
      <c r="B279" s="364" t="s">
        <v>235</v>
      </c>
      <c r="C279" s="365"/>
      <c r="D279" s="366"/>
      <c r="E279" s="367"/>
      <c r="F279" s="368"/>
      <c r="G279" s="264"/>
      <c r="H279" s="265"/>
      <c r="I279" s="265"/>
      <c r="J279" s="265"/>
      <c r="K279" s="265"/>
      <c r="L279" s="265"/>
      <c r="M279" s="266"/>
      <c r="N279" s="369"/>
      <c r="O279" s="370"/>
      <c r="P279" s="371"/>
      <c r="Q279" s="370"/>
      <c r="R279" s="370"/>
      <c r="S279" s="372"/>
      <c r="T279" s="373"/>
      <c r="U279" s="374"/>
      <c r="V279" s="375"/>
      <c r="W279" s="381"/>
      <c r="X279" s="382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  <c r="CF279" s="29"/>
      <c r="CG279" s="29"/>
      <c r="CH279" s="29"/>
      <c r="CI279" s="29"/>
      <c r="CJ279" s="29"/>
      <c r="CK279" s="29"/>
      <c r="CL279" s="29"/>
      <c r="CM279" s="29"/>
      <c r="CN279" s="29"/>
      <c r="CO279" s="29"/>
      <c r="CP279" s="29"/>
      <c r="CQ279" s="29"/>
      <c r="CR279" s="29"/>
      <c r="CS279" s="29"/>
      <c r="CT279" s="29"/>
      <c r="CU279" s="29"/>
      <c r="CV279" s="29"/>
      <c r="CW279" s="29"/>
    </row>
    <row r="280" spans="1:108" ht="15" customHeight="1" x14ac:dyDescent="0.35">
      <c r="B280" s="267" t="s">
        <v>236</v>
      </c>
      <c r="C280" s="268"/>
      <c r="D280" s="269"/>
      <c r="E280" s="270"/>
      <c r="F280" s="271"/>
      <c r="G280" s="272"/>
      <c r="H280" s="273"/>
      <c r="I280" s="273"/>
      <c r="J280" s="273"/>
      <c r="K280" s="273"/>
      <c r="L280" s="273"/>
      <c r="M280" s="274"/>
      <c r="N280" s="275"/>
      <c r="O280" s="276"/>
      <c r="P280" s="277"/>
      <c r="Q280" s="276"/>
      <c r="R280" s="276"/>
      <c r="S280" s="278"/>
      <c r="T280" s="279"/>
      <c r="U280" s="280"/>
      <c r="V280" s="317"/>
      <c r="W280" s="320">
        <f t="shared" ref="W280:W284" si="5">Q280*-3+T280*-1+V280*-1</f>
        <v>0</v>
      </c>
      <c r="X280" s="323"/>
      <c r="Y280" s="29"/>
      <c r="CX280" s="1"/>
      <c r="CY280" s="1"/>
      <c r="CZ280" s="1"/>
      <c r="DA280" s="1"/>
      <c r="DB280" s="1"/>
      <c r="DC280" s="1"/>
      <c r="DD280" s="1"/>
    </row>
    <row r="281" spans="1:108" ht="15" customHeight="1" x14ac:dyDescent="0.35">
      <c r="B281" s="267" t="s">
        <v>237</v>
      </c>
      <c r="C281" s="268"/>
      <c r="D281" s="269"/>
      <c r="E281" s="270"/>
      <c r="F281" s="271"/>
      <c r="G281" s="272"/>
      <c r="H281" s="273"/>
      <c r="I281" s="273"/>
      <c r="J281" s="273"/>
      <c r="K281" s="273"/>
      <c r="L281" s="273"/>
      <c r="M281" s="274"/>
      <c r="N281" s="275"/>
      <c r="O281" s="276"/>
      <c r="P281" s="277"/>
      <c r="Q281" s="276"/>
      <c r="R281" s="276"/>
      <c r="S281" s="278"/>
      <c r="T281" s="279"/>
      <c r="U281" s="280"/>
      <c r="V281" s="317"/>
      <c r="W281" s="320">
        <f t="shared" si="5"/>
        <v>0</v>
      </c>
      <c r="X281" s="323"/>
      <c r="Y281" s="29"/>
      <c r="CX281" s="1"/>
      <c r="CY281" s="1"/>
      <c r="CZ281" s="1"/>
      <c r="DA281" s="1"/>
      <c r="DB281" s="1"/>
      <c r="DC281" s="1"/>
      <c r="DD281" s="1"/>
    </row>
    <row r="282" spans="1:108" ht="15" customHeight="1" x14ac:dyDescent="0.35">
      <c r="B282" s="267" t="s">
        <v>238</v>
      </c>
      <c r="C282" s="268"/>
      <c r="D282" s="269"/>
      <c r="E282" s="270"/>
      <c r="F282" s="271"/>
      <c r="G282" s="272"/>
      <c r="H282" s="273"/>
      <c r="I282" s="273"/>
      <c r="J282" s="273"/>
      <c r="K282" s="273"/>
      <c r="L282" s="273"/>
      <c r="M282" s="274"/>
      <c r="N282" s="275"/>
      <c r="O282" s="276"/>
      <c r="P282" s="277"/>
      <c r="Q282" s="276"/>
      <c r="R282" s="276"/>
      <c r="S282" s="278"/>
      <c r="T282" s="279"/>
      <c r="U282" s="280"/>
      <c r="V282" s="317"/>
      <c r="W282" s="320">
        <f t="shared" si="5"/>
        <v>0</v>
      </c>
      <c r="X282" s="323"/>
      <c r="Y282" s="29"/>
      <c r="CX282" s="1"/>
      <c r="CY282" s="1"/>
      <c r="CZ282" s="1"/>
      <c r="DA282" s="1"/>
      <c r="DB282" s="1"/>
      <c r="DC282" s="1"/>
      <c r="DD282" s="1"/>
    </row>
    <row r="283" spans="1:108" ht="15" customHeight="1" x14ac:dyDescent="0.35">
      <c r="B283" s="267" t="s">
        <v>239</v>
      </c>
      <c r="C283" s="268"/>
      <c r="D283" s="269"/>
      <c r="E283" s="270"/>
      <c r="F283" s="271"/>
      <c r="G283" s="272"/>
      <c r="H283" s="273"/>
      <c r="I283" s="273"/>
      <c r="J283" s="273"/>
      <c r="K283" s="273"/>
      <c r="L283" s="273"/>
      <c r="M283" s="274"/>
      <c r="N283" s="275"/>
      <c r="O283" s="276"/>
      <c r="P283" s="277"/>
      <c r="Q283" s="276"/>
      <c r="R283" s="276"/>
      <c r="S283" s="278"/>
      <c r="T283" s="279"/>
      <c r="U283" s="280"/>
      <c r="V283" s="317"/>
      <c r="W283" s="320">
        <f t="shared" si="5"/>
        <v>0</v>
      </c>
      <c r="X283" s="323"/>
      <c r="Y283" s="29"/>
      <c r="CX283" s="1"/>
      <c r="CY283" s="1"/>
      <c r="CZ283" s="1"/>
      <c r="DA283" s="1"/>
      <c r="DB283" s="1"/>
      <c r="DC283" s="1"/>
      <c r="DD283" s="1"/>
    </row>
    <row r="284" spans="1:108" ht="15" customHeight="1" thickBot="1" x14ac:dyDescent="0.4">
      <c r="B284" s="282" t="s">
        <v>240</v>
      </c>
      <c r="C284" s="283"/>
      <c r="D284" s="284"/>
      <c r="E284" s="285"/>
      <c r="F284" s="286"/>
      <c r="G284" s="287"/>
      <c r="H284" s="288"/>
      <c r="I284" s="288"/>
      <c r="J284" s="288"/>
      <c r="K284" s="288"/>
      <c r="L284" s="288"/>
      <c r="M284" s="289"/>
      <c r="N284" s="290"/>
      <c r="O284" s="291"/>
      <c r="P284" s="292"/>
      <c r="Q284" s="291"/>
      <c r="R284" s="291"/>
      <c r="S284" s="293"/>
      <c r="T284" s="294"/>
      <c r="U284" s="295"/>
      <c r="V284" s="318"/>
      <c r="W284" s="320">
        <f t="shared" si="5"/>
        <v>0</v>
      </c>
      <c r="X284" s="324"/>
      <c r="Y284" s="29"/>
      <c r="CX284" s="1"/>
      <c r="CY284" s="1"/>
      <c r="CZ284" s="1"/>
      <c r="DA284" s="1"/>
      <c r="DB284" s="1"/>
      <c r="DC284" s="1"/>
      <c r="DD284" s="1"/>
    </row>
    <row r="285" spans="1:108" ht="15" customHeight="1" thickBot="1" x14ac:dyDescent="0.25">
      <c r="B285" s="171"/>
      <c r="C285" s="241"/>
      <c r="D285" s="250"/>
      <c r="E285" s="251"/>
      <c r="F285" s="252"/>
      <c r="G285" s="255"/>
      <c r="H285" s="245"/>
      <c r="I285" s="245"/>
      <c r="J285" s="245"/>
      <c r="K285" s="245"/>
      <c r="L285" s="245"/>
      <c r="M285" s="246"/>
      <c r="N285" s="257"/>
      <c r="O285" s="192">
        <f>SUM(O245:O284)</f>
        <v>0</v>
      </c>
      <c r="P285" s="191" t="e">
        <f>AVERAGE(P245:P284)</f>
        <v>#DIV/0!</v>
      </c>
      <c r="Q285" s="191"/>
      <c r="R285" s="192">
        <f>SUM(R245:R284)</f>
        <v>0</v>
      </c>
      <c r="S285" s="191" t="e">
        <f>AVERAGE(S245:S284)</f>
        <v>#DIV/0!</v>
      </c>
      <c r="T285" s="191"/>
      <c r="U285" s="253" t="e">
        <f>AVERAGE(U245:U284)</f>
        <v>#DIV/0!</v>
      </c>
      <c r="V285" s="303"/>
      <c r="W285" s="257"/>
      <c r="X285" s="193"/>
      <c r="CX285" s="1"/>
      <c r="CY285" s="1"/>
      <c r="CZ285" s="1"/>
      <c r="DA285" s="1"/>
      <c r="DB285" s="1"/>
      <c r="DC285" s="1"/>
      <c r="DD285" s="1"/>
    </row>
    <row r="286" spans="1:108" ht="15" customHeight="1" x14ac:dyDescent="0.2">
      <c r="B286" s="3"/>
      <c r="C286" s="3"/>
      <c r="D286" s="3"/>
      <c r="E286" s="15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spans="1:108" ht="15" customHeight="1" x14ac:dyDescent="0.2">
      <c r="B287" s="3"/>
      <c r="C287" s="3"/>
      <c r="D287" s="3"/>
      <c r="E287" s="15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spans="1:108" ht="15" customHeight="1" x14ac:dyDescent="0.2">
      <c r="B288" s="3"/>
      <c r="C288" s="3"/>
      <c r="D288" s="3"/>
      <c r="E288" s="15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spans="1:108" ht="15" customHeight="1" x14ac:dyDescent="0.2">
      <c r="B289" s="3"/>
      <c r="C289" s="3"/>
      <c r="D289" s="3"/>
      <c r="E289" s="15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spans="1:108" ht="66" customHeight="1" thickBot="1" x14ac:dyDescent="0.25">
      <c r="B290" s="17" t="s">
        <v>73</v>
      </c>
      <c r="C290" s="17"/>
    </row>
    <row r="291" spans="1:108" ht="15" customHeight="1" thickBot="1" x14ac:dyDescent="0.25">
      <c r="B291" s="385" t="s">
        <v>1</v>
      </c>
      <c r="C291" s="387" t="s">
        <v>77</v>
      </c>
      <c r="D291" s="389" t="s">
        <v>2</v>
      </c>
      <c r="E291" s="385" t="s">
        <v>3</v>
      </c>
      <c r="F291" s="391" t="s">
        <v>111</v>
      </c>
      <c r="G291" s="213"/>
      <c r="H291" s="254" t="s">
        <v>5</v>
      </c>
      <c r="I291" s="254"/>
      <c r="J291" s="254"/>
      <c r="K291" s="254"/>
      <c r="L291" s="254"/>
      <c r="M291" s="254"/>
      <c r="N291" s="247" t="s">
        <v>6</v>
      </c>
      <c r="O291" s="248"/>
      <c r="P291" s="248"/>
      <c r="Q291" s="248"/>
      <c r="R291" s="248"/>
      <c r="S291" s="248"/>
      <c r="T291" s="248"/>
      <c r="U291" s="248"/>
      <c r="V291" s="248"/>
      <c r="W291" s="249"/>
      <c r="X291" s="249"/>
      <c r="CX291" s="1"/>
      <c r="CY291" s="1"/>
      <c r="CZ291" s="1"/>
      <c r="DA291" s="1"/>
      <c r="DB291" s="1"/>
      <c r="DC291" s="1"/>
      <c r="DD291" s="1"/>
    </row>
    <row r="292" spans="1:108" ht="28.5" customHeight="1" thickBot="1" x14ac:dyDescent="0.25">
      <c r="A292" s="6"/>
      <c r="B292" s="386"/>
      <c r="C292" s="388"/>
      <c r="D292" s="390"/>
      <c r="E292" s="386"/>
      <c r="F292" s="392"/>
      <c r="G292" s="256" t="s">
        <v>140</v>
      </c>
      <c r="H292" s="153" t="s">
        <v>141</v>
      </c>
      <c r="I292" s="153" t="s">
        <v>142</v>
      </c>
      <c r="J292" s="153" t="s">
        <v>143</v>
      </c>
      <c r="K292" s="153" t="s">
        <v>163</v>
      </c>
      <c r="L292" s="153" t="s">
        <v>165</v>
      </c>
      <c r="M292" s="258" t="s">
        <v>167</v>
      </c>
      <c r="N292" s="304" t="s">
        <v>106</v>
      </c>
      <c r="O292" s="207" t="s">
        <v>18</v>
      </c>
      <c r="P292" s="207" t="s">
        <v>19</v>
      </c>
      <c r="Q292" s="207" t="s">
        <v>110</v>
      </c>
      <c r="R292" s="207" t="s">
        <v>20</v>
      </c>
      <c r="S292" s="305" t="s">
        <v>21</v>
      </c>
      <c r="T292" s="305" t="s">
        <v>109</v>
      </c>
      <c r="U292" s="306" t="s">
        <v>22</v>
      </c>
      <c r="V292" s="315" t="s">
        <v>110</v>
      </c>
      <c r="W292" s="304" t="s">
        <v>3</v>
      </c>
      <c r="X292" s="307" t="s">
        <v>133</v>
      </c>
      <c r="CX292" s="1"/>
      <c r="CY292" s="1"/>
      <c r="CZ292" s="1"/>
      <c r="DA292" s="1"/>
      <c r="DB292" s="1"/>
      <c r="DC292" s="1"/>
      <c r="DD292" s="1"/>
    </row>
    <row r="293" spans="1:108" s="6" customFormat="1" ht="19.5" customHeight="1" x14ac:dyDescent="0.35">
      <c r="B293" s="259" t="s">
        <v>241</v>
      </c>
      <c r="C293" s="260"/>
      <c r="D293" s="261"/>
      <c r="E293" s="262"/>
      <c r="F293" s="263"/>
      <c r="G293" s="264"/>
      <c r="H293" s="265"/>
      <c r="I293" s="265"/>
      <c r="J293" s="265"/>
      <c r="K293" s="265"/>
      <c r="L293" s="265"/>
      <c r="M293" s="266"/>
      <c r="N293" s="308"/>
      <c r="O293" s="309"/>
      <c r="P293" s="310"/>
      <c r="Q293" s="309"/>
      <c r="R293" s="309"/>
      <c r="S293" s="311"/>
      <c r="T293" s="312"/>
      <c r="U293" s="313"/>
      <c r="V293" s="316"/>
      <c r="W293" s="319">
        <f>Q293*-3+T293*-1+V293*-1</f>
        <v>0</v>
      </c>
      <c r="X293" s="322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  <c r="CF293" s="29"/>
      <c r="CG293" s="29"/>
      <c r="CH293" s="29"/>
      <c r="CI293" s="29"/>
      <c r="CJ293" s="29"/>
      <c r="CK293" s="29"/>
      <c r="CL293" s="29"/>
      <c r="CM293" s="29"/>
      <c r="CN293" s="29"/>
      <c r="CO293" s="29"/>
      <c r="CP293" s="29"/>
      <c r="CQ293" s="29"/>
      <c r="CR293" s="29"/>
      <c r="CS293" s="29"/>
      <c r="CT293" s="29"/>
      <c r="CU293" s="29"/>
      <c r="CV293" s="29"/>
      <c r="CW293" s="29"/>
    </row>
    <row r="294" spans="1:108" s="6" customFormat="1" ht="19.5" customHeight="1" x14ac:dyDescent="0.35">
      <c r="B294" s="364" t="s">
        <v>207</v>
      </c>
      <c r="C294" s="365"/>
      <c r="D294" s="366"/>
      <c r="E294" s="367"/>
      <c r="F294" s="368"/>
      <c r="G294" s="264"/>
      <c r="H294" s="265"/>
      <c r="I294" s="265"/>
      <c r="J294" s="265"/>
      <c r="K294" s="265"/>
      <c r="L294" s="265"/>
      <c r="M294" s="266"/>
      <c r="N294" s="369"/>
      <c r="O294" s="370"/>
      <c r="P294" s="371"/>
      <c r="Q294" s="370"/>
      <c r="R294" s="370"/>
      <c r="S294" s="372"/>
      <c r="T294" s="373"/>
      <c r="U294" s="374"/>
      <c r="V294" s="375"/>
      <c r="W294" s="381"/>
      <c r="X294" s="382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  <c r="CF294" s="29"/>
      <c r="CG294" s="29"/>
      <c r="CH294" s="29"/>
      <c r="CI294" s="29"/>
      <c r="CJ294" s="29"/>
      <c r="CK294" s="29"/>
      <c r="CL294" s="29"/>
      <c r="CM294" s="29"/>
      <c r="CN294" s="29"/>
      <c r="CO294" s="29"/>
      <c r="CP294" s="29"/>
      <c r="CQ294" s="29"/>
      <c r="CR294" s="29"/>
      <c r="CS294" s="29"/>
      <c r="CT294" s="29"/>
      <c r="CU294" s="29"/>
      <c r="CV294" s="29"/>
      <c r="CW294" s="29"/>
    </row>
    <row r="295" spans="1:108" s="6" customFormat="1" ht="19.5" customHeight="1" x14ac:dyDescent="0.35">
      <c r="B295" s="364" t="s">
        <v>209</v>
      </c>
      <c r="C295" s="365"/>
      <c r="D295" s="366"/>
      <c r="E295" s="367"/>
      <c r="F295" s="368"/>
      <c r="G295" s="264"/>
      <c r="H295" s="265"/>
      <c r="I295" s="265"/>
      <c r="J295" s="265"/>
      <c r="K295" s="265"/>
      <c r="L295" s="265"/>
      <c r="M295" s="266"/>
      <c r="N295" s="369"/>
      <c r="O295" s="370"/>
      <c r="P295" s="371"/>
      <c r="Q295" s="370"/>
      <c r="R295" s="370"/>
      <c r="S295" s="372"/>
      <c r="T295" s="373"/>
      <c r="U295" s="374"/>
      <c r="V295" s="375"/>
      <c r="W295" s="381"/>
      <c r="X295" s="382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  <c r="CF295" s="29"/>
      <c r="CG295" s="29"/>
      <c r="CH295" s="29"/>
      <c r="CI295" s="29"/>
      <c r="CJ295" s="29"/>
      <c r="CK295" s="29"/>
      <c r="CL295" s="29"/>
      <c r="CM295" s="29"/>
      <c r="CN295" s="29"/>
      <c r="CO295" s="29"/>
      <c r="CP295" s="29"/>
      <c r="CQ295" s="29"/>
      <c r="CR295" s="29"/>
      <c r="CS295" s="29"/>
      <c r="CT295" s="29"/>
      <c r="CU295" s="29"/>
      <c r="CV295" s="29"/>
      <c r="CW295" s="29"/>
    </row>
    <row r="296" spans="1:108" s="6" customFormat="1" ht="19.5" customHeight="1" x14ac:dyDescent="0.35">
      <c r="B296" s="364" t="s">
        <v>91</v>
      </c>
      <c r="C296" s="365"/>
      <c r="D296" s="366"/>
      <c r="E296" s="367"/>
      <c r="F296" s="368"/>
      <c r="G296" s="264"/>
      <c r="H296" s="265"/>
      <c r="I296" s="265"/>
      <c r="J296" s="265"/>
      <c r="K296" s="265"/>
      <c r="L296" s="265"/>
      <c r="M296" s="266"/>
      <c r="N296" s="369"/>
      <c r="O296" s="370"/>
      <c r="P296" s="371"/>
      <c r="Q296" s="370"/>
      <c r="R296" s="370"/>
      <c r="S296" s="372"/>
      <c r="T296" s="373"/>
      <c r="U296" s="374"/>
      <c r="V296" s="375"/>
      <c r="W296" s="381"/>
      <c r="X296" s="382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  <c r="CF296" s="29"/>
      <c r="CG296" s="29"/>
      <c r="CH296" s="29"/>
      <c r="CI296" s="29"/>
      <c r="CJ296" s="29"/>
      <c r="CK296" s="29"/>
      <c r="CL296" s="29"/>
      <c r="CM296" s="29"/>
      <c r="CN296" s="29"/>
      <c r="CO296" s="29"/>
      <c r="CP296" s="29"/>
      <c r="CQ296" s="29"/>
      <c r="CR296" s="29"/>
      <c r="CS296" s="29"/>
      <c r="CT296" s="29"/>
      <c r="CU296" s="29"/>
      <c r="CV296" s="29"/>
      <c r="CW296" s="29"/>
    </row>
    <row r="297" spans="1:108" s="6" customFormat="1" ht="19.5" customHeight="1" x14ac:dyDescent="0.35">
      <c r="B297" s="364" t="s">
        <v>92</v>
      </c>
      <c r="C297" s="365"/>
      <c r="D297" s="366"/>
      <c r="E297" s="367"/>
      <c r="F297" s="368"/>
      <c r="G297" s="264"/>
      <c r="H297" s="265"/>
      <c r="I297" s="265"/>
      <c r="J297" s="265"/>
      <c r="K297" s="265"/>
      <c r="L297" s="265"/>
      <c r="M297" s="266"/>
      <c r="N297" s="369"/>
      <c r="O297" s="370"/>
      <c r="P297" s="371"/>
      <c r="Q297" s="370"/>
      <c r="R297" s="370"/>
      <c r="S297" s="372"/>
      <c r="T297" s="373"/>
      <c r="U297" s="374"/>
      <c r="V297" s="375"/>
      <c r="W297" s="381"/>
      <c r="X297" s="382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  <c r="CF297" s="29"/>
      <c r="CG297" s="29"/>
      <c r="CH297" s="29"/>
      <c r="CI297" s="29"/>
      <c r="CJ297" s="29"/>
      <c r="CK297" s="29"/>
      <c r="CL297" s="29"/>
      <c r="CM297" s="29"/>
      <c r="CN297" s="29"/>
      <c r="CO297" s="29"/>
      <c r="CP297" s="29"/>
      <c r="CQ297" s="29"/>
      <c r="CR297" s="29"/>
      <c r="CS297" s="29"/>
      <c r="CT297" s="29"/>
      <c r="CU297" s="29"/>
      <c r="CV297" s="29"/>
      <c r="CW297" s="29"/>
    </row>
    <row r="298" spans="1:108" s="6" customFormat="1" ht="19.5" customHeight="1" x14ac:dyDescent="0.35">
      <c r="B298" s="364" t="s">
        <v>93</v>
      </c>
      <c r="C298" s="365"/>
      <c r="D298" s="366"/>
      <c r="E298" s="367"/>
      <c r="F298" s="368"/>
      <c r="G298" s="264"/>
      <c r="H298" s="265"/>
      <c r="I298" s="265"/>
      <c r="J298" s="265"/>
      <c r="K298" s="265"/>
      <c r="L298" s="265"/>
      <c r="M298" s="266"/>
      <c r="N298" s="369"/>
      <c r="O298" s="370"/>
      <c r="P298" s="371"/>
      <c r="Q298" s="370"/>
      <c r="R298" s="370"/>
      <c r="S298" s="372"/>
      <c r="T298" s="373"/>
      <c r="U298" s="374"/>
      <c r="V298" s="375"/>
      <c r="W298" s="381"/>
      <c r="X298" s="382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  <c r="CF298" s="29"/>
      <c r="CG298" s="29"/>
      <c r="CH298" s="29"/>
      <c r="CI298" s="29"/>
      <c r="CJ298" s="29"/>
      <c r="CK298" s="29"/>
      <c r="CL298" s="29"/>
      <c r="CM298" s="29"/>
      <c r="CN298" s="29"/>
      <c r="CO298" s="29"/>
      <c r="CP298" s="29"/>
      <c r="CQ298" s="29"/>
      <c r="CR298" s="29"/>
      <c r="CS298" s="29"/>
      <c r="CT298" s="29"/>
      <c r="CU298" s="29"/>
      <c r="CV298" s="29"/>
      <c r="CW298" s="29"/>
    </row>
    <row r="299" spans="1:108" s="6" customFormat="1" ht="19.5" customHeight="1" x14ac:dyDescent="0.35">
      <c r="B299" s="364" t="s">
        <v>94</v>
      </c>
      <c r="C299" s="365"/>
      <c r="D299" s="366"/>
      <c r="E299" s="367"/>
      <c r="F299" s="368"/>
      <c r="G299" s="264"/>
      <c r="H299" s="265"/>
      <c r="I299" s="265"/>
      <c r="J299" s="265"/>
      <c r="K299" s="265"/>
      <c r="L299" s="265"/>
      <c r="M299" s="266"/>
      <c r="N299" s="369"/>
      <c r="O299" s="370"/>
      <c r="P299" s="371"/>
      <c r="Q299" s="370"/>
      <c r="R299" s="370"/>
      <c r="S299" s="372"/>
      <c r="T299" s="373"/>
      <c r="U299" s="374"/>
      <c r="V299" s="375"/>
      <c r="W299" s="381"/>
      <c r="X299" s="382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  <c r="CF299" s="29"/>
      <c r="CG299" s="29"/>
      <c r="CH299" s="29"/>
      <c r="CI299" s="29"/>
      <c r="CJ299" s="29"/>
      <c r="CK299" s="29"/>
      <c r="CL299" s="29"/>
      <c r="CM299" s="29"/>
      <c r="CN299" s="29"/>
      <c r="CO299" s="29"/>
      <c r="CP299" s="29"/>
      <c r="CQ299" s="29"/>
      <c r="CR299" s="29"/>
      <c r="CS299" s="29"/>
      <c r="CT299" s="29"/>
      <c r="CU299" s="29"/>
      <c r="CV299" s="29"/>
      <c r="CW299" s="29"/>
    </row>
    <row r="300" spans="1:108" s="6" customFormat="1" ht="19.5" customHeight="1" x14ac:dyDescent="0.35">
      <c r="B300" s="364" t="s">
        <v>95</v>
      </c>
      <c r="C300" s="365"/>
      <c r="D300" s="366"/>
      <c r="E300" s="367"/>
      <c r="F300" s="368"/>
      <c r="G300" s="264"/>
      <c r="H300" s="265"/>
      <c r="I300" s="265"/>
      <c r="J300" s="265"/>
      <c r="K300" s="265"/>
      <c r="L300" s="265"/>
      <c r="M300" s="266"/>
      <c r="N300" s="369"/>
      <c r="O300" s="370"/>
      <c r="P300" s="371"/>
      <c r="Q300" s="370"/>
      <c r="R300" s="370"/>
      <c r="S300" s="372"/>
      <c r="T300" s="373"/>
      <c r="U300" s="374"/>
      <c r="V300" s="375"/>
      <c r="W300" s="381"/>
      <c r="X300" s="382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  <c r="CF300" s="29"/>
      <c r="CG300" s="29"/>
      <c r="CH300" s="29"/>
      <c r="CI300" s="29"/>
      <c r="CJ300" s="29"/>
      <c r="CK300" s="29"/>
      <c r="CL300" s="29"/>
      <c r="CM300" s="29"/>
      <c r="CN300" s="29"/>
      <c r="CO300" s="29"/>
      <c r="CP300" s="29"/>
      <c r="CQ300" s="29"/>
      <c r="CR300" s="29"/>
      <c r="CS300" s="29"/>
      <c r="CT300" s="29"/>
      <c r="CU300" s="29"/>
      <c r="CV300" s="29"/>
      <c r="CW300" s="29"/>
    </row>
    <row r="301" spans="1:108" s="6" customFormat="1" ht="19.5" customHeight="1" x14ac:dyDescent="0.35">
      <c r="B301" s="364" t="s">
        <v>96</v>
      </c>
      <c r="C301" s="365"/>
      <c r="D301" s="366"/>
      <c r="E301" s="367"/>
      <c r="F301" s="368"/>
      <c r="G301" s="264"/>
      <c r="H301" s="265"/>
      <c r="I301" s="265"/>
      <c r="J301" s="265"/>
      <c r="K301" s="265"/>
      <c r="L301" s="265"/>
      <c r="M301" s="266"/>
      <c r="N301" s="369"/>
      <c r="O301" s="370"/>
      <c r="P301" s="371"/>
      <c r="Q301" s="370"/>
      <c r="R301" s="370"/>
      <c r="S301" s="372"/>
      <c r="T301" s="373"/>
      <c r="U301" s="374"/>
      <c r="V301" s="375"/>
      <c r="W301" s="381"/>
      <c r="X301" s="382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  <c r="CF301" s="29"/>
      <c r="CG301" s="29"/>
      <c r="CH301" s="29"/>
      <c r="CI301" s="29"/>
      <c r="CJ301" s="29"/>
      <c r="CK301" s="29"/>
      <c r="CL301" s="29"/>
      <c r="CM301" s="29"/>
      <c r="CN301" s="29"/>
      <c r="CO301" s="29"/>
      <c r="CP301" s="29"/>
      <c r="CQ301" s="29"/>
      <c r="CR301" s="29"/>
      <c r="CS301" s="29"/>
      <c r="CT301" s="29"/>
      <c r="CU301" s="29"/>
      <c r="CV301" s="29"/>
      <c r="CW301" s="29"/>
    </row>
    <row r="302" spans="1:108" s="6" customFormat="1" ht="19.5" customHeight="1" x14ac:dyDescent="0.35">
      <c r="B302" s="364" t="s">
        <v>210</v>
      </c>
      <c r="C302" s="365"/>
      <c r="D302" s="366"/>
      <c r="E302" s="367"/>
      <c r="F302" s="368"/>
      <c r="G302" s="264"/>
      <c r="H302" s="265"/>
      <c r="I302" s="265"/>
      <c r="J302" s="265"/>
      <c r="K302" s="265"/>
      <c r="L302" s="265"/>
      <c r="M302" s="266"/>
      <c r="N302" s="369"/>
      <c r="O302" s="370"/>
      <c r="P302" s="371"/>
      <c r="Q302" s="370"/>
      <c r="R302" s="370"/>
      <c r="S302" s="372"/>
      <c r="T302" s="373"/>
      <c r="U302" s="374"/>
      <c r="V302" s="375"/>
      <c r="W302" s="381"/>
      <c r="X302" s="382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  <c r="CF302" s="29"/>
      <c r="CG302" s="29"/>
      <c r="CH302" s="29"/>
      <c r="CI302" s="29"/>
      <c r="CJ302" s="29"/>
      <c r="CK302" s="29"/>
      <c r="CL302" s="29"/>
      <c r="CM302" s="29"/>
      <c r="CN302" s="29"/>
      <c r="CO302" s="29"/>
      <c r="CP302" s="29"/>
      <c r="CQ302" s="29"/>
      <c r="CR302" s="29"/>
      <c r="CS302" s="29"/>
      <c r="CT302" s="29"/>
      <c r="CU302" s="29"/>
      <c r="CV302" s="29"/>
      <c r="CW302" s="29"/>
    </row>
    <row r="303" spans="1:108" s="6" customFormat="1" ht="19.5" customHeight="1" x14ac:dyDescent="0.35">
      <c r="B303" s="364" t="s">
        <v>211</v>
      </c>
      <c r="C303" s="365"/>
      <c r="D303" s="366"/>
      <c r="E303" s="367"/>
      <c r="F303" s="368"/>
      <c r="G303" s="264"/>
      <c r="H303" s="265"/>
      <c r="I303" s="265"/>
      <c r="J303" s="265"/>
      <c r="K303" s="265"/>
      <c r="L303" s="265"/>
      <c r="M303" s="266"/>
      <c r="N303" s="369"/>
      <c r="O303" s="370"/>
      <c r="P303" s="371"/>
      <c r="Q303" s="370"/>
      <c r="R303" s="370"/>
      <c r="S303" s="372"/>
      <c r="T303" s="373"/>
      <c r="U303" s="374"/>
      <c r="V303" s="375"/>
      <c r="W303" s="381"/>
      <c r="X303" s="382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  <c r="CF303" s="29"/>
      <c r="CG303" s="29"/>
      <c r="CH303" s="29"/>
      <c r="CI303" s="29"/>
      <c r="CJ303" s="29"/>
      <c r="CK303" s="29"/>
      <c r="CL303" s="29"/>
      <c r="CM303" s="29"/>
      <c r="CN303" s="29"/>
      <c r="CO303" s="29"/>
      <c r="CP303" s="29"/>
      <c r="CQ303" s="29"/>
      <c r="CR303" s="29"/>
      <c r="CS303" s="29"/>
      <c r="CT303" s="29"/>
      <c r="CU303" s="29"/>
      <c r="CV303" s="29"/>
      <c r="CW303" s="29"/>
    </row>
    <row r="304" spans="1:108" s="6" customFormat="1" ht="19.5" customHeight="1" x14ac:dyDescent="0.35">
      <c r="B304" s="364" t="s">
        <v>212</v>
      </c>
      <c r="C304" s="365"/>
      <c r="D304" s="366"/>
      <c r="E304" s="367"/>
      <c r="F304" s="368"/>
      <c r="G304" s="264"/>
      <c r="H304" s="265"/>
      <c r="I304" s="265"/>
      <c r="J304" s="265"/>
      <c r="K304" s="265"/>
      <c r="L304" s="265"/>
      <c r="M304" s="266"/>
      <c r="N304" s="369"/>
      <c r="O304" s="370"/>
      <c r="P304" s="371"/>
      <c r="Q304" s="370"/>
      <c r="R304" s="370"/>
      <c r="S304" s="372"/>
      <c r="T304" s="373"/>
      <c r="U304" s="374"/>
      <c r="V304" s="375"/>
      <c r="W304" s="381"/>
      <c r="X304" s="382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  <c r="CF304" s="29"/>
      <c r="CG304" s="29"/>
      <c r="CH304" s="29"/>
      <c r="CI304" s="29"/>
      <c r="CJ304" s="29"/>
      <c r="CK304" s="29"/>
      <c r="CL304" s="29"/>
      <c r="CM304" s="29"/>
      <c r="CN304" s="29"/>
      <c r="CO304" s="29"/>
      <c r="CP304" s="29"/>
      <c r="CQ304" s="29"/>
      <c r="CR304" s="29"/>
      <c r="CS304" s="29"/>
      <c r="CT304" s="29"/>
      <c r="CU304" s="29"/>
      <c r="CV304" s="29"/>
      <c r="CW304" s="29"/>
    </row>
    <row r="305" spans="2:101" s="6" customFormat="1" ht="19.5" customHeight="1" x14ac:dyDescent="0.35">
      <c r="B305" s="364" t="s">
        <v>213</v>
      </c>
      <c r="C305" s="365"/>
      <c r="D305" s="366"/>
      <c r="E305" s="367"/>
      <c r="F305" s="368"/>
      <c r="G305" s="264"/>
      <c r="H305" s="265"/>
      <c r="I305" s="265"/>
      <c r="J305" s="265"/>
      <c r="K305" s="265"/>
      <c r="L305" s="265"/>
      <c r="M305" s="266"/>
      <c r="N305" s="369"/>
      <c r="O305" s="370"/>
      <c r="P305" s="371"/>
      <c r="Q305" s="370"/>
      <c r="R305" s="370"/>
      <c r="S305" s="372"/>
      <c r="T305" s="373"/>
      <c r="U305" s="374"/>
      <c r="V305" s="375"/>
      <c r="W305" s="381"/>
      <c r="X305" s="382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  <c r="CF305" s="29"/>
      <c r="CG305" s="29"/>
      <c r="CH305" s="29"/>
      <c r="CI305" s="29"/>
      <c r="CJ305" s="29"/>
      <c r="CK305" s="29"/>
      <c r="CL305" s="29"/>
      <c r="CM305" s="29"/>
      <c r="CN305" s="29"/>
      <c r="CO305" s="29"/>
      <c r="CP305" s="29"/>
      <c r="CQ305" s="29"/>
      <c r="CR305" s="29"/>
      <c r="CS305" s="29"/>
      <c r="CT305" s="29"/>
      <c r="CU305" s="29"/>
      <c r="CV305" s="29"/>
      <c r="CW305" s="29"/>
    </row>
    <row r="306" spans="2:101" s="6" customFormat="1" ht="19.5" customHeight="1" x14ac:dyDescent="0.35">
      <c r="B306" s="364" t="s">
        <v>214</v>
      </c>
      <c r="C306" s="365"/>
      <c r="D306" s="366"/>
      <c r="E306" s="367"/>
      <c r="F306" s="368"/>
      <c r="G306" s="264"/>
      <c r="H306" s="265"/>
      <c r="I306" s="265"/>
      <c r="J306" s="265"/>
      <c r="K306" s="265"/>
      <c r="L306" s="265"/>
      <c r="M306" s="266"/>
      <c r="N306" s="369"/>
      <c r="O306" s="370"/>
      <c r="P306" s="371"/>
      <c r="Q306" s="370"/>
      <c r="R306" s="370"/>
      <c r="S306" s="372"/>
      <c r="T306" s="373"/>
      <c r="U306" s="374"/>
      <c r="V306" s="375"/>
      <c r="W306" s="381"/>
      <c r="X306" s="382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  <c r="CF306" s="29"/>
      <c r="CG306" s="29"/>
      <c r="CH306" s="29"/>
      <c r="CI306" s="29"/>
      <c r="CJ306" s="29"/>
      <c r="CK306" s="29"/>
      <c r="CL306" s="29"/>
      <c r="CM306" s="29"/>
      <c r="CN306" s="29"/>
      <c r="CO306" s="29"/>
      <c r="CP306" s="29"/>
      <c r="CQ306" s="29"/>
      <c r="CR306" s="29"/>
      <c r="CS306" s="29"/>
      <c r="CT306" s="29"/>
      <c r="CU306" s="29"/>
      <c r="CV306" s="29"/>
      <c r="CW306" s="29"/>
    </row>
    <row r="307" spans="2:101" s="6" customFormat="1" ht="19.5" customHeight="1" x14ac:dyDescent="0.35">
      <c r="B307" s="364" t="s">
        <v>215</v>
      </c>
      <c r="C307" s="365"/>
      <c r="D307" s="366"/>
      <c r="E307" s="367"/>
      <c r="F307" s="368"/>
      <c r="G307" s="264"/>
      <c r="H307" s="265"/>
      <c r="I307" s="265"/>
      <c r="J307" s="265"/>
      <c r="K307" s="265"/>
      <c r="L307" s="265"/>
      <c r="M307" s="266"/>
      <c r="N307" s="369"/>
      <c r="O307" s="370"/>
      <c r="P307" s="371"/>
      <c r="Q307" s="370"/>
      <c r="R307" s="370"/>
      <c r="S307" s="372"/>
      <c r="T307" s="373"/>
      <c r="U307" s="374"/>
      <c r="V307" s="375"/>
      <c r="W307" s="381"/>
      <c r="X307" s="382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  <c r="CF307" s="29"/>
      <c r="CG307" s="29"/>
      <c r="CH307" s="29"/>
      <c r="CI307" s="29"/>
      <c r="CJ307" s="29"/>
      <c r="CK307" s="29"/>
      <c r="CL307" s="29"/>
      <c r="CM307" s="29"/>
      <c r="CN307" s="29"/>
      <c r="CO307" s="29"/>
      <c r="CP307" s="29"/>
      <c r="CQ307" s="29"/>
      <c r="CR307" s="29"/>
      <c r="CS307" s="29"/>
      <c r="CT307" s="29"/>
      <c r="CU307" s="29"/>
      <c r="CV307" s="29"/>
      <c r="CW307" s="29"/>
    </row>
    <row r="308" spans="2:101" s="6" customFormat="1" ht="19.5" customHeight="1" x14ac:dyDescent="0.35">
      <c r="B308" s="364" t="s">
        <v>216</v>
      </c>
      <c r="C308" s="365"/>
      <c r="D308" s="366"/>
      <c r="E308" s="367"/>
      <c r="F308" s="368"/>
      <c r="G308" s="264"/>
      <c r="H308" s="265"/>
      <c r="I308" s="265"/>
      <c r="J308" s="265"/>
      <c r="K308" s="265"/>
      <c r="L308" s="265"/>
      <c r="M308" s="266"/>
      <c r="N308" s="369"/>
      <c r="O308" s="370"/>
      <c r="P308" s="371"/>
      <c r="Q308" s="370"/>
      <c r="R308" s="370"/>
      <c r="S308" s="372"/>
      <c r="T308" s="373"/>
      <c r="U308" s="374"/>
      <c r="V308" s="375"/>
      <c r="W308" s="381"/>
      <c r="X308" s="382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  <c r="CF308" s="29"/>
      <c r="CG308" s="29"/>
      <c r="CH308" s="29"/>
      <c r="CI308" s="29"/>
      <c r="CJ308" s="29"/>
      <c r="CK308" s="29"/>
      <c r="CL308" s="29"/>
      <c r="CM308" s="29"/>
      <c r="CN308" s="29"/>
      <c r="CO308" s="29"/>
      <c r="CP308" s="29"/>
      <c r="CQ308" s="29"/>
      <c r="CR308" s="29"/>
      <c r="CS308" s="29"/>
      <c r="CT308" s="29"/>
      <c r="CU308" s="29"/>
      <c r="CV308" s="29"/>
      <c r="CW308" s="29"/>
    </row>
    <row r="309" spans="2:101" s="6" customFormat="1" ht="19.5" customHeight="1" x14ac:dyDescent="0.35">
      <c r="B309" s="364" t="s">
        <v>217</v>
      </c>
      <c r="C309" s="365"/>
      <c r="D309" s="366"/>
      <c r="E309" s="367"/>
      <c r="F309" s="368"/>
      <c r="G309" s="264"/>
      <c r="H309" s="265"/>
      <c r="I309" s="265"/>
      <c r="J309" s="265"/>
      <c r="K309" s="265"/>
      <c r="L309" s="265"/>
      <c r="M309" s="266"/>
      <c r="N309" s="369"/>
      <c r="O309" s="370"/>
      <c r="P309" s="371"/>
      <c r="Q309" s="370"/>
      <c r="R309" s="370"/>
      <c r="S309" s="372"/>
      <c r="T309" s="373"/>
      <c r="U309" s="374"/>
      <c r="V309" s="375"/>
      <c r="W309" s="381"/>
      <c r="X309" s="382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  <c r="CF309" s="29"/>
      <c r="CG309" s="29"/>
      <c r="CH309" s="29"/>
      <c r="CI309" s="29"/>
      <c r="CJ309" s="29"/>
      <c r="CK309" s="29"/>
      <c r="CL309" s="29"/>
      <c r="CM309" s="29"/>
      <c r="CN309" s="29"/>
      <c r="CO309" s="29"/>
      <c r="CP309" s="29"/>
      <c r="CQ309" s="29"/>
      <c r="CR309" s="29"/>
      <c r="CS309" s="29"/>
      <c r="CT309" s="29"/>
      <c r="CU309" s="29"/>
      <c r="CV309" s="29"/>
      <c r="CW309" s="29"/>
    </row>
    <row r="310" spans="2:101" s="6" customFormat="1" ht="19.5" customHeight="1" x14ac:dyDescent="0.35">
      <c r="B310" s="364" t="s">
        <v>218</v>
      </c>
      <c r="C310" s="365"/>
      <c r="D310" s="366"/>
      <c r="E310" s="367"/>
      <c r="F310" s="368"/>
      <c r="G310" s="264"/>
      <c r="H310" s="265"/>
      <c r="I310" s="265"/>
      <c r="J310" s="265"/>
      <c r="K310" s="265"/>
      <c r="L310" s="265"/>
      <c r="M310" s="266"/>
      <c r="N310" s="369"/>
      <c r="O310" s="370"/>
      <c r="P310" s="371"/>
      <c r="Q310" s="370"/>
      <c r="R310" s="370"/>
      <c r="S310" s="372"/>
      <c r="T310" s="373"/>
      <c r="U310" s="374"/>
      <c r="V310" s="375"/>
      <c r="W310" s="381"/>
      <c r="X310" s="382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  <c r="CF310" s="29"/>
      <c r="CG310" s="29"/>
      <c r="CH310" s="29"/>
      <c r="CI310" s="29"/>
      <c r="CJ310" s="29"/>
      <c r="CK310" s="29"/>
      <c r="CL310" s="29"/>
      <c r="CM310" s="29"/>
      <c r="CN310" s="29"/>
      <c r="CO310" s="29"/>
      <c r="CP310" s="29"/>
      <c r="CQ310" s="29"/>
      <c r="CR310" s="29"/>
      <c r="CS310" s="29"/>
      <c r="CT310" s="29"/>
      <c r="CU310" s="29"/>
      <c r="CV310" s="29"/>
      <c r="CW310" s="29"/>
    </row>
    <row r="311" spans="2:101" s="6" customFormat="1" ht="19.5" customHeight="1" x14ac:dyDescent="0.35">
      <c r="B311" s="364" t="s">
        <v>219</v>
      </c>
      <c r="C311" s="365"/>
      <c r="D311" s="366"/>
      <c r="E311" s="367"/>
      <c r="F311" s="368"/>
      <c r="G311" s="264"/>
      <c r="H311" s="265"/>
      <c r="I311" s="265"/>
      <c r="J311" s="265"/>
      <c r="K311" s="265"/>
      <c r="L311" s="265"/>
      <c r="M311" s="266"/>
      <c r="N311" s="369"/>
      <c r="O311" s="370"/>
      <c r="P311" s="371"/>
      <c r="Q311" s="370"/>
      <c r="R311" s="370"/>
      <c r="S311" s="372"/>
      <c r="T311" s="373"/>
      <c r="U311" s="374"/>
      <c r="V311" s="375"/>
      <c r="W311" s="381"/>
      <c r="X311" s="382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  <c r="CF311" s="29"/>
      <c r="CG311" s="29"/>
      <c r="CH311" s="29"/>
      <c r="CI311" s="29"/>
      <c r="CJ311" s="29"/>
      <c r="CK311" s="29"/>
      <c r="CL311" s="29"/>
      <c r="CM311" s="29"/>
      <c r="CN311" s="29"/>
      <c r="CO311" s="29"/>
      <c r="CP311" s="29"/>
      <c r="CQ311" s="29"/>
      <c r="CR311" s="29"/>
      <c r="CS311" s="29"/>
      <c r="CT311" s="29"/>
      <c r="CU311" s="29"/>
      <c r="CV311" s="29"/>
      <c r="CW311" s="29"/>
    </row>
    <row r="312" spans="2:101" s="6" customFormat="1" ht="19.5" customHeight="1" x14ac:dyDescent="0.35">
      <c r="B312" s="364" t="s">
        <v>220</v>
      </c>
      <c r="C312" s="365"/>
      <c r="D312" s="366"/>
      <c r="E312" s="367"/>
      <c r="F312" s="368"/>
      <c r="G312" s="264"/>
      <c r="H312" s="265"/>
      <c r="I312" s="265"/>
      <c r="J312" s="265"/>
      <c r="K312" s="265"/>
      <c r="L312" s="265"/>
      <c r="M312" s="266"/>
      <c r="N312" s="369"/>
      <c r="O312" s="370"/>
      <c r="P312" s="371"/>
      <c r="Q312" s="370"/>
      <c r="R312" s="370"/>
      <c r="S312" s="372"/>
      <c r="T312" s="373"/>
      <c r="U312" s="374"/>
      <c r="V312" s="375"/>
      <c r="W312" s="381"/>
      <c r="X312" s="382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  <c r="CF312" s="29"/>
      <c r="CG312" s="29"/>
      <c r="CH312" s="29"/>
      <c r="CI312" s="29"/>
      <c r="CJ312" s="29"/>
      <c r="CK312" s="29"/>
      <c r="CL312" s="29"/>
      <c r="CM312" s="29"/>
      <c r="CN312" s="29"/>
      <c r="CO312" s="29"/>
      <c r="CP312" s="29"/>
      <c r="CQ312" s="29"/>
      <c r="CR312" s="29"/>
      <c r="CS312" s="29"/>
      <c r="CT312" s="29"/>
      <c r="CU312" s="29"/>
      <c r="CV312" s="29"/>
      <c r="CW312" s="29"/>
    </row>
    <row r="313" spans="2:101" s="6" customFormat="1" ht="19.5" customHeight="1" x14ac:dyDescent="0.35">
      <c r="B313" s="364" t="s">
        <v>221</v>
      </c>
      <c r="C313" s="365"/>
      <c r="D313" s="366"/>
      <c r="E313" s="367"/>
      <c r="F313" s="368"/>
      <c r="G313" s="264"/>
      <c r="H313" s="265"/>
      <c r="I313" s="265"/>
      <c r="J313" s="265"/>
      <c r="K313" s="265"/>
      <c r="L313" s="265"/>
      <c r="M313" s="266"/>
      <c r="N313" s="369"/>
      <c r="O313" s="370"/>
      <c r="P313" s="371"/>
      <c r="Q313" s="370"/>
      <c r="R313" s="370"/>
      <c r="S313" s="372"/>
      <c r="T313" s="373"/>
      <c r="U313" s="374"/>
      <c r="V313" s="375"/>
      <c r="W313" s="381"/>
      <c r="X313" s="382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  <c r="CF313" s="29"/>
      <c r="CG313" s="29"/>
      <c r="CH313" s="29"/>
      <c r="CI313" s="29"/>
      <c r="CJ313" s="29"/>
      <c r="CK313" s="29"/>
      <c r="CL313" s="29"/>
      <c r="CM313" s="29"/>
      <c r="CN313" s="29"/>
      <c r="CO313" s="29"/>
      <c r="CP313" s="29"/>
      <c r="CQ313" s="29"/>
      <c r="CR313" s="29"/>
      <c r="CS313" s="29"/>
      <c r="CT313" s="29"/>
      <c r="CU313" s="29"/>
      <c r="CV313" s="29"/>
      <c r="CW313" s="29"/>
    </row>
    <row r="314" spans="2:101" s="6" customFormat="1" ht="19.5" customHeight="1" x14ac:dyDescent="0.35">
      <c r="B314" s="364" t="s">
        <v>222</v>
      </c>
      <c r="C314" s="365"/>
      <c r="D314" s="366"/>
      <c r="E314" s="367"/>
      <c r="F314" s="368"/>
      <c r="G314" s="264"/>
      <c r="H314" s="265"/>
      <c r="I314" s="265"/>
      <c r="J314" s="265"/>
      <c r="K314" s="265"/>
      <c r="L314" s="265"/>
      <c r="M314" s="266"/>
      <c r="N314" s="369"/>
      <c r="O314" s="370"/>
      <c r="P314" s="371"/>
      <c r="Q314" s="370"/>
      <c r="R314" s="370"/>
      <c r="S314" s="372"/>
      <c r="T314" s="373"/>
      <c r="U314" s="374"/>
      <c r="V314" s="375"/>
      <c r="W314" s="381"/>
      <c r="X314" s="382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  <c r="CF314" s="29"/>
      <c r="CG314" s="29"/>
      <c r="CH314" s="29"/>
      <c r="CI314" s="29"/>
      <c r="CJ314" s="29"/>
      <c r="CK314" s="29"/>
      <c r="CL314" s="29"/>
      <c r="CM314" s="29"/>
      <c r="CN314" s="29"/>
      <c r="CO314" s="29"/>
      <c r="CP314" s="29"/>
      <c r="CQ314" s="29"/>
      <c r="CR314" s="29"/>
      <c r="CS314" s="29"/>
      <c r="CT314" s="29"/>
      <c r="CU314" s="29"/>
      <c r="CV314" s="29"/>
      <c r="CW314" s="29"/>
    </row>
    <row r="315" spans="2:101" s="6" customFormat="1" ht="19.5" customHeight="1" x14ac:dyDescent="0.35">
      <c r="B315" s="364" t="s">
        <v>223</v>
      </c>
      <c r="C315" s="365"/>
      <c r="D315" s="366"/>
      <c r="E315" s="367"/>
      <c r="F315" s="368"/>
      <c r="G315" s="264"/>
      <c r="H315" s="265"/>
      <c r="I315" s="265"/>
      <c r="J315" s="265"/>
      <c r="K315" s="265"/>
      <c r="L315" s="265"/>
      <c r="M315" s="266"/>
      <c r="N315" s="369"/>
      <c r="O315" s="370"/>
      <c r="P315" s="371"/>
      <c r="Q315" s="370"/>
      <c r="R315" s="370"/>
      <c r="S315" s="372"/>
      <c r="T315" s="373"/>
      <c r="U315" s="374"/>
      <c r="V315" s="375"/>
      <c r="W315" s="381"/>
      <c r="X315" s="382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  <c r="CF315" s="29"/>
      <c r="CG315" s="29"/>
      <c r="CH315" s="29"/>
      <c r="CI315" s="29"/>
      <c r="CJ315" s="29"/>
      <c r="CK315" s="29"/>
      <c r="CL315" s="29"/>
      <c r="CM315" s="29"/>
      <c r="CN315" s="29"/>
      <c r="CO315" s="29"/>
      <c r="CP315" s="29"/>
      <c r="CQ315" s="29"/>
      <c r="CR315" s="29"/>
      <c r="CS315" s="29"/>
      <c r="CT315" s="29"/>
      <c r="CU315" s="29"/>
      <c r="CV315" s="29"/>
      <c r="CW315" s="29"/>
    </row>
    <row r="316" spans="2:101" s="6" customFormat="1" ht="19.5" customHeight="1" x14ac:dyDescent="0.35">
      <c r="B316" s="364" t="s">
        <v>224</v>
      </c>
      <c r="C316" s="365"/>
      <c r="D316" s="366"/>
      <c r="E316" s="367"/>
      <c r="F316" s="368"/>
      <c r="G316" s="264"/>
      <c r="H316" s="265"/>
      <c r="I316" s="265"/>
      <c r="J316" s="265"/>
      <c r="K316" s="265"/>
      <c r="L316" s="265"/>
      <c r="M316" s="266"/>
      <c r="N316" s="369"/>
      <c r="O316" s="370"/>
      <c r="P316" s="371"/>
      <c r="Q316" s="370"/>
      <c r="R316" s="370"/>
      <c r="S316" s="372"/>
      <c r="T316" s="373"/>
      <c r="U316" s="374"/>
      <c r="V316" s="375"/>
      <c r="W316" s="381"/>
      <c r="X316" s="382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  <c r="CF316" s="29"/>
      <c r="CG316" s="29"/>
      <c r="CH316" s="29"/>
      <c r="CI316" s="29"/>
      <c r="CJ316" s="29"/>
      <c r="CK316" s="29"/>
      <c r="CL316" s="29"/>
      <c r="CM316" s="29"/>
      <c r="CN316" s="29"/>
      <c r="CO316" s="29"/>
      <c r="CP316" s="29"/>
      <c r="CQ316" s="29"/>
      <c r="CR316" s="29"/>
      <c r="CS316" s="29"/>
      <c r="CT316" s="29"/>
      <c r="CU316" s="29"/>
      <c r="CV316" s="29"/>
      <c r="CW316" s="29"/>
    </row>
    <row r="317" spans="2:101" s="6" customFormat="1" ht="19.5" customHeight="1" x14ac:dyDescent="0.35">
      <c r="B317" s="364" t="s">
        <v>225</v>
      </c>
      <c r="C317" s="365"/>
      <c r="D317" s="366"/>
      <c r="E317" s="367"/>
      <c r="F317" s="368"/>
      <c r="G317" s="264"/>
      <c r="H317" s="265"/>
      <c r="I317" s="265"/>
      <c r="J317" s="265"/>
      <c r="K317" s="265"/>
      <c r="L317" s="265"/>
      <c r="M317" s="266"/>
      <c r="N317" s="369"/>
      <c r="O317" s="370"/>
      <c r="P317" s="371"/>
      <c r="Q317" s="370"/>
      <c r="R317" s="370"/>
      <c r="S317" s="372"/>
      <c r="T317" s="373"/>
      <c r="U317" s="374"/>
      <c r="V317" s="375"/>
      <c r="W317" s="381"/>
      <c r="X317" s="382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  <c r="CF317" s="29"/>
      <c r="CG317" s="29"/>
      <c r="CH317" s="29"/>
      <c r="CI317" s="29"/>
      <c r="CJ317" s="29"/>
      <c r="CK317" s="29"/>
      <c r="CL317" s="29"/>
      <c r="CM317" s="29"/>
      <c r="CN317" s="29"/>
      <c r="CO317" s="29"/>
      <c r="CP317" s="29"/>
      <c r="CQ317" s="29"/>
      <c r="CR317" s="29"/>
      <c r="CS317" s="29"/>
      <c r="CT317" s="29"/>
      <c r="CU317" s="29"/>
      <c r="CV317" s="29"/>
      <c r="CW317" s="29"/>
    </row>
    <row r="318" spans="2:101" s="6" customFormat="1" ht="19.5" customHeight="1" x14ac:dyDescent="0.35">
      <c r="B318" s="364" t="s">
        <v>226</v>
      </c>
      <c r="C318" s="365"/>
      <c r="D318" s="366"/>
      <c r="E318" s="367"/>
      <c r="F318" s="368"/>
      <c r="G318" s="264"/>
      <c r="H318" s="265"/>
      <c r="I318" s="265"/>
      <c r="J318" s="265"/>
      <c r="K318" s="265"/>
      <c r="L318" s="265"/>
      <c r="M318" s="266"/>
      <c r="N318" s="369"/>
      <c r="O318" s="370"/>
      <c r="P318" s="371"/>
      <c r="Q318" s="370"/>
      <c r="R318" s="370"/>
      <c r="S318" s="372"/>
      <c r="T318" s="373"/>
      <c r="U318" s="374"/>
      <c r="V318" s="375"/>
      <c r="W318" s="381"/>
      <c r="X318" s="382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  <c r="CF318" s="29"/>
      <c r="CG318" s="29"/>
      <c r="CH318" s="29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  <c r="CS318" s="29"/>
      <c r="CT318" s="29"/>
      <c r="CU318" s="29"/>
      <c r="CV318" s="29"/>
      <c r="CW318" s="29"/>
    </row>
    <row r="319" spans="2:101" s="6" customFormat="1" ht="19.5" customHeight="1" x14ac:dyDescent="0.35">
      <c r="B319" s="364" t="s">
        <v>227</v>
      </c>
      <c r="C319" s="365"/>
      <c r="D319" s="366"/>
      <c r="E319" s="367"/>
      <c r="F319" s="368"/>
      <c r="G319" s="264"/>
      <c r="H319" s="265"/>
      <c r="I319" s="265"/>
      <c r="J319" s="265"/>
      <c r="K319" s="265"/>
      <c r="L319" s="265"/>
      <c r="M319" s="266"/>
      <c r="N319" s="369"/>
      <c r="O319" s="370"/>
      <c r="P319" s="371"/>
      <c r="Q319" s="370"/>
      <c r="R319" s="370"/>
      <c r="S319" s="372"/>
      <c r="T319" s="373"/>
      <c r="U319" s="374"/>
      <c r="V319" s="375"/>
      <c r="W319" s="381"/>
      <c r="X319" s="382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  <c r="CF319" s="29"/>
      <c r="CG319" s="29"/>
      <c r="CH319" s="29"/>
      <c r="CI319" s="29"/>
      <c r="CJ319" s="29"/>
      <c r="CK319" s="29"/>
      <c r="CL319" s="29"/>
      <c r="CM319" s="29"/>
      <c r="CN319" s="29"/>
      <c r="CO319" s="29"/>
      <c r="CP319" s="29"/>
      <c r="CQ319" s="29"/>
      <c r="CR319" s="29"/>
      <c r="CS319" s="29"/>
      <c r="CT319" s="29"/>
      <c r="CU319" s="29"/>
      <c r="CV319" s="29"/>
      <c r="CW319" s="29"/>
    </row>
    <row r="320" spans="2:101" s="6" customFormat="1" ht="19.5" customHeight="1" x14ac:dyDescent="0.35">
      <c r="B320" s="364" t="s">
        <v>228</v>
      </c>
      <c r="C320" s="365"/>
      <c r="D320" s="366"/>
      <c r="E320" s="367"/>
      <c r="F320" s="368"/>
      <c r="G320" s="264"/>
      <c r="H320" s="265"/>
      <c r="I320" s="265"/>
      <c r="J320" s="265"/>
      <c r="K320" s="265"/>
      <c r="L320" s="265"/>
      <c r="M320" s="266"/>
      <c r="N320" s="369"/>
      <c r="O320" s="370"/>
      <c r="P320" s="371"/>
      <c r="Q320" s="370"/>
      <c r="R320" s="370"/>
      <c r="S320" s="372"/>
      <c r="T320" s="373"/>
      <c r="U320" s="374"/>
      <c r="V320" s="375"/>
      <c r="W320" s="381"/>
      <c r="X320" s="382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  <c r="CF320" s="29"/>
      <c r="CG320" s="29"/>
      <c r="CH320" s="29"/>
      <c r="CI320" s="29"/>
      <c r="CJ320" s="29"/>
      <c r="CK320" s="29"/>
      <c r="CL320" s="29"/>
      <c r="CM320" s="29"/>
      <c r="CN320" s="29"/>
      <c r="CO320" s="29"/>
      <c r="CP320" s="29"/>
      <c r="CQ320" s="29"/>
      <c r="CR320" s="29"/>
      <c r="CS320" s="29"/>
      <c r="CT320" s="29"/>
      <c r="CU320" s="29"/>
      <c r="CV320" s="29"/>
      <c r="CW320" s="29"/>
    </row>
    <row r="321" spans="1:108" s="6" customFormat="1" ht="19.5" customHeight="1" x14ac:dyDescent="0.35">
      <c r="B321" s="364" t="s">
        <v>229</v>
      </c>
      <c r="C321" s="365"/>
      <c r="D321" s="366"/>
      <c r="E321" s="367"/>
      <c r="F321" s="368"/>
      <c r="G321" s="264"/>
      <c r="H321" s="265"/>
      <c r="I321" s="265"/>
      <c r="J321" s="265"/>
      <c r="K321" s="265"/>
      <c r="L321" s="265"/>
      <c r="M321" s="266"/>
      <c r="N321" s="369"/>
      <c r="O321" s="370"/>
      <c r="P321" s="371"/>
      <c r="Q321" s="370"/>
      <c r="R321" s="370"/>
      <c r="S321" s="372"/>
      <c r="T321" s="373"/>
      <c r="U321" s="374"/>
      <c r="V321" s="375"/>
      <c r="W321" s="381"/>
      <c r="X321" s="382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  <c r="CF321" s="29"/>
      <c r="CG321" s="29"/>
      <c r="CH321" s="29"/>
      <c r="CI321" s="29"/>
      <c r="CJ321" s="29"/>
      <c r="CK321" s="29"/>
      <c r="CL321" s="29"/>
      <c r="CM321" s="29"/>
      <c r="CN321" s="29"/>
      <c r="CO321" s="29"/>
      <c r="CP321" s="29"/>
      <c r="CQ321" s="29"/>
      <c r="CR321" s="29"/>
      <c r="CS321" s="29"/>
      <c r="CT321" s="29"/>
      <c r="CU321" s="29"/>
      <c r="CV321" s="29"/>
      <c r="CW321" s="29"/>
    </row>
    <row r="322" spans="1:108" s="6" customFormat="1" ht="19.5" customHeight="1" x14ac:dyDescent="0.35">
      <c r="B322" s="364" t="s">
        <v>230</v>
      </c>
      <c r="C322" s="365"/>
      <c r="D322" s="366"/>
      <c r="E322" s="367"/>
      <c r="F322" s="368"/>
      <c r="G322" s="264"/>
      <c r="H322" s="265"/>
      <c r="I322" s="265"/>
      <c r="J322" s="265"/>
      <c r="K322" s="265"/>
      <c r="L322" s="265"/>
      <c r="M322" s="266"/>
      <c r="N322" s="369"/>
      <c r="O322" s="370"/>
      <c r="P322" s="371"/>
      <c r="Q322" s="370"/>
      <c r="R322" s="370"/>
      <c r="S322" s="372"/>
      <c r="T322" s="373"/>
      <c r="U322" s="374"/>
      <c r="V322" s="375"/>
      <c r="W322" s="381"/>
      <c r="X322" s="382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  <c r="CF322" s="29"/>
      <c r="CG322" s="29"/>
      <c r="CH322" s="29"/>
      <c r="CI322" s="29"/>
      <c r="CJ322" s="29"/>
      <c r="CK322" s="29"/>
      <c r="CL322" s="29"/>
      <c r="CM322" s="29"/>
      <c r="CN322" s="29"/>
      <c r="CO322" s="29"/>
      <c r="CP322" s="29"/>
      <c r="CQ322" s="29"/>
      <c r="CR322" s="29"/>
      <c r="CS322" s="29"/>
      <c r="CT322" s="29"/>
      <c r="CU322" s="29"/>
      <c r="CV322" s="29"/>
      <c r="CW322" s="29"/>
    </row>
    <row r="323" spans="1:108" s="6" customFormat="1" ht="19.5" customHeight="1" x14ac:dyDescent="0.35">
      <c r="B323" s="364" t="s">
        <v>231</v>
      </c>
      <c r="C323" s="365"/>
      <c r="D323" s="366"/>
      <c r="E323" s="367"/>
      <c r="F323" s="368"/>
      <c r="G323" s="264"/>
      <c r="H323" s="265"/>
      <c r="I323" s="265"/>
      <c r="J323" s="265"/>
      <c r="K323" s="265"/>
      <c r="L323" s="265"/>
      <c r="M323" s="266"/>
      <c r="N323" s="369"/>
      <c r="O323" s="370"/>
      <c r="P323" s="371"/>
      <c r="Q323" s="370"/>
      <c r="R323" s="370"/>
      <c r="S323" s="372"/>
      <c r="T323" s="373"/>
      <c r="U323" s="374"/>
      <c r="V323" s="375"/>
      <c r="W323" s="381"/>
      <c r="X323" s="382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  <c r="CF323" s="29"/>
      <c r="CG323" s="29"/>
      <c r="CH323" s="29"/>
      <c r="CI323" s="29"/>
      <c r="CJ323" s="29"/>
      <c r="CK323" s="29"/>
      <c r="CL323" s="29"/>
      <c r="CM323" s="29"/>
      <c r="CN323" s="29"/>
      <c r="CO323" s="29"/>
      <c r="CP323" s="29"/>
      <c r="CQ323" s="29"/>
      <c r="CR323" s="29"/>
      <c r="CS323" s="29"/>
      <c r="CT323" s="29"/>
      <c r="CU323" s="29"/>
      <c r="CV323" s="29"/>
      <c r="CW323" s="29"/>
    </row>
    <row r="324" spans="1:108" s="6" customFormat="1" ht="15" customHeight="1" x14ac:dyDescent="0.35">
      <c r="A324" s="1"/>
      <c r="B324" s="267" t="s">
        <v>232</v>
      </c>
      <c r="C324" s="268"/>
      <c r="D324" s="269"/>
      <c r="E324" s="270"/>
      <c r="F324" s="271"/>
      <c r="G324" s="272"/>
      <c r="H324" s="273"/>
      <c r="I324" s="273"/>
      <c r="J324" s="273"/>
      <c r="K324" s="273"/>
      <c r="L324" s="273"/>
      <c r="M324" s="274"/>
      <c r="N324" s="275"/>
      <c r="O324" s="276"/>
      <c r="P324" s="277"/>
      <c r="Q324" s="276"/>
      <c r="R324" s="276"/>
      <c r="S324" s="278"/>
      <c r="T324" s="279"/>
      <c r="U324" s="280"/>
      <c r="V324" s="317"/>
      <c r="W324" s="320">
        <f>Q324*-3+T324*-1+V324*-1</f>
        <v>0</v>
      </c>
      <c r="X324" s="323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  <c r="CF324" s="29"/>
      <c r="CG324" s="29"/>
      <c r="CH324" s="29"/>
      <c r="CI324" s="29"/>
      <c r="CJ324" s="29"/>
      <c r="CK324" s="29"/>
      <c r="CL324" s="29"/>
      <c r="CM324" s="29"/>
      <c r="CN324" s="29"/>
      <c r="CO324" s="29"/>
      <c r="CP324" s="29"/>
      <c r="CQ324" s="29"/>
      <c r="CR324" s="29"/>
      <c r="CS324" s="29"/>
      <c r="CT324" s="29"/>
      <c r="CU324" s="29"/>
      <c r="CV324" s="29"/>
      <c r="CW324" s="29"/>
    </row>
    <row r="325" spans="1:108" ht="15" customHeight="1" x14ac:dyDescent="0.35">
      <c r="B325" s="267" t="s">
        <v>233</v>
      </c>
      <c r="C325" s="268"/>
      <c r="D325" s="269"/>
      <c r="E325" s="270"/>
      <c r="F325" s="271"/>
      <c r="G325" s="272"/>
      <c r="H325" s="273"/>
      <c r="I325" s="273"/>
      <c r="J325" s="273"/>
      <c r="K325" s="273"/>
      <c r="L325" s="273"/>
      <c r="M325" s="274"/>
      <c r="N325" s="275"/>
      <c r="O325" s="276"/>
      <c r="P325" s="277"/>
      <c r="Q325" s="276"/>
      <c r="R325" s="276"/>
      <c r="S325" s="278"/>
      <c r="T325" s="279"/>
      <c r="U325" s="280"/>
      <c r="V325" s="317"/>
      <c r="W325" s="320">
        <f t="shared" ref="W325:W332" si="6">Q325*-3+T325*-1+V325*-1</f>
        <v>0</v>
      </c>
      <c r="X325" s="323"/>
      <c r="Y325" s="29"/>
      <c r="CX325" s="1"/>
      <c r="CY325" s="1"/>
      <c r="CZ325" s="1"/>
      <c r="DA325" s="1"/>
      <c r="DB325" s="1"/>
      <c r="DC325" s="1"/>
      <c r="DD325" s="1"/>
    </row>
    <row r="326" spans="1:108" ht="15" customHeight="1" x14ac:dyDescent="0.35">
      <c r="B326" s="267" t="s">
        <v>234</v>
      </c>
      <c r="C326" s="268"/>
      <c r="D326" s="269"/>
      <c r="E326" s="270"/>
      <c r="F326" s="271"/>
      <c r="G326" s="272"/>
      <c r="H326" s="273"/>
      <c r="I326" s="273"/>
      <c r="J326" s="273"/>
      <c r="K326" s="273"/>
      <c r="L326" s="273"/>
      <c r="M326" s="274"/>
      <c r="N326" s="275"/>
      <c r="O326" s="276"/>
      <c r="P326" s="277"/>
      <c r="Q326" s="276"/>
      <c r="R326" s="276"/>
      <c r="S326" s="278"/>
      <c r="T326" s="279"/>
      <c r="U326" s="280"/>
      <c r="V326" s="317"/>
      <c r="W326" s="320"/>
      <c r="X326" s="323"/>
      <c r="Y326" s="29"/>
      <c r="CX326" s="1"/>
      <c r="CY326" s="1"/>
      <c r="CZ326" s="1"/>
      <c r="DA326" s="1"/>
      <c r="DB326" s="1"/>
      <c r="DC326" s="1"/>
      <c r="DD326" s="1"/>
    </row>
    <row r="327" spans="1:108" ht="15" customHeight="1" x14ac:dyDescent="0.35">
      <c r="B327" s="267" t="s">
        <v>235</v>
      </c>
      <c r="C327" s="268"/>
      <c r="D327" s="269"/>
      <c r="E327" s="270"/>
      <c r="F327" s="271"/>
      <c r="G327" s="272"/>
      <c r="H327" s="273"/>
      <c r="I327" s="273"/>
      <c r="J327" s="273"/>
      <c r="K327" s="273"/>
      <c r="L327" s="273"/>
      <c r="M327" s="274"/>
      <c r="N327" s="275"/>
      <c r="O327" s="276"/>
      <c r="P327" s="277"/>
      <c r="Q327" s="276"/>
      <c r="R327" s="276"/>
      <c r="S327" s="278"/>
      <c r="T327" s="279"/>
      <c r="U327" s="280"/>
      <c r="V327" s="317"/>
      <c r="W327" s="320"/>
      <c r="X327" s="323"/>
      <c r="Y327" s="29"/>
      <c r="CX327" s="1"/>
      <c r="CY327" s="1"/>
      <c r="CZ327" s="1"/>
      <c r="DA327" s="1"/>
      <c r="DB327" s="1"/>
      <c r="DC327" s="1"/>
      <c r="DD327" s="1"/>
    </row>
    <row r="328" spans="1:108" ht="15" customHeight="1" x14ac:dyDescent="0.35">
      <c r="B328" s="267" t="s">
        <v>236</v>
      </c>
      <c r="C328" s="268"/>
      <c r="D328" s="269"/>
      <c r="E328" s="270"/>
      <c r="F328" s="271"/>
      <c r="G328" s="272"/>
      <c r="H328" s="273"/>
      <c r="I328" s="273"/>
      <c r="J328" s="273"/>
      <c r="K328" s="273"/>
      <c r="L328" s="273"/>
      <c r="M328" s="274"/>
      <c r="N328" s="275"/>
      <c r="O328" s="276"/>
      <c r="P328" s="277"/>
      <c r="Q328" s="276"/>
      <c r="R328" s="276"/>
      <c r="S328" s="278"/>
      <c r="T328" s="279"/>
      <c r="U328" s="280"/>
      <c r="V328" s="317"/>
      <c r="W328" s="320">
        <f t="shared" si="6"/>
        <v>0</v>
      </c>
      <c r="X328" s="323"/>
      <c r="Y328" s="29"/>
      <c r="CX328" s="1"/>
      <c r="CY328" s="1"/>
      <c r="CZ328" s="1"/>
      <c r="DA328" s="1"/>
      <c r="DB328" s="1"/>
      <c r="DC328" s="1"/>
      <c r="DD328" s="1"/>
    </row>
    <row r="329" spans="1:108" ht="15" customHeight="1" x14ac:dyDescent="0.35">
      <c r="B329" s="267" t="s">
        <v>237</v>
      </c>
      <c r="C329" s="268"/>
      <c r="D329" s="269"/>
      <c r="E329" s="270"/>
      <c r="F329" s="271"/>
      <c r="G329" s="272"/>
      <c r="H329" s="273"/>
      <c r="I329" s="273"/>
      <c r="J329" s="273"/>
      <c r="K329" s="273"/>
      <c r="L329" s="273"/>
      <c r="M329" s="274"/>
      <c r="N329" s="275"/>
      <c r="O329" s="276"/>
      <c r="P329" s="277"/>
      <c r="Q329" s="276"/>
      <c r="R329" s="276"/>
      <c r="S329" s="278"/>
      <c r="T329" s="279"/>
      <c r="U329" s="280"/>
      <c r="V329" s="317"/>
      <c r="W329" s="320">
        <f t="shared" si="6"/>
        <v>0</v>
      </c>
      <c r="X329" s="323"/>
      <c r="Y329" s="29"/>
      <c r="CX329" s="1"/>
      <c r="CY329" s="1"/>
      <c r="CZ329" s="1"/>
      <c r="DA329" s="1"/>
      <c r="DB329" s="1"/>
      <c r="DC329" s="1"/>
      <c r="DD329" s="1"/>
    </row>
    <row r="330" spans="1:108" ht="15" customHeight="1" x14ac:dyDescent="0.35">
      <c r="B330" s="267" t="s">
        <v>238</v>
      </c>
      <c r="C330" s="268"/>
      <c r="D330" s="269"/>
      <c r="E330" s="270"/>
      <c r="F330" s="271"/>
      <c r="G330" s="272"/>
      <c r="H330" s="273"/>
      <c r="I330" s="273"/>
      <c r="J330" s="273"/>
      <c r="K330" s="273"/>
      <c r="L330" s="273"/>
      <c r="M330" s="274"/>
      <c r="N330" s="275"/>
      <c r="O330" s="276"/>
      <c r="P330" s="277"/>
      <c r="Q330" s="276"/>
      <c r="R330" s="276"/>
      <c r="S330" s="278"/>
      <c r="T330" s="279"/>
      <c r="U330" s="280"/>
      <c r="V330" s="317"/>
      <c r="W330" s="320">
        <f t="shared" si="6"/>
        <v>0</v>
      </c>
      <c r="X330" s="323"/>
      <c r="Y330" s="29"/>
      <c r="CX330" s="1"/>
      <c r="CY330" s="1"/>
      <c r="CZ330" s="1"/>
      <c r="DA330" s="1"/>
      <c r="DB330" s="1"/>
      <c r="DC330" s="1"/>
      <c r="DD330" s="1"/>
    </row>
    <row r="331" spans="1:108" ht="15" customHeight="1" x14ac:dyDescent="0.35">
      <c r="B331" s="267" t="s">
        <v>239</v>
      </c>
      <c r="C331" s="268"/>
      <c r="D331" s="269"/>
      <c r="E331" s="270"/>
      <c r="F331" s="271"/>
      <c r="G331" s="272"/>
      <c r="H331" s="273"/>
      <c r="I331" s="273"/>
      <c r="J331" s="273"/>
      <c r="K331" s="273"/>
      <c r="L331" s="273"/>
      <c r="M331" s="274"/>
      <c r="N331" s="275"/>
      <c r="O331" s="276"/>
      <c r="P331" s="277"/>
      <c r="Q331" s="276"/>
      <c r="R331" s="276"/>
      <c r="S331" s="278"/>
      <c r="T331" s="279"/>
      <c r="U331" s="280"/>
      <c r="V331" s="317"/>
      <c r="W331" s="320">
        <f t="shared" si="6"/>
        <v>0</v>
      </c>
      <c r="X331" s="323"/>
      <c r="Y331" s="29"/>
      <c r="CX331" s="1"/>
      <c r="CY331" s="1"/>
      <c r="CZ331" s="1"/>
      <c r="DA331" s="1"/>
      <c r="DB331" s="1"/>
      <c r="DC331" s="1"/>
      <c r="DD331" s="1"/>
    </row>
    <row r="332" spans="1:108" ht="15" customHeight="1" thickBot="1" x14ac:dyDescent="0.4">
      <c r="B332" s="282" t="s">
        <v>240</v>
      </c>
      <c r="C332" s="283"/>
      <c r="D332" s="284"/>
      <c r="E332" s="285"/>
      <c r="F332" s="286"/>
      <c r="G332" s="287"/>
      <c r="H332" s="288"/>
      <c r="I332" s="288"/>
      <c r="J332" s="288"/>
      <c r="K332" s="288"/>
      <c r="L332" s="288"/>
      <c r="M332" s="289"/>
      <c r="N332" s="290"/>
      <c r="O332" s="291"/>
      <c r="P332" s="292"/>
      <c r="Q332" s="291"/>
      <c r="R332" s="291"/>
      <c r="S332" s="293"/>
      <c r="T332" s="294"/>
      <c r="U332" s="295"/>
      <c r="V332" s="318"/>
      <c r="W332" s="320">
        <f t="shared" si="6"/>
        <v>0</v>
      </c>
      <c r="X332" s="324"/>
      <c r="Y332" s="29"/>
      <c r="CX332" s="1"/>
      <c r="CY332" s="1"/>
      <c r="CZ332" s="1"/>
      <c r="DA332" s="1"/>
      <c r="DB332" s="1"/>
      <c r="DC332" s="1"/>
      <c r="DD332" s="1"/>
    </row>
    <row r="333" spans="1:108" ht="15" customHeight="1" thickBot="1" x14ac:dyDescent="0.25">
      <c r="B333" s="171"/>
      <c r="C333" s="241"/>
      <c r="D333" s="250"/>
      <c r="E333" s="251"/>
      <c r="F333" s="252"/>
      <c r="G333" s="255"/>
      <c r="H333" s="245"/>
      <c r="I333" s="245"/>
      <c r="J333" s="245"/>
      <c r="K333" s="245"/>
      <c r="L333" s="245"/>
      <c r="M333" s="246"/>
      <c r="N333" s="257"/>
      <c r="O333" s="192">
        <f>SUM(O293:O332)</f>
        <v>0</v>
      </c>
      <c r="P333" s="191" t="e">
        <f>AVERAGE(P293:P332)</f>
        <v>#DIV/0!</v>
      </c>
      <c r="Q333" s="191"/>
      <c r="R333" s="192">
        <f>SUM(R293:R332)</f>
        <v>0</v>
      </c>
      <c r="S333" s="191" t="e">
        <f>AVERAGE(S293:S332)</f>
        <v>#DIV/0!</v>
      </c>
      <c r="T333" s="191"/>
      <c r="U333" s="253" t="e">
        <f>AVERAGE(U293:U332)</f>
        <v>#DIV/0!</v>
      </c>
      <c r="V333" s="303"/>
      <c r="W333" s="257"/>
      <c r="X333" s="193"/>
      <c r="CX333" s="1"/>
      <c r="CY333" s="1"/>
      <c r="CZ333" s="1"/>
      <c r="DA333" s="1"/>
      <c r="DB333" s="1"/>
      <c r="DC333" s="1"/>
      <c r="DD333" s="1"/>
    </row>
    <row r="334" spans="1:108" ht="15" customHeight="1" x14ac:dyDescent="0.2">
      <c r="B334" s="3"/>
      <c r="C334" s="3"/>
      <c r="D334" s="3"/>
      <c r="E334" s="15"/>
      <c r="F334" s="3"/>
      <c r="G334" s="187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spans="1:108" ht="15" hidden="1" customHeight="1" x14ac:dyDescent="0.2">
      <c r="B335" s="3"/>
      <c r="C335" s="3"/>
      <c r="D335" s="3"/>
      <c r="E335" s="15"/>
      <c r="F335" s="3"/>
      <c r="G335" s="187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spans="1:108" ht="15" hidden="1" customHeight="1" x14ac:dyDescent="0.2">
      <c r="B336" s="3"/>
      <c r="C336" s="3"/>
      <c r="D336" s="3"/>
      <c r="E336" s="15"/>
      <c r="F336" s="3"/>
      <c r="G336" s="187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spans="2:24" ht="15" hidden="1" customHeight="1" x14ac:dyDescent="0.2">
      <c r="B337" s="3"/>
      <c r="C337" s="3"/>
      <c r="D337" s="3"/>
      <c r="E337" s="15"/>
      <c r="F337" s="3"/>
      <c r="G337" s="187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spans="2:24" ht="15" hidden="1" customHeight="1" x14ac:dyDescent="0.2">
      <c r="B338" s="3"/>
      <c r="C338" s="3"/>
      <c r="D338" s="3"/>
      <c r="E338" s="15"/>
      <c r="F338" s="3"/>
      <c r="G338" s="187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spans="2:24" ht="15" hidden="1" customHeight="1" x14ac:dyDescent="0.2">
      <c r="B339" s="3"/>
      <c r="C339" s="3"/>
      <c r="D339" s="3"/>
      <c r="E339" s="15"/>
      <c r="F339" s="3"/>
      <c r="G339" s="187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spans="2:24" ht="15" hidden="1" customHeight="1" x14ac:dyDescent="0.2">
      <c r="B340" s="3"/>
      <c r="C340" s="3"/>
      <c r="D340" s="3"/>
      <c r="E340" s="15"/>
      <c r="F340" s="3"/>
      <c r="G340" s="187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spans="2:24" ht="15" hidden="1" customHeight="1" x14ac:dyDescent="0.2">
      <c r="B341" s="3"/>
      <c r="C341" s="3"/>
      <c r="D341" s="3"/>
      <c r="E341" s="15"/>
      <c r="F341" s="3"/>
      <c r="G341" s="187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spans="2:24" ht="15" hidden="1" customHeight="1" x14ac:dyDescent="0.2">
      <c r="B342" s="3"/>
      <c r="C342" s="3"/>
      <c r="D342" s="3"/>
      <c r="E342" s="15"/>
      <c r="F342" s="3"/>
      <c r="G342" s="187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spans="2:24" ht="15" hidden="1" customHeight="1" x14ac:dyDescent="0.2">
      <c r="B343" s="3"/>
      <c r="C343" s="3"/>
      <c r="D343" s="3"/>
      <c r="E343" s="15"/>
      <c r="F343" s="3"/>
      <c r="G343" s="187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spans="2:24" ht="15" hidden="1" customHeight="1" x14ac:dyDescent="0.2">
      <c r="B344" s="3"/>
      <c r="C344" s="3"/>
      <c r="D344" s="3"/>
      <c r="E344" s="15"/>
      <c r="F344" s="3"/>
      <c r="G344" s="187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spans="2:24" ht="15" hidden="1" customHeight="1" x14ac:dyDescent="0.2">
      <c r="B345" s="3"/>
      <c r="C345" s="3"/>
      <c r="D345" s="3"/>
      <c r="E345" s="15"/>
      <c r="F345" s="3"/>
      <c r="G345" s="187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spans="2:24" ht="15" hidden="1" customHeight="1" x14ac:dyDescent="0.2">
      <c r="B346" s="3"/>
      <c r="C346" s="3"/>
      <c r="D346" s="3"/>
      <c r="E346" s="15"/>
      <c r="F346" s="3"/>
      <c r="G346" s="187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spans="2:24" ht="15" hidden="1" customHeight="1" x14ac:dyDescent="0.2">
      <c r="B347" s="3"/>
      <c r="C347" s="3"/>
      <c r="D347" s="3"/>
      <c r="E347" s="15"/>
      <c r="F347" s="3"/>
      <c r="G347" s="187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spans="2:24" ht="15" hidden="1" customHeight="1" x14ac:dyDescent="0.2">
      <c r="B348" s="3"/>
      <c r="C348" s="3"/>
      <c r="D348" s="3"/>
      <c r="E348" s="15"/>
      <c r="F348" s="3"/>
      <c r="G348" s="187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spans="2:24" ht="15" hidden="1" customHeight="1" x14ac:dyDescent="0.2">
      <c r="B349" s="3"/>
      <c r="C349" s="3"/>
      <c r="D349" s="3"/>
      <c r="E349" s="15"/>
      <c r="F349" s="3"/>
      <c r="G349" s="187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spans="2:24" ht="15" hidden="1" customHeight="1" x14ac:dyDescent="0.2">
      <c r="B350" s="3"/>
      <c r="C350" s="3"/>
      <c r="D350" s="3"/>
      <c r="E350" s="15"/>
      <c r="F350" s="3"/>
      <c r="G350" s="187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spans="2:24" ht="15" hidden="1" customHeight="1" x14ac:dyDescent="0.2">
      <c r="B351" s="3"/>
      <c r="C351" s="3"/>
      <c r="D351" s="3"/>
      <c r="E351" s="15"/>
      <c r="F351" s="3"/>
      <c r="G351" s="187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spans="2:24" ht="15" hidden="1" customHeight="1" x14ac:dyDescent="0.2">
      <c r="B352" s="3"/>
      <c r="C352" s="3"/>
      <c r="D352" s="3"/>
      <c r="E352" s="15"/>
      <c r="F352" s="3"/>
      <c r="G352" s="187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spans="1:24" ht="15" hidden="1" customHeight="1" x14ac:dyDescent="0.2">
      <c r="B353" s="3"/>
      <c r="C353" s="3"/>
      <c r="D353" s="3"/>
      <c r="E353" s="15"/>
      <c r="F353" s="3"/>
      <c r="G353" s="187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spans="1:24" ht="15" hidden="1" customHeight="1" x14ac:dyDescent="0.2">
      <c r="B354" s="3"/>
      <c r="C354" s="3"/>
      <c r="D354" s="3"/>
      <c r="E354" s="15"/>
      <c r="F354" s="3"/>
      <c r="G354" s="187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spans="1:24" ht="15" hidden="1" customHeight="1" x14ac:dyDescent="0.2">
      <c r="B355" s="3"/>
      <c r="C355" s="3"/>
      <c r="D355" s="3"/>
      <c r="E355" s="15"/>
      <c r="F355" s="3"/>
      <c r="G355" s="187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spans="1:24" ht="15" hidden="1" customHeight="1" x14ac:dyDescent="0.2">
      <c r="B356" s="3"/>
      <c r="C356" s="3"/>
      <c r="D356" s="3"/>
      <c r="E356" s="15"/>
      <c r="F356" s="3"/>
      <c r="G356" s="187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spans="1:24" ht="15" hidden="1" customHeight="1" x14ac:dyDescent="0.2">
      <c r="B357" s="3"/>
      <c r="C357" s="3"/>
      <c r="D357" s="3"/>
      <c r="E357" s="15"/>
      <c r="F357" s="3"/>
      <c r="G357" s="187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spans="1:24" ht="15" hidden="1" customHeight="1" x14ac:dyDescent="0.2">
      <c r="B358" s="3"/>
      <c r="C358" s="3"/>
      <c r="D358" s="3"/>
      <c r="E358" s="15"/>
      <c r="F358" s="3"/>
      <c r="G358" s="187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spans="1:24" ht="15" hidden="1" customHeight="1" x14ac:dyDescent="0.2">
      <c r="B359" s="3"/>
      <c r="C359" s="3"/>
      <c r="D359" s="3"/>
      <c r="E359" s="15"/>
      <c r="F359" s="3"/>
      <c r="G359" s="187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spans="1:24" ht="15" hidden="1" customHeight="1" x14ac:dyDescent="0.2">
      <c r="B360" s="3"/>
      <c r="C360" s="3"/>
      <c r="D360" s="3"/>
      <c r="E360" s="15"/>
      <c r="F360" s="3"/>
      <c r="G360" s="187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spans="1:24" ht="15" hidden="1" customHeight="1" x14ac:dyDescent="0.2">
      <c r="B361" s="3"/>
      <c r="C361" s="3"/>
      <c r="D361" s="3"/>
      <c r="E361" s="15"/>
      <c r="F361" s="3"/>
      <c r="G361" s="187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spans="1:24" ht="15" customHeight="1" x14ac:dyDescent="0.2">
      <c r="B362" s="3"/>
      <c r="C362" s="3"/>
      <c r="D362" s="3"/>
      <c r="E362" s="15"/>
      <c r="F362" s="3"/>
      <c r="G362" s="187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spans="1:24" ht="15" customHeight="1" x14ac:dyDescent="0.2">
      <c r="B363" s="3"/>
      <c r="C363" s="3"/>
      <c r="D363" s="3"/>
      <c r="E363" s="15"/>
      <c r="F363" s="3"/>
      <c r="G363" s="187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spans="1:24" ht="15" customHeight="1" x14ac:dyDescent="0.2">
      <c r="B364" s="3"/>
      <c r="C364" s="3"/>
      <c r="D364" s="3"/>
      <c r="E364" s="15"/>
      <c r="F364" s="3"/>
      <c r="G364" s="187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spans="1:24" ht="15" customHeight="1" x14ac:dyDescent="0.2">
      <c r="B365" s="3"/>
      <c r="C365" s="3"/>
      <c r="D365" s="3"/>
      <c r="E365" s="15"/>
      <c r="F365" s="3"/>
      <c r="G365" s="187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spans="1:24" ht="15" customHeight="1" x14ac:dyDescent="0.2">
      <c r="B366" s="3"/>
      <c r="C366" s="3"/>
      <c r="D366" s="3"/>
      <c r="E366" s="15"/>
      <c r="F366" s="3"/>
      <c r="G366" s="187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spans="1:24" ht="15" customHeight="1" x14ac:dyDescent="0.2">
      <c r="B367" s="3"/>
      <c r="C367" s="3"/>
      <c r="D367" s="3"/>
      <c r="E367" s="15"/>
      <c r="F367" s="3"/>
      <c r="G367" s="187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spans="1:24" ht="15" customHeight="1" x14ac:dyDescent="0.2">
      <c r="A368" s="24"/>
    </row>
    <row r="369" spans="1:1" ht="15" customHeight="1" x14ac:dyDescent="0.2">
      <c r="A369" s="24"/>
    </row>
    <row r="370" spans="1:1" ht="15" hidden="1" customHeight="1" x14ac:dyDescent="0.2">
      <c r="A370" s="24"/>
    </row>
    <row r="371" spans="1:1" ht="15" hidden="1" customHeight="1" x14ac:dyDescent="0.2">
      <c r="A371" s="24"/>
    </row>
    <row r="372" spans="1:1" ht="15" hidden="1" customHeight="1" x14ac:dyDescent="0.2">
      <c r="A372" s="24"/>
    </row>
    <row r="373" spans="1:1" ht="15" hidden="1" customHeight="1" x14ac:dyDescent="0.2">
      <c r="A373" s="24"/>
    </row>
    <row r="374" spans="1:1" ht="15" hidden="1" customHeight="1" x14ac:dyDescent="0.2">
      <c r="A374" s="24"/>
    </row>
    <row r="375" spans="1:1" ht="15" hidden="1" customHeight="1" x14ac:dyDescent="0.2">
      <c r="A375" s="24"/>
    </row>
    <row r="376" spans="1:1" ht="15" hidden="1" customHeight="1" x14ac:dyDescent="0.2">
      <c r="A376" s="24"/>
    </row>
    <row r="377" spans="1:1" ht="15" hidden="1" customHeight="1" x14ac:dyDescent="0.2">
      <c r="A377" s="24"/>
    </row>
    <row r="378" spans="1:1" ht="15" hidden="1" customHeight="1" x14ac:dyDescent="0.2">
      <c r="A378" s="24"/>
    </row>
    <row r="379" spans="1:1" ht="15" hidden="1" customHeight="1" x14ac:dyDescent="0.2">
      <c r="A379" s="24"/>
    </row>
    <row r="380" spans="1:1" ht="15" hidden="1" customHeight="1" x14ac:dyDescent="0.2">
      <c r="A380" s="24"/>
    </row>
    <row r="381" spans="1:1" ht="15" hidden="1" customHeight="1" x14ac:dyDescent="0.2">
      <c r="A381" s="24"/>
    </row>
    <row r="382" spans="1:1" ht="15" hidden="1" customHeight="1" x14ac:dyDescent="0.2">
      <c r="A382" s="24"/>
    </row>
    <row r="383" spans="1:1" ht="15" hidden="1" customHeight="1" x14ac:dyDescent="0.2">
      <c r="A383" s="24"/>
    </row>
    <row r="384" spans="1:1" ht="15" hidden="1" customHeight="1" x14ac:dyDescent="0.2">
      <c r="A384" s="24"/>
    </row>
    <row r="385" spans="1:1" ht="15" hidden="1" customHeight="1" x14ac:dyDescent="0.2">
      <c r="A385" s="24"/>
    </row>
    <row r="386" spans="1:1" ht="15" hidden="1" customHeight="1" x14ac:dyDescent="0.2">
      <c r="A386" s="24"/>
    </row>
    <row r="387" spans="1:1" ht="15" hidden="1" customHeight="1" x14ac:dyDescent="0.2">
      <c r="A387" s="24"/>
    </row>
    <row r="388" spans="1:1" ht="15" hidden="1" customHeight="1" x14ac:dyDescent="0.2">
      <c r="A388" s="24"/>
    </row>
    <row r="389" spans="1:1" ht="15" hidden="1" customHeight="1" x14ac:dyDescent="0.2">
      <c r="A389" s="24"/>
    </row>
    <row r="390" spans="1:1" ht="15" hidden="1" customHeight="1" x14ac:dyDescent="0.2">
      <c r="A390" s="24"/>
    </row>
    <row r="391" spans="1:1" ht="15" hidden="1" customHeight="1" x14ac:dyDescent="0.2">
      <c r="A391" s="24"/>
    </row>
    <row r="392" spans="1:1" ht="15" hidden="1" customHeight="1" x14ac:dyDescent="0.2">
      <c r="A392" s="24"/>
    </row>
    <row r="393" spans="1:1" ht="15" hidden="1" customHeight="1" x14ac:dyDescent="0.2">
      <c r="A393" s="24"/>
    </row>
    <row r="394" spans="1:1" ht="15" hidden="1" customHeight="1" x14ac:dyDescent="0.2">
      <c r="A394" s="24"/>
    </row>
    <row r="395" spans="1:1" ht="15" hidden="1" customHeight="1" x14ac:dyDescent="0.2">
      <c r="A395" s="24"/>
    </row>
    <row r="396" spans="1:1" ht="15" hidden="1" customHeight="1" x14ac:dyDescent="0.2">
      <c r="A396" s="24"/>
    </row>
    <row r="397" spans="1:1" ht="15" hidden="1" customHeight="1" x14ac:dyDescent="0.2">
      <c r="A397" s="24"/>
    </row>
    <row r="398" spans="1:1" ht="15" hidden="1" customHeight="1" x14ac:dyDescent="0.2">
      <c r="A398" s="24"/>
    </row>
    <row r="399" spans="1:1" ht="15" customHeight="1" x14ac:dyDescent="0.2">
      <c r="A399" s="24"/>
    </row>
    <row r="400" spans="1:1" ht="15" customHeight="1" x14ac:dyDescent="0.2">
      <c r="A400" s="24"/>
    </row>
    <row r="401" spans="1:24" ht="15" customHeight="1" x14ac:dyDescent="0.2">
      <c r="A401" s="24"/>
    </row>
    <row r="402" spans="1:24" s="24" customFormat="1" ht="11.25" customHeight="1" thickBot="1" x14ac:dyDescent="0.25">
      <c r="B402" s="401" t="s">
        <v>50</v>
      </c>
      <c r="C402" s="40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s="24" customFormat="1" ht="12.95" customHeight="1" thickBot="1" x14ac:dyDescent="0.25">
      <c r="B403" s="389" t="s">
        <v>1</v>
      </c>
      <c r="C403" s="387" t="s">
        <v>77</v>
      </c>
      <c r="D403" s="389" t="s">
        <v>51</v>
      </c>
      <c r="E403" s="385" t="s">
        <v>4</v>
      </c>
      <c r="F403" s="391" t="s">
        <v>111</v>
      </c>
      <c r="G403" s="398" t="s">
        <v>52</v>
      </c>
      <c r="H403" s="399"/>
      <c r="I403" s="399"/>
      <c r="J403" s="399"/>
      <c r="K403" s="399"/>
      <c r="L403" s="399"/>
      <c r="M403" s="399"/>
      <c r="N403" s="399"/>
      <c r="O403" s="399"/>
      <c r="P403" s="400"/>
      <c r="Q403" s="393" t="s">
        <v>53</v>
      </c>
      <c r="R403" s="394"/>
      <c r="S403" s="394"/>
      <c r="T403" s="394"/>
      <c r="U403" s="394"/>
      <c r="V403" s="394"/>
      <c r="W403" s="395"/>
      <c r="X403" s="187"/>
    </row>
    <row r="404" spans="1:24" s="24" customFormat="1" ht="29.25" customHeight="1" thickBot="1" x14ac:dyDescent="0.25">
      <c r="B404" s="396"/>
      <c r="C404" s="388"/>
      <c r="D404" s="390"/>
      <c r="E404" s="397"/>
      <c r="F404" s="392"/>
      <c r="G404" s="140" t="s">
        <v>54</v>
      </c>
      <c r="H404" s="9" t="s">
        <v>55</v>
      </c>
      <c r="I404" s="9" t="s">
        <v>56</v>
      </c>
      <c r="J404" s="9" t="s">
        <v>57</v>
      </c>
      <c r="K404" s="9" t="s">
        <v>58</v>
      </c>
      <c r="L404" s="9" t="s">
        <v>59</v>
      </c>
      <c r="M404" s="9" t="s">
        <v>60</v>
      </c>
      <c r="N404" s="9" t="s">
        <v>61</v>
      </c>
      <c r="O404" s="141" t="s">
        <v>62</v>
      </c>
      <c r="P404" s="151" t="s">
        <v>63</v>
      </c>
      <c r="Q404" s="152" t="s">
        <v>54</v>
      </c>
      <c r="R404" s="153" t="s">
        <v>55</v>
      </c>
      <c r="S404" s="153" t="s">
        <v>56</v>
      </c>
      <c r="T404" s="153" t="s">
        <v>57</v>
      </c>
      <c r="U404" s="153" t="s">
        <v>58</v>
      </c>
      <c r="V404" s="153" t="s">
        <v>59</v>
      </c>
      <c r="W404" s="154" t="s">
        <v>60</v>
      </c>
      <c r="X404" s="302"/>
    </row>
    <row r="405" spans="1:24" s="24" customFormat="1" ht="16.5" customHeight="1" x14ac:dyDescent="0.2">
      <c r="B405" s="12" t="s">
        <v>88</v>
      </c>
      <c r="C405" s="145"/>
      <c r="D405" s="142"/>
      <c r="E405" s="12"/>
      <c r="F405" s="32"/>
      <c r="G405" s="34"/>
      <c r="H405" s="35"/>
      <c r="I405" s="35"/>
      <c r="J405" s="35"/>
      <c r="K405" s="35"/>
      <c r="L405" s="35"/>
      <c r="M405" s="35"/>
      <c r="N405" s="35"/>
      <c r="O405" s="35"/>
      <c r="P405" s="155"/>
      <c r="Q405" s="183"/>
      <c r="R405" s="184"/>
      <c r="S405" s="184"/>
      <c r="T405" s="184"/>
      <c r="U405" s="185"/>
      <c r="V405" s="185"/>
      <c r="W405" s="186"/>
    </row>
    <row r="406" spans="1:24" s="24" customFormat="1" ht="16.5" customHeight="1" x14ac:dyDescent="0.2">
      <c r="B406" s="349" t="s">
        <v>208</v>
      </c>
      <c r="C406" s="360"/>
      <c r="D406" s="361"/>
      <c r="E406" s="349"/>
      <c r="F406" s="358"/>
      <c r="G406" s="378"/>
      <c r="H406" s="299"/>
      <c r="I406" s="299"/>
      <c r="J406" s="299"/>
      <c r="K406" s="299"/>
      <c r="L406" s="299"/>
      <c r="M406" s="299"/>
      <c r="N406" s="299"/>
      <c r="O406" s="299"/>
      <c r="P406" s="379"/>
      <c r="Q406" s="156"/>
      <c r="R406" s="157"/>
      <c r="S406" s="157"/>
      <c r="T406" s="157"/>
      <c r="U406" s="158"/>
      <c r="V406" s="158"/>
      <c r="W406" s="159"/>
    </row>
    <row r="407" spans="1:24" s="24" customFormat="1" ht="16.5" customHeight="1" x14ac:dyDescent="0.2">
      <c r="B407" s="349" t="s">
        <v>90</v>
      </c>
      <c r="C407" s="360"/>
      <c r="D407" s="361"/>
      <c r="E407" s="349"/>
      <c r="F407" s="358"/>
      <c r="G407" s="378"/>
      <c r="H407" s="299"/>
      <c r="I407" s="299"/>
      <c r="J407" s="299"/>
      <c r="K407" s="299"/>
      <c r="L407" s="299"/>
      <c r="M407" s="299"/>
      <c r="N407" s="299"/>
      <c r="O407" s="299"/>
      <c r="P407" s="379"/>
      <c r="Q407" s="156"/>
      <c r="R407" s="157"/>
      <c r="S407" s="157"/>
      <c r="T407" s="157"/>
      <c r="U407" s="158"/>
      <c r="V407" s="158"/>
      <c r="W407" s="159"/>
    </row>
    <row r="408" spans="1:24" s="24" customFormat="1" ht="16.5" customHeight="1" x14ac:dyDescent="0.2">
      <c r="B408" s="349" t="s">
        <v>91</v>
      </c>
      <c r="C408" s="360"/>
      <c r="D408" s="361"/>
      <c r="E408" s="349"/>
      <c r="F408" s="358"/>
      <c r="G408" s="378"/>
      <c r="H408" s="299"/>
      <c r="I408" s="299"/>
      <c r="J408" s="299"/>
      <c r="K408" s="299"/>
      <c r="L408" s="299"/>
      <c r="M408" s="299"/>
      <c r="N408" s="299"/>
      <c r="O408" s="299"/>
      <c r="P408" s="379"/>
      <c r="Q408" s="156"/>
      <c r="R408" s="157"/>
      <c r="S408" s="157"/>
      <c r="T408" s="157"/>
      <c r="U408" s="158"/>
      <c r="V408" s="158"/>
      <c r="W408" s="159"/>
    </row>
    <row r="409" spans="1:24" s="24" customFormat="1" ht="16.5" customHeight="1" x14ac:dyDescent="0.2">
      <c r="B409" s="349" t="s">
        <v>92</v>
      </c>
      <c r="C409" s="360"/>
      <c r="D409" s="361"/>
      <c r="E409" s="349"/>
      <c r="F409" s="358"/>
      <c r="G409" s="378"/>
      <c r="H409" s="299"/>
      <c r="I409" s="299"/>
      <c r="J409" s="299"/>
      <c r="K409" s="299"/>
      <c r="L409" s="299"/>
      <c r="M409" s="299"/>
      <c r="N409" s="299"/>
      <c r="O409" s="299"/>
      <c r="P409" s="379"/>
      <c r="Q409" s="156"/>
      <c r="R409" s="157"/>
      <c r="S409" s="157"/>
      <c r="T409" s="157"/>
      <c r="U409" s="158"/>
      <c r="V409" s="158"/>
      <c r="W409" s="159"/>
    </row>
    <row r="410" spans="1:24" s="24" customFormat="1" ht="16.5" customHeight="1" x14ac:dyDescent="0.2">
      <c r="B410" s="349" t="s">
        <v>93</v>
      </c>
      <c r="C410" s="360"/>
      <c r="D410" s="361"/>
      <c r="E410" s="349"/>
      <c r="F410" s="358"/>
      <c r="G410" s="378"/>
      <c r="H410" s="299"/>
      <c r="I410" s="299"/>
      <c r="J410" s="299"/>
      <c r="K410" s="299"/>
      <c r="L410" s="299"/>
      <c r="M410" s="299"/>
      <c r="N410" s="299"/>
      <c r="O410" s="299"/>
      <c r="P410" s="379"/>
      <c r="Q410" s="156"/>
      <c r="R410" s="157"/>
      <c r="S410" s="157"/>
      <c r="T410" s="157"/>
      <c r="U410" s="158"/>
      <c r="V410" s="158"/>
      <c r="W410" s="159"/>
    </row>
    <row r="411" spans="1:24" s="24" customFormat="1" ht="16.5" customHeight="1" x14ac:dyDescent="0.2">
      <c r="B411" s="349" t="s">
        <v>94</v>
      </c>
      <c r="C411" s="360"/>
      <c r="D411" s="361"/>
      <c r="E411" s="349"/>
      <c r="F411" s="358"/>
      <c r="G411" s="378"/>
      <c r="H411" s="299"/>
      <c r="I411" s="299"/>
      <c r="J411" s="299"/>
      <c r="K411" s="299"/>
      <c r="L411" s="299"/>
      <c r="M411" s="299"/>
      <c r="N411" s="299"/>
      <c r="O411" s="299"/>
      <c r="P411" s="379"/>
      <c r="Q411" s="156"/>
      <c r="R411" s="157"/>
      <c r="S411" s="157"/>
      <c r="T411" s="157"/>
      <c r="U411" s="158"/>
      <c r="V411" s="158"/>
      <c r="W411" s="159"/>
    </row>
    <row r="412" spans="1:24" s="24" customFormat="1" ht="16.5" customHeight="1" x14ac:dyDescent="0.2">
      <c r="B412" s="349" t="s">
        <v>95</v>
      </c>
      <c r="C412" s="360"/>
      <c r="D412" s="361"/>
      <c r="E412" s="349"/>
      <c r="F412" s="358"/>
      <c r="G412" s="378"/>
      <c r="H412" s="299"/>
      <c r="I412" s="299"/>
      <c r="J412" s="299"/>
      <c r="K412" s="299"/>
      <c r="L412" s="299"/>
      <c r="M412" s="299"/>
      <c r="N412" s="299"/>
      <c r="O412" s="299"/>
      <c r="P412" s="379"/>
      <c r="Q412" s="156"/>
      <c r="R412" s="157"/>
      <c r="S412" s="157"/>
      <c r="T412" s="157"/>
      <c r="U412" s="158"/>
      <c r="V412" s="158"/>
      <c r="W412" s="159"/>
    </row>
    <row r="413" spans="1:24" s="24" customFormat="1" ht="16.5" customHeight="1" x14ac:dyDescent="0.2">
      <c r="B413" s="349" t="s">
        <v>96</v>
      </c>
      <c r="C413" s="360"/>
      <c r="D413" s="361"/>
      <c r="E413" s="349"/>
      <c r="F413" s="358"/>
      <c r="G413" s="378"/>
      <c r="H413" s="299"/>
      <c r="I413" s="299"/>
      <c r="J413" s="299"/>
      <c r="K413" s="299"/>
      <c r="L413" s="299"/>
      <c r="M413" s="299"/>
      <c r="N413" s="299"/>
      <c r="O413" s="299"/>
      <c r="P413" s="379"/>
      <c r="Q413" s="156"/>
      <c r="R413" s="157"/>
      <c r="S413" s="157"/>
      <c r="T413" s="157"/>
      <c r="U413" s="158"/>
      <c r="V413" s="158"/>
      <c r="W413" s="159"/>
    </row>
    <row r="414" spans="1:24" s="24" customFormat="1" ht="16.5" customHeight="1" x14ac:dyDescent="0.2">
      <c r="B414" s="349" t="s">
        <v>210</v>
      </c>
      <c r="C414" s="360"/>
      <c r="D414" s="361"/>
      <c r="E414" s="349"/>
      <c r="F414" s="358"/>
      <c r="G414" s="378"/>
      <c r="H414" s="299"/>
      <c r="I414" s="299"/>
      <c r="J414" s="299"/>
      <c r="K414" s="299"/>
      <c r="L414" s="299"/>
      <c r="M414" s="299"/>
      <c r="N414" s="299"/>
      <c r="O414" s="299"/>
      <c r="P414" s="379"/>
      <c r="Q414" s="156"/>
      <c r="R414" s="157"/>
      <c r="S414" s="157"/>
      <c r="T414" s="157"/>
      <c r="U414" s="158"/>
      <c r="V414" s="158"/>
      <c r="W414" s="159"/>
    </row>
    <row r="415" spans="1:24" s="24" customFormat="1" ht="16.5" customHeight="1" x14ac:dyDescent="0.2">
      <c r="B415" s="349" t="s">
        <v>211</v>
      </c>
      <c r="C415" s="360"/>
      <c r="D415" s="361"/>
      <c r="E415" s="349"/>
      <c r="F415" s="358"/>
      <c r="G415" s="378"/>
      <c r="H415" s="299"/>
      <c r="I415" s="299"/>
      <c r="J415" s="299"/>
      <c r="K415" s="299"/>
      <c r="L415" s="299"/>
      <c r="M415" s="299"/>
      <c r="N415" s="299"/>
      <c r="O415" s="299"/>
      <c r="P415" s="379"/>
      <c r="Q415" s="156"/>
      <c r="R415" s="157"/>
      <c r="S415" s="157"/>
      <c r="T415" s="157"/>
      <c r="U415" s="158"/>
      <c r="V415" s="158"/>
      <c r="W415" s="159"/>
    </row>
    <row r="416" spans="1:24" s="24" customFormat="1" ht="16.5" customHeight="1" x14ac:dyDescent="0.2">
      <c r="B416" s="349" t="s">
        <v>212</v>
      </c>
      <c r="C416" s="360"/>
      <c r="D416" s="361"/>
      <c r="E416" s="349"/>
      <c r="F416" s="358"/>
      <c r="G416" s="378"/>
      <c r="H416" s="299"/>
      <c r="I416" s="299"/>
      <c r="J416" s="299"/>
      <c r="K416" s="299"/>
      <c r="L416" s="299"/>
      <c r="M416" s="299"/>
      <c r="N416" s="299"/>
      <c r="O416" s="299"/>
      <c r="P416" s="379"/>
      <c r="Q416" s="156"/>
      <c r="R416" s="157"/>
      <c r="S416" s="157"/>
      <c r="T416" s="157"/>
      <c r="U416" s="158"/>
      <c r="V416" s="158"/>
      <c r="W416" s="159"/>
    </row>
    <row r="417" spans="2:23" s="24" customFormat="1" ht="16.5" customHeight="1" x14ac:dyDescent="0.2">
      <c r="B417" s="349" t="s">
        <v>213</v>
      </c>
      <c r="C417" s="360"/>
      <c r="D417" s="361"/>
      <c r="E417" s="349"/>
      <c r="F417" s="358"/>
      <c r="G417" s="378"/>
      <c r="H417" s="299"/>
      <c r="I417" s="299"/>
      <c r="J417" s="299"/>
      <c r="K417" s="299"/>
      <c r="L417" s="299"/>
      <c r="M417" s="299"/>
      <c r="N417" s="299"/>
      <c r="O417" s="299"/>
      <c r="P417" s="379"/>
      <c r="Q417" s="156"/>
      <c r="R417" s="157"/>
      <c r="S417" s="157"/>
      <c r="T417" s="157"/>
      <c r="U417" s="158"/>
      <c r="V417" s="158"/>
      <c r="W417" s="159"/>
    </row>
    <row r="418" spans="2:23" s="24" customFormat="1" ht="16.5" customHeight="1" x14ac:dyDescent="0.2">
      <c r="B418" s="349" t="s">
        <v>214</v>
      </c>
      <c r="C418" s="360"/>
      <c r="D418" s="361"/>
      <c r="E418" s="349"/>
      <c r="F418" s="358"/>
      <c r="G418" s="378"/>
      <c r="H418" s="299"/>
      <c r="I418" s="299"/>
      <c r="J418" s="299"/>
      <c r="K418" s="299"/>
      <c r="L418" s="299"/>
      <c r="M418" s="299"/>
      <c r="N418" s="299"/>
      <c r="O418" s="299"/>
      <c r="P418" s="379"/>
      <c r="Q418" s="156"/>
      <c r="R418" s="157"/>
      <c r="S418" s="157"/>
      <c r="T418" s="157"/>
      <c r="U418" s="158"/>
      <c r="V418" s="158"/>
      <c r="W418" s="159"/>
    </row>
    <row r="419" spans="2:23" s="24" customFormat="1" ht="16.5" customHeight="1" x14ac:dyDescent="0.2">
      <c r="B419" s="349" t="s">
        <v>215</v>
      </c>
      <c r="C419" s="360"/>
      <c r="D419" s="361"/>
      <c r="E419" s="349"/>
      <c r="F419" s="358"/>
      <c r="G419" s="378"/>
      <c r="H419" s="299"/>
      <c r="I419" s="299"/>
      <c r="J419" s="299"/>
      <c r="K419" s="299"/>
      <c r="L419" s="299"/>
      <c r="M419" s="299"/>
      <c r="N419" s="299"/>
      <c r="O419" s="299"/>
      <c r="P419" s="379"/>
      <c r="Q419" s="156"/>
      <c r="R419" s="157"/>
      <c r="S419" s="157"/>
      <c r="T419" s="157"/>
      <c r="U419" s="158"/>
      <c r="V419" s="158"/>
      <c r="W419" s="159"/>
    </row>
    <row r="420" spans="2:23" s="24" customFormat="1" ht="16.5" customHeight="1" x14ac:dyDescent="0.2">
      <c r="B420" s="349" t="s">
        <v>216</v>
      </c>
      <c r="C420" s="360"/>
      <c r="D420" s="361"/>
      <c r="E420" s="349"/>
      <c r="F420" s="358"/>
      <c r="G420" s="378"/>
      <c r="H420" s="299"/>
      <c r="I420" s="299"/>
      <c r="J420" s="299"/>
      <c r="K420" s="299"/>
      <c r="L420" s="299"/>
      <c r="M420" s="299"/>
      <c r="N420" s="299"/>
      <c r="O420" s="299"/>
      <c r="P420" s="379"/>
      <c r="Q420" s="156"/>
      <c r="R420" s="157"/>
      <c r="S420" s="157"/>
      <c r="T420" s="157"/>
      <c r="U420" s="158"/>
      <c r="V420" s="158"/>
      <c r="W420" s="159"/>
    </row>
    <row r="421" spans="2:23" s="24" customFormat="1" ht="16.5" customHeight="1" x14ac:dyDescent="0.2">
      <c r="B421" s="349" t="s">
        <v>217</v>
      </c>
      <c r="C421" s="360"/>
      <c r="D421" s="361"/>
      <c r="E421" s="349"/>
      <c r="F421" s="358"/>
      <c r="G421" s="378"/>
      <c r="H421" s="299"/>
      <c r="I421" s="299"/>
      <c r="J421" s="299"/>
      <c r="K421" s="299"/>
      <c r="L421" s="299"/>
      <c r="M421" s="299"/>
      <c r="N421" s="299"/>
      <c r="O421" s="299"/>
      <c r="P421" s="379"/>
      <c r="Q421" s="156"/>
      <c r="R421" s="157"/>
      <c r="S421" s="157"/>
      <c r="T421" s="157"/>
      <c r="U421" s="158"/>
      <c r="V421" s="158"/>
      <c r="W421" s="159"/>
    </row>
    <row r="422" spans="2:23" s="24" customFormat="1" ht="16.5" customHeight="1" x14ac:dyDescent="0.2">
      <c r="B422" s="349" t="s">
        <v>218</v>
      </c>
      <c r="C422" s="360"/>
      <c r="D422" s="361"/>
      <c r="E422" s="349"/>
      <c r="F422" s="358"/>
      <c r="G422" s="378"/>
      <c r="H422" s="299"/>
      <c r="I422" s="299"/>
      <c r="J422" s="299"/>
      <c r="K422" s="299"/>
      <c r="L422" s="299"/>
      <c r="M422" s="299"/>
      <c r="N422" s="299"/>
      <c r="O422" s="299"/>
      <c r="P422" s="379"/>
      <c r="Q422" s="156"/>
      <c r="R422" s="157"/>
      <c r="S422" s="157"/>
      <c r="T422" s="157"/>
      <c r="U422" s="158"/>
      <c r="V422" s="158"/>
      <c r="W422" s="159"/>
    </row>
    <row r="423" spans="2:23" s="24" customFormat="1" ht="16.5" customHeight="1" x14ac:dyDescent="0.2">
      <c r="B423" s="349" t="s">
        <v>219</v>
      </c>
      <c r="C423" s="360"/>
      <c r="D423" s="361"/>
      <c r="E423" s="349"/>
      <c r="F423" s="358"/>
      <c r="G423" s="378"/>
      <c r="H423" s="299"/>
      <c r="I423" s="299"/>
      <c r="J423" s="299"/>
      <c r="K423" s="299"/>
      <c r="L423" s="299"/>
      <c r="M423" s="299"/>
      <c r="N423" s="299"/>
      <c r="O423" s="299"/>
      <c r="P423" s="379"/>
      <c r="Q423" s="156"/>
      <c r="R423" s="157"/>
      <c r="S423" s="157"/>
      <c r="T423" s="157"/>
      <c r="U423" s="158"/>
      <c r="V423" s="158"/>
      <c r="W423" s="159"/>
    </row>
    <row r="424" spans="2:23" s="24" customFormat="1" ht="16.5" customHeight="1" x14ac:dyDescent="0.2">
      <c r="B424" s="349" t="s">
        <v>220</v>
      </c>
      <c r="C424" s="360"/>
      <c r="D424" s="361"/>
      <c r="E424" s="349"/>
      <c r="F424" s="358"/>
      <c r="G424" s="378"/>
      <c r="H424" s="299"/>
      <c r="I424" s="299"/>
      <c r="J424" s="299"/>
      <c r="K424" s="299"/>
      <c r="L424" s="299"/>
      <c r="M424" s="299"/>
      <c r="N424" s="299"/>
      <c r="O424" s="299"/>
      <c r="P424" s="379"/>
      <c r="Q424" s="156"/>
      <c r="R424" s="157"/>
      <c r="S424" s="157"/>
      <c r="T424" s="157"/>
      <c r="U424" s="158"/>
      <c r="V424" s="158"/>
      <c r="W424" s="159"/>
    </row>
    <row r="425" spans="2:23" s="24" customFormat="1" ht="16.5" customHeight="1" x14ac:dyDescent="0.2">
      <c r="B425" s="349" t="s">
        <v>221</v>
      </c>
      <c r="C425" s="360"/>
      <c r="D425" s="361"/>
      <c r="E425" s="349"/>
      <c r="F425" s="358"/>
      <c r="G425" s="378"/>
      <c r="H425" s="299"/>
      <c r="I425" s="299"/>
      <c r="J425" s="299"/>
      <c r="K425" s="299"/>
      <c r="L425" s="299"/>
      <c r="M425" s="299"/>
      <c r="N425" s="299"/>
      <c r="O425" s="299"/>
      <c r="P425" s="379"/>
      <c r="Q425" s="156"/>
      <c r="R425" s="157"/>
      <c r="S425" s="157"/>
      <c r="T425" s="157"/>
      <c r="U425" s="158"/>
      <c r="V425" s="158"/>
      <c r="W425" s="159"/>
    </row>
    <row r="426" spans="2:23" s="24" customFormat="1" ht="16.5" customHeight="1" x14ac:dyDescent="0.2">
      <c r="B426" s="349" t="s">
        <v>222</v>
      </c>
      <c r="C426" s="360"/>
      <c r="D426" s="361"/>
      <c r="E426" s="349"/>
      <c r="F426" s="358"/>
      <c r="G426" s="378"/>
      <c r="H426" s="299"/>
      <c r="I426" s="299"/>
      <c r="J426" s="299"/>
      <c r="K426" s="299"/>
      <c r="L426" s="299"/>
      <c r="M426" s="299"/>
      <c r="N426" s="299"/>
      <c r="O426" s="299"/>
      <c r="P426" s="379"/>
      <c r="Q426" s="156"/>
      <c r="R426" s="157"/>
      <c r="S426" s="157"/>
      <c r="T426" s="157"/>
      <c r="U426" s="158"/>
      <c r="V426" s="158"/>
      <c r="W426" s="159"/>
    </row>
    <row r="427" spans="2:23" s="24" customFormat="1" ht="16.5" customHeight="1" x14ac:dyDescent="0.2">
      <c r="B427" s="349" t="s">
        <v>223</v>
      </c>
      <c r="C427" s="360"/>
      <c r="D427" s="361"/>
      <c r="E427" s="349"/>
      <c r="F427" s="358"/>
      <c r="G427" s="378"/>
      <c r="H427" s="299"/>
      <c r="I427" s="299"/>
      <c r="J427" s="299"/>
      <c r="K427" s="299"/>
      <c r="L427" s="299"/>
      <c r="M427" s="299"/>
      <c r="N427" s="299"/>
      <c r="O427" s="299"/>
      <c r="P427" s="379"/>
      <c r="Q427" s="156"/>
      <c r="R427" s="157"/>
      <c r="S427" s="157"/>
      <c r="T427" s="157"/>
      <c r="U427" s="158"/>
      <c r="V427" s="158"/>
      <c r="W427" s="159"/>
    </row>
    <row r="428" spans="2:23" s="24" customFormat="1" ht="16.5" customHeight="1" x14ac:dyDescent="0.2">
      <c r="B428" s="349" t="s">
        <v>224</v>
      </c>
      <c r="C428" s="360"/>
      <c r="D428" s="361"/>
      <c r="E428" s="349"/>
      <c r="F428" s="358"/>
      <c r="G428" s="378"/>
      <c r="H428" s="299"/>
      <c r="I428" s="299"/>
      <c r="J428" s="299"/>
      <c r="K428" s="299"/>
      <c r="L428" s="299"/>
      <c r="M428" s="299"/>
      <c r="N428" s="299"/>
      <c r="O428" s="299"/>
      <c r="P428" s="379"/>
      <c r="Q428" s="156"/>
      <c r="R428" s="157"/>
      <c r="S428" s="157"/>
      <c r="T428" s="157"/>
      <c r="U428" s="158"/>
      <c r="V428" s="158"/>
      <c r="W428" s="159"/>
    </row>
    <row r="429" spans="2:23" s="24" customFormat="1" ht="16.5" customHeight="1" x14ac:dyDescent="0.2">
      <c r="B429" s="349" t="s">
        <v>225</v>
      </c>
      <c r="C429" s="360"/>
      <c r="D429" s="361"/>
      <c r="E429" s="349"/>
      <c r="F429" s="358"/>
      <c r="G429" s="378"/>
      <c r="H429" s="299"/>
      <c r="I429" s="299"/>
      <c r="J429" s="299"/>
      <c r="K429" s="299"/>
      <c r="L429" s="299"/>
      <c r="M429" s="299"/>
      <c r="N429" s="299"/>
      <c r="O429" s="299"/>
      <c r="P429" s="379"/>
      <c r="Q429" s="156"/>
      <c r="R429" s="157"/>
      <c r="S429" s="157"/>
      <c r="T429" s="157"/>
      <c r="U429" s="158"/>
      <c r="V429" s="158"/>
      <c r="W429" s="159"/>
    </row>
    <row r="430" spans="2:23" s="24" customFormat="1" ht="16.5" customHeight="1" x14ac:dyDescent="0.2">
      <c r="B430" s="349" t="s">
        <v>226</v>
      </c>
      <c r="C430" s="360"/>
      <c r="D430" s="361"/>
      <c r="E430" s="349"/>
      <c r="F430" s="358"/>
      <c r="G430" s="378"/>
      <c r="H430" s="299"/>
      <c r="I430" s="299"/>
      <c r="J430" s="299"/>
      <c r="K430" s="299"/>
      <c r="L430" s="299"/>
      <c r="M430" s="299"/>
      <c r="N430" s="299"/>
      <c r="O430" s="299"/>
      <c r="P430" s="379"/>
      <c r="Q430" s="156"/>
      <c r="R430" s="157"/>
      <c r="S430" s="157"/>
      <c r="T430" s="157"/>
      <c r="U430" s="158"/>
      <c r="V430" s="158"/>
      <c r="W430" s="159"/>
    </row>
    <row r="431" spans="2:23" s="24" customFormat="1" ht="16.5" customHeight="1" x14ac:dyDescent="0.2">
      <c r="B431" s="349" t="s">
        <v>227</v>
      </c>
      <c r="C431" s="360"/>
      <c r="D431" s="361"/>
      <c r="E431" s="349"/>
      <c r="F431" s="358"/>
      <c r="G431" s="378"/>
      <c r="H431" s="299"/>
      <c r="I431" s="299"/>
      <c r="J431" s="299"/>
      <c r="K431" s="299"/>
      <c r="L431" s="299"/>
      <c r="M431" s="299"/>
      <c r="N431" s="299"/>
      <c r="O431" s="299"/>
      <c r="P431" s="379"/>
      <c r="Q431" s="156"/>
      <c r="R431" s="157"/>
      <c r="S431" s="157"/>
      <c r="T431" s="157"/>
      <c r="U431" s="158"/>
      <c r="V431" s="158"/>
      <c r="W431" s="159"/>
    </row>
    <row r="432" spans="2:23" s="24" customFormat="1" ht="16.5" customHeight="1" x14ac:dyDescent="0.2">
      <c r="B432" s="349" t="s">
        <v>228</v>
      </c>
      <c r="C432" s="360"/>
      <c r="D432" s="361"/>
      <c r="E432" s="349"/>
      <c r="F432" s="358"/>
      <c r="G432" s="378"/>
      <c r="H432" s="299"/>
      <c r="I432" s="299"/>
      <c r="J432" s="299"/>
      <c r="K432" s="299"/>
      <c r="L432" s="299"/>
      <c r="M432" s="299"/>
      <c r="N432" s="299"/>
      <c r="O432" s="299"/>
      <c r="P432" s="379"/>
      <c r="Q432" s="156"/>
      <c r="R432" s="157"/>
      <c r="S432" s="157"/>
      <c r="T432" s="157"/>
      <c r="U432" s="158"/>
      <c r="V432" s="158"/>
      <c r="W432" s="159"/>
    </row>
    <row r="433" spans="1:24" s="24" customFormat="1" ht="16.5" customHeight="1" x14ac:dyDescent="0.2">
      <c r="B433" s="349" t="s">
        <v>229</v>
      </c>
      <c r="C433" s="360"/>
      <c r="D433" s="361"/>
      <c r="E433" s="349"/>
      <c r="F433" s="358"/>
      <c r="G433" s="378"/>
      <c r="H433" s="299"/>
      <c r="I433" s="299"/>
      <c r="J433" s="299"/>
      <c r="K433" s="299"/>
      <c r="L433" s="299"/>
      <c r="M433" s="299"/>
      <c r="N433" s="299"/>
      <c r="O433" s="299"/>
      <c r="P433" s="379"/>
      <c r="Q433" s="156"/>
      <c r="R433" s="157"/>
      <c r="S433" s="157"/>
      <c r="T433" s="157"/>
      <c r="U433" s="158"/>
      <c r="V433" s="158"/>
      <c r="W433" s="159"/>
    </row>
    <row r="434" spans="1:24" s="24" customFormat="1" ht="16.5" customHeight="1" x14ac:dyDescent="0.2">
      <c r="B434" s="349" t="s">
        <v>230</v>
      </c>
      <c r="C434" s="360"/>
      <c r="D434" s="361"/>
      <c r="E434" s="349"/>
      <c r="F434" s="358"/>
      <c r="G434" s="378"/>
      <c r="H434" s="299"/>
      <c r="I434" s="299"/>
      <c r="J434" s="299"/>
      <c r="K434" s="299"/>
      <c r="L434" s="299"/>
      <c r="M434" s="299"/>
      <c r="N434" s="299"/>
      <c r="O434" s="299"/>
      <c r="P434" s="379"/>
      <c r="Q434" s="156"/>
      <c r="R434" s="157"/>
      <c r="S434" s="157"/>
      <c r="T434" s="157"/>
      <c r="U434" s="158"/>
      <c r="V434" s="158"/>
      <c r="W434" s="159"/>
    </row>
    <row r="435" spans="1:24" s="24" customFormat="1" ht="16.5" customHeight="1" x14ac:dyDescent="0.2">
      <c r="B435" s="349" t="s">
        <v>231</v>
      </c>
      <c r="C435" s="360"/>
      <c r="D435" s="361"/>
      <c r="E435" s="349"/>
      <c r="F435" s="358"/>
      <c r="G435" s="378"/>
      <c r="H435" s="299"/>
      <c r="I435" s="299"/>
      <c r="J435" s="299"/>
      <c r="K435" s="299"/>
      <c r="L435" s="299"/>
      <c r="M435" s="299"/>
      <c r="N435" s="299"/>
      <c r="O435" s="299"/>
      <c r="P435" s="379"/>
      <c r="Q435" s="156"/>
      <c r="R435" s="157"/>
      <c r="S435" s="157"/>
      <c r="T435" s="157"/>
      <c r="U435" s="158"/>
      <c r="V435" s="158"/>
      <c r="W435" s="159"/>
    </row>
    <row r="436" spans="1:24" s="24" customFormat="1" ht="16.5" customHeight="1" x14ac:dyDescent="0.2">
      <c r="B436" s="349" t="s">
        <v>232</v>
      </c>
      <c r="C436" s="360"/>
      <c r="D436" s="361"/>
      <c r="E436" s="349"/>
      <c r="F436" s="358"/>
      <c r="G436" s="378"/>
      <c r="H436" s="299"/>
      <c r="I436" s="299"/>
      <c r="J436" s="299"/>
      <c r="K436" s="299"/>
      <c r="L436" s="299"/>
      <c r="M436" s="299"/>
      <c r="N436" s="299"/>
      <c r="O436" s="299"/>
      <c r="P436" s="379"/>
      <c r="Q436" s="156"/>
      <c r="R436" s="157"/>
      <c r="S436" s="157"/>
      <c r="T436" s="157"/>
      <c r="U436" s="158"/>
      <c r="V436" s="158"/>
      <c r="W436" s="159"/>
    </row>
    <row r="437" spans="1:24" s="24" customFormat="1" ht="16.5" customHeight="1" x14ac:dyDescent="0.2">
      <c r="B437" s="349" t="s">
        <v>233</v>
      </c>
      <c r="C437" s="360"/>
      <c r="D437" s="361"/>
      <c r="E437" s="349"/>
      <c r="F437" s="358"/>
      <c r="G437" s="378"/>
      <c r="H437" s="299"/>
      <c r="I437" s="299"/>
      <c r="J437" s="299"/>
      <c r="K437" s="299"/>
      <c r="L437" s="299"/>
      <c r="M437" s="299"/>
      <c r="N437" s="299"/>
      <c r="O437" s="299"/>
      <c r="P437" s="379"/>
      <c r="Q437" s="156"/>
      <c r="R437" s="157"/>
      <c r="S437" s="157"/>
      <c r="T437" s="157"/>
      <c r="U437" s="158"/>
      <c r="V437" s="158"/>
      <c r="W437" s="159"/>
    </row>
    <row r="438" spans="1:24" s="24" customFormat="1" ht="15" customHeight="1" x14ac:dyDescent="0.2">
      <c r="B438" s="349" t="s">
        <v>234</v>
      </c>
      <c r="C438" s="146"/>
      <c r="D438" s="143"/>
      <c r="E438" s="13"/>
      <c r="F438" s="43"/>
      <c r="G438" s="45"/>
      <c r="H438" s="46"/>
      <c r="I438" s="46"/>
      <c r="J438" s="46"/>
      <c r="K438" s="46"/>
      <c r="L438" s="46"/>
      <c r="M438" s="46"/>
      <c r="N438" s="46"/>
      <c r="O438" s="46"/>
      <c r="P438" s="160"/>
      <c r="Q438" s="161"/>
      <c r="R438" s="162"/>
      <c r="S438" s="162"/>
      <c r="T438" s="162"/>
      <c r="U438" s="163"/>
      <c r="V438" s="163"/>
      <c r="W438" s="164"/>
    </row>
    <row r="439" spans="1:24" s="24" customFormat="1" ht="15" customHeight="1" x14ac:dyDescent="0.2">
      <c r="B439" s="349" t="s">
        <v>235</v>
      </c>
      <c r="C439" s="146"/>
      <c r="D439" s="143"/>
      <c r="E439" s="13"/>
      <c r="F439" s="43"/>
      <c r="G439" s="45"/>
      <c r="H439" s="46"/>
      <c r="I439" s="46"/>
      <c r="J439" s="46"/>
      <c r="K439" s="46"/>
      <c r="L439" s="46"/>
      <c r="M439" s="46"/>
      <c r="N439" s="46"/>
      <c r="O439" s="46"/>
      <c r="P439" s="160"/>
      <c r="Q439" s="161"/>
      <c r="R439" s="162"/>
      <c r="S439" s="162"/>
      <c r="T439" s="162"/>
      <c r="U439" s="163"/>
      <c r="V439" s="163"/>
      <c r="W439" s="164"/>
    </row>
    <row r="440" spans="1:24" s="24" customFormat="1" ht="15" customHeight="1" x14ac:dyDescent="0.2">
      <c r="B440" s="349" t="s">
        <v>236</v>
      </c>
      <c r="C440" s="146"/>
      <c r="D440" s="143"/>
      <c r="E440" s="13"/>
      <c r="F440" s="43"/>
      <c r="G440" s="45"/>
      <c r="H440" s="46"/>
      <c r="I440" s="46"/>
      <c r="J440" s="46"/>
      <c r="K440" s="46"/>
      <c r="L440" s="46"/>
      <c r="M440" s="46"/>
      <c r="N440" s="46"/>
      <c r="O440" s="46"/>
      <c r="P440" s="160"/>
      <c r="Q440" s="161"/>
      <c r="R440" s="162"/>
      <c r="S440" s="162"/>
      <c r="T440" s="162"/>
      <c r="U440" s="163"/>
      <c r="V440" s="163"/>
      <c r="W440" s="164"/>
    </row>
    <row r="441" spans="1:24" s="24" customFormat="1" ht="15" customHeight="1" x14ac:dyDescent="0.2">
      <c r="B441" s="349" t="s">
        <v>237</v>
      </c>
      <c r="C441" s="146"/>
      <c r="D441" s="143"/>
      <c r="E441" s="13"/>
      <c r="F441" s="43"/>
      <c r="G441" s="45"/>
      <c r="H441" s="46"/>
      <c r="I441" s="46"/>
      <c r="J441" s="46"/>
      <c r="K441" s="46"/>
      <c r="L441" s="46"/>
      <c r="M441" s="46"/>
      <c r="N441" s="46"/>
      <c r="O441" s="46"/>
      <c r="P441" s="160"/>
      <c r="Q441" s="161"/>
      <c r="R441" s="162"/>
      <c r="S441" s="162"/>
      <c r="T441" s="162"/>
      <c r="U441" s="163"/>
      <c r="V441" s="163"/>
      <c r="W441" s="164"/>
    </row>
    <row r="442" spans="1:24" s="24" customFormat="1" ht="15" customHeight="1" x14ac:dyDescent="0.2">
      <c r="B442" s="349" t="s">
        <v>238</v>
      </c>
      <c r="C442" s="146"/>
      <c r="D442" s="143"/>
      <c r="E442" s="13"/>
      <c r="F442" s="43"/>
      <c r="G442" s="45"/>
      <c r="H442" s="46"/>
      <c r="I442" s="46"/>
      <c r="J442" s="46"/>
      <c r="K442" s="46"/>
      <c r="L442" s="46"/>
      <c r="M442" s="46"/>
      <c r="N442" s="46"/>
      <c r="O442" s="46"/>
      <c r="P442" s="160"/>
      <c r="Q442" s="161"/>
      <c r="R442" s="162"/>
      <c r="S442" s="162"/>
      <c r="T442" s="162"/>
      <c r="U442" s="163"/>
      <c r="V442" s="163"/>
      <c r="W442" s="164"/>
    </row>
    <row r="443" spans="1:24" s="24" customFormat="1" ht="15" customHeight="1" x14ac:dyDescent="0.2">
      <c r="B443" s="349" t="s">
        <v>239</v>
      </c>
      <c r="C443" s="146"/>
      <c r="D443" s="143"/>
      <c r="E443" s="13"/>
      <c r="F443" s="43"/>
      <c r="G443" s="45"/>
      <c r="H443" s="46"/>
      <c r="I443" s="46"/>
      <c r="J443" s="46"/>
      <c r="K443" s="46"/>
      <c r="L443" s="46"/>
      <c r="M443" s="46"/>
      <c r="N443" s="46"/>
      <c r="O443" s="46"/>
      <c r="P443" s="160"/>
      <c r="Q443" s="161"/>
      <c r="R443" s="162"/>
      <c r="S443" s="162"/>
      <c r="T443" s="162"/>
      <c r="U443" s="163"/>
      <c r="V443" s="163"/>
      <c r="W443" s="164"/>
    </row>
    <row r="444" spans="1:24" s="24" customFormat="1" ht="15" customHeight="1" thickBot="1" x14ac:dyDescent="0.25">
      <c r="B444" s="349" t="s">
        <v>240</v>
      </c>
      <c r="C444" s="147"/>
      <c r="D444" s="144"/>
      <c r="E444" s="14"/>
      <c r="F444" s="54"/>
      <c r="G444" s="56"/>
      <c r="H444" s="57"/>
      <c r="I444" s="57"/>
      <c r="J444" s="57"/>
      <c r="K444" s="57"/>
      <c r="L444" s="57"/>
      <c r="M444" s="57"/>
      <c r="N444" s="57"/>
      <c r="O444" s="57"/>
      <c r="P444" s="165"/>
      <c r="Q444" s="166"/>
      <c r="R444" s="167"/>
      <c r="S444" s="167"/>
      <c r="T444" s="167"/>
      <c r="U444" s="168"/>
      <c r="V444" s="168"/>
      <c r="W444" s="169"/>
    </row>
    <row r="445" spans="1:24" s="24" customFormat="1" ht="1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52" spans="108:108" ht="12.95" customHeight="1" x14ac:dyDescent="0.2">
      <c r="DD452" s="1"/>
    </row>
    <row r="453" spans="108:108" ht="12.95" customHeight="1" x14ac:dyDescent="0.2">
      <c r="DD453" s="1"/>
    </row>
    <row r="454" spans="108:108" ht="12.95" customHeight="1" x14ac:dyDescent="0.2">
      <c r="DD454" s="1"/>
    </row>
    <row r="455" spans="108:108" ht="12.95" customHeight="1" x14ac:dyDescent="0.2">
      <c r="DD455" s="1"/>
    </row>
    <row r="456" spans="108:108" ht="12.95" customHeight="1" x14ac:dyDescent="0.2">
      <c r="DD456" s="1"/>
    </row>
    <row r="457" spans="108:108" ht="12.95" customHeight="1" x14ac:dyDescent="0.2">
      <c r="DD457" s="1"/>
    </row>
    <row r="458" spans="108:108" ht="12.95" customHeight="1" x14ac:dyDescent="0.2">
      <c r="DD458" s="1"/>
    </row>
    <row r="459" spans="108:108" ht="12.95" customHeight="1" x14ac:dyDescent="0.2">
      <c r="DD459" s="1"/>
    </row>
    <row r="460" spans="108:108" ht="12.95" customHeight="1" x14ac:dyDescent="0.2">
      <c r="DD460" s="1"/>
    </row>
    <row r="461" spans="108:108" ht="12.95" customHeight="1" x14ac:dyDescent="0.2">
      <c r="DD461" s="1"/>
    </row>
    <row r="462" spans="108:108" ht="12.95" customHeight="1" x14ac:dyDescent="0.2">
      <c r="DD462" s="1"/>
    </row>
    <row r="463" spans="108:108" ht="12.95" customHeight="1" x14ac:dyDescent="0.2">
      <c r="DD463" s="1"/>
    </row>
    <row r="464" spans="108:108" ht="12.95" customHeight="1" x14ac:dyDescent="0.2">
      <c r="DD464" s="1"/>
    </row>
    <row r="465" spans="108:108" ht="12.95" customHeight="1" x14ac:dyDescent="0.2">
      <c r="DD465" s="1"/>
    </row>
    <row r="466" spans="108:108" ht="12.95" customHeight="1" x14ac:dyDescent="0.2">
      <c r="DD466" s="1"/>
    </row>
    <row r="467" spans="108:108" ht="12.95" customHeight="1" x14ac:dyDescent="0.2">
      <c r="DD467" s="1"/>
    </row>
    <row r="468" spans="108:108" ht="12.95" customHeight="1" x14ac:dyDescent="0.2">
      <c r="DD468" s="1"/>
    </row>
    <row r="469" spans="108:108" ht="12.95" customHeight="1" x14ac:dyDescent="0.2">
      <c r="DD469" s="1"/>
    </row>
    <row r="470" spans="108:108" ht="12.95" customHeight="1" x14ac:dyDescent="0.2">
      <c r="DD470" s="1"/>
    </row>
    <row r="471" spans="108:108" ht="12.95" customHeight="1" x14ac:dyDescent="0.2">
      <c r="DD471" s="1"/>
    </row>
    <row r="472" spans="108:108" ht="12.95" customHeight="1" x14ac:dyDescent="0.2">
      <c r="DD472" s="1"/>
    </row>
    <row r="473" spans="108:108" ht="12.95" customHeight="1" x14ac:dyDescent="0.2">
      <c r="DD473" s="1"/>
    </row>
    <row r="474" spans="108:108" ht="12.95" customHeight="1" x14ac:dyDescent="0.2">
      <c r="DD474" s="1"/>
    </row>
    <row r="475" spans="108:108" ht="12.95" customHeight="1" x14ac:dyDescent="0.2">
      <c r="DD475" s="1"/>
    </row>
    <row r="476" spans="108:108" ht="12.95" customHeight="1" x14ac:dyDescent="0.2">
      <c r="DD476" s="1"/>
    </row>
    <row r="477" spans="108:108" ht="12.95" customHeight="1" x14ac:dyDescent="0.2">
      <c r="DD477" s="1"/>
    </row>
    <row r="478" spans="108:108" ht="12.95" customHeight="1" x14ac:dyDescent="0.2">
      <c r="DD478" s="1"/>
    </row>
    <row r="479" spans="108:108" ht="12.95" customHeight="1" x14ac:dyDescent="0.2">
      <c r="DD479" s="1"/>
    </row>
    <row r="480" spans="108:108" ht="12.95" customHeight="1" x14ac:dyDescent="0.2">
      <c r="DD480" s="1"/>
    </row>
    <row r="481" spans="108:108" ht="12.95" customHeight="1" x14ac:dyDescent="0.2">
      <c r="DD481" s="1"/>
    </row>
    <row r="482" spans="108:108" ht="12.95" customHeight="1" x14ac:dyDescent="0.2">
      <c r="DD482" s="1"/>
    </row>
    <row r="483" spans="108:108" ht="12.95" customHeight="1" x14ac:dyDescent="0.2">
      <c r="DD483" s="1"/>
    </row>
    <row r="484" spans="108:108" ht="12.95" customHeight="1" x14ac:dyDescent="0.2">
      <c r="DD484" s="1"/>
    </row>
  </sheetData>
  <sheetProtection autoFilter="0"/>
  <mergeCells count="44">
    <mergeCell ref="G403:P403"/>
    <mergeCell ref="Q403:W403"/>
    <mergeCell ref="B402:C402"/>
    <mergeCell ref="B403:B404"/>
    <mergeCell ref="C403:C404"/>
    <mergeCell ref="D403:D404"/>
    <mergeCell ref="E403:E404"/>
    <mergeCell ref="F403:F404"/>
    <mergeCell ref="B243:B244"/>
    <mergeCell ref="C243:C244"/>
    <mergeCell ref="D243:D244"/>
    <mergeCell ref="E243:E244"/>
    <mergeCell ref="F243:F244"/>
    <mergeCell ref="B291:B292"/>
    <mergeCell ref="C291:C292"/>
    <mergeCell ref="D291:D292"/>
    <mergeCell ref="E291:E292"/>
    <mergeCell ref="F291:F292"/>
    <mergeCell ref="B147:B148"/>
    <mergeCell ref="C147:C148"/>
    <mergeCell ref="D147:D148"/>
    <mergeCell ref="E147:E148"/>
    <mergeCell ref="F147:F148"/>
    <mergeCell ref="B195:B196"/>
    <mergeCell ref="C195:C196"/>
    <mergeCell ref="D195:D196"/>
    <mergeCell ref="E195:E196"/>
    <mergeCell ref="F195:F196"/>
    <mergeCell ref="B51:B52"/>
    <mergeCell ref="C51:C52"/>
    <mergeCell ref="D51:D52"/>
    <mergeCell ref="E51:E52"/>
    <mergeCell ref="F51:F52"/>
    <mergeCell ref="B99:B100"/>
    <mergeCell ref="C99:C100"/>
    <mergeCell ref="D99:D100"/>
    <mergeCell ref="E99:E100"/>
    <mergeCell ref="F99:F100"/>
    <mergeCell ref="B1:W1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145" max="23" man="1"/>
    <brk id="288" max="2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8459-C429-46BC-9C88-166B2E0E48AD}">
  <sheetPr>
    <tabColor rgb="FFFF0000"/>
  </sheetPr>
  <dimension ref="A1:AX438"/>
  <sheetViews>
    <sheetView topLeftCell="A352" zoomScaleNormal="100" zoomScaleSheetLayoutView="100" workbookViewId="0">
      <selection activeCell="V8" sqref="V8"/>
    </sheetView>
  </sheetViews>
  <sheetFormatPr defaultColWidth="9" defaultRowHeight="12.95" customHeight="1" x14ac:dyDescent="0.2"/>
  <cols>
    <col min="1" max="1" width="0.75" style="1" customWidth="1"/>
    <col min="2" max="2" width="6.375" style="1" customWidth="1"/>
    <col min="3" max="3" width="5" style="1" bestFit="1" customWidth="1"/>
    <col min="4" max="4" width="8.5" style="1" bestFit="1" customWidth="1"/>
    <col min="5" max="6" width="5" style="1" bestFit="1" customWidth="1"/>
    <col min="7" max="7" width="7.5" style="1" customWidth="1"/>
    <col min="8" max="9" width="7.25" style="1" customWidth="1"/>
    <col min="10" max="10" width="8" style="1" customWidth="1"/>
    <col min="11" max="11" width="7.625" style="1" customWidth="1"/>
    <col min="12" max="12" width="5" style="1" bestFit="1" customWidth="1"/>
    <col min="13" max="13" width="6.75" style="1" bestFit="1" customWidth="1"/>
    <col min="14" max="14" width="5" style="1" customWidth="1"/>
    <col min="15" max="15" width="6.75" style="1" bestFit="1" customWidth="1"/>
    <col min="16" max="16" width="6.75" style="91" bestFit="1" customWidth="1"/>
    <col min="17" max="17" width="4.875" style="1" customWidth="1"/>
    <col min="18" max="50" width="9" style="24"/>
    <col min="51" max="16384" width="9" style="1"/>
  </cols>
  <sheetData>
    <row r="1" spans="2:50" ht="17.25" customHeight="1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2:50" s="5" customFormat="1" ht="15" customHeight="1" thickBot="1" x14ac:dyDescent="0.25">
      <c r="B2" s="2" t="s">
        <v>0</v>
      </c>
      <c r="C2" s="2"/>
      <c r="N2" s="25"/>
      <c r="O2" s="26"/>
      <c r="P2" s="27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</row>
    <row r="3" spans="2:50" s="6" customFormat="1" ht="13.5" customHeight="1" thickBot="1" x14ac:dyDescent="0.25">
      <c r="B3" s="385" t="s">
        <v>1</v>
      </c>
      <c r="C3" s="387" t="s">
        <v>77</v>
      </c>
      <c r="D3" s="389" t="s">
        <v>105</v>
      </c>
      <c r="E3" s="385" t="s">
        <v>3</v>
      </c>
      <c r="F3" s="391" t="s">
        <v>101</v>
      </c>
      <c r="G3" s="402" t="s">
        <v>5</v>
      </c>
      <c r="H3" s="403"/>
      <c r="I3" s="403"/>
      <c r="J3" s="403"/>
      <c r="K3" s="403"/>
      <c r="L3" s="247" t="s">
        <v>6</v>
      </c>
      <c r="M3" s="248"/>
      <c r="N3" s="248"/>
      <c r="O3" s="248"/>
      <c r="P3" s="248"/>
      <c r="Q3" s="249"/>
      <c r="R3" s="29"/>
      <c r="S3" s="29"/>
      <c r="T3" s="29"/>
      <c r="U3" s="24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</row>
    <row r="4" spans="2:50" s="6" customFormat="1" ht="40.5" customHeight="1" thickBot="1" x14ac:dyDescent="0.25">
      <c r="B4" s="386"/>
      <c r="C4" s="404"/>
      <c r="D4" s="390"/>
      <c r="E4" s="386"/>
      <c r="F4" s="405"/>
      <c r="G4" s="206" t="s">
        <v>117</v>
      </c>
      <c r="H4" s="207" t="s">
        <v>119</v>
      </c>
      <c r="I4" s="207" t="s">
        <v>121</v>
      </c>
      <c r="J4" s="207" t="s">
        <v>113</v>
      </c>
      <c r="K4" s="223" t="s">
        <v>115</v>
      </c>
      <c r="L4" s="206" t="s">
        <v>18</v>
      </c>
      <c r="M4" s="207" t="s">
        <v>19</v>
      </c>
      <c r="N4" s="207" t="s">
        <v>20</v>
      </c>
      <c r="O4" s="207" t="s">
        <v>21</v>
      </c>
      <c r="P4" s="214" t="s">
        <v>22</v>
      </c>
      <c r="Q4" s="224" t="s">
        <v>106</v>
      </c>
      <c r="R4" s="29"/>
      <c r="S4" s="29"/>
      <c r="T4" s="29"/>
      <c r="U4" s="28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</row>
    <row r="5" spans="2:50" ht="14.25" customHeight="1" x14ac:dyDescent="0.2">
      <c r="B5" s="12" t="s">
        <v>107</v>
      </c>
      <c r="C5" s="100"/>
      <c r="D5" s="31"/>
      <c r="E5" s="12"/>
      <c r="F5" s="100"/>
      <c r="G5" s="226"/>
      <c r="H5" s="35"/>
      <c r="I5" s="35"/>
      <c r="J5" s="35"/>
      <c r="K5" s="76"/>
      <c r="L5" s="77"/>
      <c r="M5" s="38"/>
      <c r="N5" s="39"/>
      <c r="O5" s="78"/>
      <c r="P5" s="215"/>
      <c r="Q5" s="218"/>
    </row>
    <row r="6" spans="2:50" ht="14.25" customHeight="1" x14ac:dyDescent="0.2">
      <c r="B6" s="349" t="s">
        <v>108</v>
      </c>
      <c r="C6" s="350"/>
      <c r="D6" s="351"/>
      <c r="E6" s="349"/>
      <c r="F6" s="350"/>
      <c r="G6" s="298"/>
      <c r="H6" s="299"/>
      <c r="I6" s="299"/>
      <c r="J6" s="299"/>
      <c r="K6" s="300"/>
      <c r="L6" s="352"/>
      <c r="M6" s="353"/>
      <c r="N6" s="354"/>
      <c r="O6" s="355"/>
      <c r="P6" s="356"/>
      <c r="Q6" s="357"/>
    </row>
    <row r="7" spans="2:50" ht="14.25" customHeight="1" x14ac:dyDescent="0.2">
      <c r="B7" s="349" t="s">
        <v>80</v>
      </c>
      <c r="C7" s="350"/>
      <c r="D7" s="351"/>
      <c r="E7" s="349"/>
      <c r="F7" s="350"/>
      <c r="G7" s="298"/>
      <c r="H7" s="299"/>
      <c r="I7" s="299"/>
      <c r="J7" s="299"/>
      <c r="K7" s="300"/>
      <c r="L7" s="352"/>
      <c r="M7" s="353"/>
      <c r="N7" s="354"/>
      <c r="O7" s="355"/>
      <c r="P7" s="356"/>
      <c r="Q7" s="357"/>
    </row>
    <row r="8" spans="2:50" ht="14.25" customHeight="1" x14ac:dyDescent="0.2">
      <c r="B8" s="349" t="s">
        <v>81</v>
      </c>
      <c r="C8" s="350"/>
      <c r="D8" s="351"/>
      <c r="E8" s="349"/>
      <c r="F8" s="350"/>
      <c r="G8" s="298"/>
      <c r="H8" s="299"/>
      <c r="I8" s="299"/>
      <c r="J8" s="299"/>
      <c r="K8" s="300"/>
      <c r="L8" s="352"/>
      <c r="M8" s="353"/>
      <c r="N8" s="354"/>
      <c r="O8" s="355"/>
      <c r="P8" s="356"/>
      <c r="Q8" s="357"/>
    </row>
    <row r="9" spans="2:50" ht="14.25" customHeight="1" x14ac:dyDescent="0.2">
      <c r="B9" s="349" t="s">
        <v>82</v>
      </c>
      <c r="C9" s="350"/>
      <c r="D9" s="351"/>
      <c r="E9" s="349"/>
      <c r="F9" s="350"/>
      <c r="G9" s="298"/>
      <c r="H9" s="299"/>
      <c r="I9" s="299"/>
      <c r="J9" s="299"/>
      <c r="K9" s="300"/>
      <c r="L9" s="352"/>
      <c r="M9" s="353"/>
      <c r="N9" s="354"/>
      <c r="O9" s="355"/>
      <c r="P9" s="356"/>
      <c r="Q9" s="357"/>
    </row>
    <row r="10" spans="2:50" ht="14.25" customHeight="1" x14ac:dyDescent="0.2">
      <c r="B10" s="349" t="s">
        <v>83</v>
      </c>
      <c r="C10" s="350"/>
      <c r="D10" s="351"/>
      <c r="E10" s="349"/>
      <c r="F10" s="350"/>
      <c r="G10" s="298"/>
      <c r="H10" s="299"/>
      <c r="I10" s="299"/>
      <c r="J10" s="299"/>
      <c r="K10" s="300"/>
      <c r="L10" s="352"/>
      <c r="M10" s="353"/>
      <c r="N10" s="354"/>
      <c r="O10" s="355"/>
      <c r="P10" s="356"/>
      <c r="Q10" s="357"/>
    </row>
    <row r="11" spans="2:50" ht="14.25" customHeight="1" x14ac:dyDescent="0.2">
      <c r="B11" s="349" t="s">
        <v>84</v>
      </c>
      <c r="C11" s="350"/>
      <c r="D11" s="351"/>
      <c r="E11" s="349"/>
      <c r="F11" s="350"/>
      <c r="G11" s="298"/>
      <c r="H11" s="299"/>
      <c r="I11" s="299"/>
      <c r="J11" s="299"/>
      <c r="K11" s="300"/>
      <c r="L11" s="352"/>
      <c r="M11" s="353"/>
      <c r="N11" s="354"/>
      <c r="O11" s="355"/>
      <c r="P11" s="356"/>
      <c r="Q11" s="357"/>
    </row>
    <row r="12" spans="2:50" ht="14.25" customHeight="1" x14ac:dyDescent="0.2">
      <c r="B12" s="349" t="s">
        <v>85</v>
      </c>
      <c r="C12" s="350"/>
      <c r="D12" s="351"/>
      <c r="E12" s="349"/>
      <c r="F12" s="350"/>
      <c r="G12" s="298"/>
      <c r="H12" s="299"/>
      <c r="I12" s="299"/>
      <c r="J12" s="299"/>
      <c r="K12" s="300"/>
      <c r="L12" s="352"/>
      <c r="M12" s="353"/>
      <c r="N12" s="354"/>
      <c r="O12" s="355"/>
      <c r="P12" s="356"/>
      <c r="Q12" s="357"/>
    </row>
    <row r="13" spans="2:50" ht="14.25" customHeight="1" x14ac:dyDescent="0.2">
      <c r="B13" s="349" t="s">
        <v>86</v>
      </c>
      <c r="C13" s="350"/>
      <c r="D13" s="351"/>
      <c r="E13" s="349"/>
      <c r="F13" s="350"/>
      <c r="G13" s="298"/>
      <c r="H13" s="299"/>
      <c r="I13" s="299"/>
      <c r="J13" s="299"/>
      <c r="K13" s="300"/>
      <c r="L13" s="352"/>
      <c r="M13" s="353"/>
      <c r="N13" s="354"/>
      <c r="O13" s="355"/>
      <c r="P13" s="356"/>
      <c r="Q13" s="357"/>
    </row>
    <row r="14" spans="2:50" ht="14.25" customHeight="1" x14ac:dyDescent="0.2">
      <c r="B14" s="349" t="s">
        <v>87</v>
      </c>
      <c r="C14" s="350"/>
      <c r="D14" s="351"/>
      <c r="E14" s="349"/>
      <c r="F14" s="350"/>
      <c r="G14" s="298"/>
      <c r="H14" s="299"/>
      <c r="I14" s="299"/>
      <c r="J14" s="299"/>
      <c r="K14" s="300"/>
      <c r="L14" s="352"/>
      <c r="M14" s="353"/>
      <c r="N14" s="354"/>
      <c r="O14" s="355"/>
      <c r="P14" s="356"/>
      <c r="Q14" s="357"/>
    </row>
    <row r="15" spans="2:50" ht="14.25" customHeight="1" x14ac:dyDescent="0.2">
      <c r="B15" s="349" t="s">
        <v>176</v>
      </c>
      <c r="C15" s="350"/>
      <c r="D15" s="351"/>
      <c r="E15" s="349"/>
      <c r="F15" s="350"/>
      <c r="G15" s="298"/>
      <c r="H15" s="299"/>
      <c r="I15" s="299"/>
      <c r="J15" s="299"/>
      <c r="K15" s="300"/>
      <c r="L15" s="352"/>
      <c r="M15" s="353"/>
      <c r="N15" s="354"/>
      <c r="O15" s="355"/>
      <c r="P15" s="356"/>
      <c r="Q15" s="357"/>
    </row>
    <row r="16" spans="2:50" ht="14.25" customHeight="1" x14ac:dyDescent="0.2">
      <c r="B16" s="349" t="s">
        <v>177</v>
      </c>
      <c r="C16" s="350"/>
      <c r="D16" s="351"/>
      <c r="E16" s="349"/>
      <c r="F16" s="350"/>
      <c r="G16" s="298"/>
      <c r="H16" s="299"/>
      <c r="I16" s="299"/>
      <c r="J16" s="299"/>
      <c r="K16" s="300"/>
      <c r="L16" s="352"/>
      <c r="M16" s="353"/>
      <c r="N16" s="354"/>
      <c r="O16" s="355"/>
      <c r="P16" s="356"/>
      <c r="Q16" s="357"/>
    </row>
    <row r="17" spans="2:17" ht="14.25" customHeight="1" x14ac:dyDescent="0.2">
      <c r="B17" s="349" t="s">
        <v>178</v>
      </c>
      <c r="C17" s="350"/>
      <c r="D17" s="351"/>
      <c r="E17" s="349"/>
      <c r="F17" s="350"/>
      <c r="G17" s="298"/>
      <c r="H17" s="299"/>
      <c r="I17" s="299"/>
      <c r="J17" s="299"/>
      <c r="K17" s="300"/>
      <c r="L17" s="352"/>
      <c r="M17" s="353"/>
      <c r="N17" s="354"/>
      <c r="O17" s="355"/>
      <c r="P17" s="356"/>
      <c r="Q17" s="357"/>
    </row>
    <row r="18" spans="2:17" ht="14.25" customHeight="1" x14ac:dyDescent="0.2">
      <c r="B18" s="349" t="s">
        <v>179</v>
      </c>
      <c r="C18" s="350"/>
      <c r="D18" s="351"/>
      <c r="E18" s="349"/>
      <c r="F18" s="350"/>
      <c r="G18" s="298"/>
      <c r="H18" s="299"/>
      <c r="I18" s="299"/>
      <c r="J18" s="299"/>
      <c r="K18" s="300"/>
      <c r="L18" s="352"/>
      <c r="M18" s="353"/>
      <c r="N18" s="354"/>
      <c r="O18" s="355"/>
      <c r="P18" s="356"/>
      <c r="Q18" s="357"/>
    </row>
    <row r="19" spans="2:17" ht="14.25" customHeight="1" x14ac:dyDescent="0.2">
      <c r="B19" s="349" t="s">
        <v>180</v>
      </c>
      <c r="C19" s="350"/>
      <c r="D19" s="351"/>
      <c r="E19" s="349"/>
      <c r="F19" s="350"/>
      <c r="G19" s="298"/>
      <c r="H19" s="299"/>
      <c r="I19" s="299"/>
      <c r="J19" s="299"/>
      <c r="K19" s="300"/>
      <c r="L19" s="352"/>
      <c r="M19" s="353"/>
      <c r="N19" s="354"/>
      <c r="O19" s="355"/>
      <c r="P19" s="356"/>
      <c r="Q19" s="357"/>
    </row>
    <row r="20" spans="2:17" ht="14.25" customHeight="1" x14ac:dyDescent="0.2">
      <c r="B20" s="349" t="s">
        <v>181</v>
      </c>
      <c r="C20" s="350"/>
      <c r="D20" s="351"/>
      <c r="E20" s="349"/>
      <c r="F20" s="350"/>
      <c r="G20" s="298"/>
      <c r="H20" s="299"/>
      <c r="I20" s="299"/>
      <c r="J20" s="299"/>
      <c r="K20" s="300"/>
      <c r="L20" s="352"/>
      <c r="M20" s="353"/>
      <c r="N20" s="354"/>
      <c r="O20" s="355"/>
      <c r="P20" s="356"/>
      <c r="Q20" s="357"/>
    </row>
    <row r="21" spans="2:17" ht="14.25" customHeight="1" x14ac:dyDescent="0.2">
      <c r="B21" s="349" t="s">
        <v>182</v>
      </c>
      <c r="C21" s="350"/>
      <c r="D21" s="351"/>
      <c r="E21" s="349"/>
      <c r="F21" s="350"/>
      <c r="G21" s="298"/>
      <c r="H21" s="299"/>
      <c r="I21" s="299"/>
      <c r="J21" s="299"/>
      <c r="K21" s="300"/>
      <c r="L21" s="352"/>
      <c r="M21" s="353"/>
      <c r="N21" s="354"/>
      <c r="O21" s="355"/>
      <c r="P21" s="356"/>
      <c r="Q21" s="357"/>
    </row>
    <row r="22" spans="2:17" ht="14.25" customHeight="1" x14ac:dyDescent="0.2">
      <c r="B22" s="349" t="s">
        <v>183</v>
      </c>
      <c r="C22" s="350"/>
      <c r="D22" s="351"/>
      <c r="E22" s="349"/>
      <c r="F22" s="350"/>
      <c r="G22" s="298"/>
      <c r="H22" s="299"/>
      <c r="I22" s="299"/>
      <c r="J22" s="299"/>
      <c r="K22" s="300"/>
      <c r="L22" s="352"/>
      <c r="M22" s="353"/>
      <c r="N22" s="354"/>
      <c r="O22" s="355"/>
      <c r="P22" s="356"/>
      <c r="Q22" s="357"/>
    </row>
    <row r="23" spans="2:17" ht="14.25" customHeight="1" x14ac:dyDescent="0.2">
      <c r="B23" s="349" t="s">
        <v>184</v>
      </c>
      <c r="C23" s="350"/>
      <c r="D23" s="351"/>
      <c r="E23" s="349"/>
      <c r="F23" s="350"/>
      <c r="G23" s="298"/>
      <c r="H23" s="299"/>
      <c r="I23" s="299"/>
      <c r="J23" s="299"/>
      <c r="K23" s="300"/>
      <c r="L23" s="352"/>
      <c r="M23" s="353"/>
      <c r="N23" s="354"/>
      <c r="O23" s="355"/>
      <c r="P23" s="356"/>
      <c r="Q23" s="357"/>
    </row>
    <row r="24" spans="2:17" ht="14.25" customHeight="1" x14ac:dyDescent="0.2">
      <c r="B24" s="349" t="s">
        <v>185</v>
      </c>
      <c r="C24" s="350"/>
      <c r="D24" s="351"/>
      <c r="E24" s="349"/>
      <c r="F24" s="350"/>
      <c r="G24" s="298"/>
      <c r="H24" s="299"/>
      <c r="I24" s="299"/>
      <c r="J24" s="299"/>
      <c r="K24" s="300"/>
      <c r="L24" s="352"/>
      <c r="M24" s="353"/>
      <c r="N24" s="354"/>
      <c r="O24" s="355"/>
      <c r="P24" s="356"/>
      <c r="Q24" s="357"/>
    </row>
    <row r="25" spans="2:17" ht="14.25" customHeight="1" x14ac:dyDescent="0.2">
      <c r="B25" s="349" t="s">
        <v>186</v>
      </c>
      <c r="C25" s="350"/>
      <c r="D25" s="351"/>
      <c r="E25" s="349"/>
      <c r="F25" s="350"/>
      <c r="G25" s="298"/>
      <c r="H25" s="299"/>
      <c r="I25" s="299"/>
      <c r="J25" s="299"/>
      <c r="K25" s="300"/>
      <c r="L25" s="352"/>
      <c r="M25" s="353"/>
      <c r="N25" s="354"/>
      <c r="O25" s="355"/>
      <c r="P25" s="356"/>
      <c r="Q25" s="357"/>
    </row>
    <row r="26" spans="2:17" ht="14.25" customHeight="1" x14ac:dyDescent="0.2">
      <c r="B26" s="349" t="s">
        <v>187</v>
      </c>
      <c r="C26" s="350"/>
      <c r="D26" s="351"/>
      <c r="E26" s="349"/>
      <c r="F26" s="350"/>
      <c r="G26" s="298"/>
      <c r="H26" s="299"/>
      <c r="I26" s="299"/>
      <c r="J26" s="299"/>
      <c r="K26" s="300"/>
      <c r="L26" s="352"/>
      <c r="M26" s="353"/>
      <c r="N26" s="354"/>
      <c r="O26" s="355"/>
      <c r="P26" s="356"/>
      <c r="Q26" s="357"/>
    </row>
    <row r="27" spans="2:17" ht="14.25" customHeight="1" x14ac:dyDescent="0.2">
      <c r="B27" s="349" t="s">
        <v>188</v>
      </c>
      <c r="C27" s="350"/>
      <c r="D27" s="351"/>
      <c r="E27" s="349"/>
      <c r="F27" s="350"/>
      <c r="G27" s="298"/>
      <c r="H27" s="299"/>
      <c r="I27" s="299"/>
      <c r="J27" s="299"/>
      <c r="K27" s="300"/>
      <c r="L27" s="352"/>
      <c r="M27" s="353"/>
      <c r="N27" s="354"/>
      <c r="O27" s="355"/>
      <c r="P27" s="356"/>
      <c r="Q27" s="357"/>
    </row>
    <row r="28" spans="2:17" ht="14.25" customHeight="1" x14ac:dyDescent="0.2">
      <c r="B28" s="349" t="s">
        <v>189</v>
      </c>
      <c r="C28" s="350"/>
      <c r="D28" s="351"/>
      <c r="E28" s="349"/>
      <c r="F28" s="350"/>
      <c r="G28" s="298"/>
      <c r="H28" s="299"/>
      <c r="I28" s="299"/>
      <c r="J28" s="299"/>
      <c r="K28" s="300"/>
      <c r="L28" s="352"/>
      <c r="M28" s="353"/>
      <c r="N28" s="354"/>
      <c r="O28" s="355"/>
      <c r="P28" s="356"/>
      <c r="Q28" s="357"/>
    </row>
    <row r="29" spans="2:17" ht="14.25" customHeight="1" x14ac:dyDescent="0.2">
      <c r="B29" s="349" t="s">
        <v>190</v>
      </c>
      <c r="C29" s="350"/>
      <c r="D29" s="351"/>
      <c r="E29" s="349"/>
      <c r="F29" s="350"/>
      <c r="G29" s="298"/>
      <c r="H29" s="299"/>
      <c r="I29" s="299"/>
      <c r="J29" s="299"/>
      <c r="K29" s="300"/>
      <c r="L29" s="352"/>
      <c r="M29" s="353"/>
      <c r="N29" s="354"/>
      <c r="O29" s="355"/>
      <c r="P29" s="356"/>
      <c r="Q29" s="357"/>
    </row>
    <row r="30" spans="2:17" ht="14.25" customHeight="1" x14ac:dyDescent="0.2">
      <c r="B30" s="349" t="s">
        <v>191</v>
      </c>
      <c r="C30" s="350"/>
      <c r="D30" s="351"/>
      <c r="E30" s="349"/>
      <c r="F30" s="350"/>
      <c r="G30" s="298"/>
      <c r="H30" s="299"/>
      <c r="I30" s="299"/>
      <c r="J30" s="299"/>
      <c r="K30" s="300"/>
      <c r="L30" s="352"/>
      <c r="M30" s="353"/>
      <c r="N30" s="354"/>
      <c r="O30" s="355"/>
      <c r="P30" s="356"/>
      <c r="Q30" s="357"/>
    </row>
    <row r="31" spans="2:17" ht="14.25" customHeight="1" x14ac:dyDescent="0.2">
      <c r="B31" s="349" t="s">
        <v>192</v>
      </c>
      <c r="C31" s="350"/>
      <c r="D31" s="351"/>
      <c r="E31" s="349"/>
      <c r="F31" s="350"/>
      <c r="G31" s="298"/>
      <c r="H31" s="299"/>
      <c r="I31" s="299"/>
      <c r="J31" s="299"/>
      <c r="K31" s="300"/>
      <c r="L31" s="352"/>
      <c r="M31" s="353"/>
      <c r="N31" s="354"/>
      <c r="O31" s="355"/>
      <c r="P31" s="356"/>
      <c r="Q31" s="357"/>
    </row>
    <row r="32" spans="2:17" ht="14.25" customHeight="1" x14ac:dyDescent="0.2">
      <c r="B32" s="349" t="s">
        <v>193</v>
      </c>
      <c r="C32" s="350"/>
      <c r="D32" s="351"/>
      <c r="E32" s="349"/>
      <c r="F32" s="350"/>
      <c r="G32" s="298"/>
      <c r="H32" s="299"/>
      <c r="I32" s="299"/>
      <c r="J32" s="299"/>
      <c r="K32" s="300"/>
      <c r="L32" s="352"/>
      <c r="M32" s="353"/>
      <c r="N32" s="354"/>
      <c r="O32" s="355"/>
      <c r="P32" s="356"/>
      <c r="Q32" s="357"/>
    </row>
    <row r="33" spans="2:21" ht="14.25" customHeight="1" x14ac:dyDescent="0.2">
      <c r="B33" s="349" t="s">
        <v>194</v>
      </c>
      <c r="C33" s="350"/>
      <c r="D33" s="351"/>
      <c r="E33" s="349"/>
      <c r="F33" s="350"/>
      <c r="G33" s="298"/>
      <c r="H33" s="299"/>
      <c r="I33" s="299"/>
      <c r="J33" s="299"/>
      <c r="K33" s="300"/>
      <c r="L33" s="352"/>
      <c r="M33" s="353"/>
      <c r="N33" s="354"/>
      <c r="O33" s="355"/>
      <c r="P33" s="356"/>
      <c r="Q33" s="357"/>
    </row>
    <row r="34" spans="2:21" ht="14.25" customHeight="1" x14ac:dyDescent="0.2">
      <c r="B34" s="349" t="s">
        <v>195</v>
      </c>
      <c r="C34" s="350"/>
      <c r="D34" s="351"/>
      <c r="E34" s="349"/>
      <c r="F34" s="350"/>
      <c r="G34" s="298"/>
      <c r="H34" s="299"/>
      <c r="I34" s="299"/>
      <c r="J34" s="299"/>
      <c r="K34" s="300"/>
      <c r="L34" s="352"/>
      <c r="M34" s="353"/>
      <c r="N34" s="354"/>
      <c r="O34" s="355"/>
      <c r="P34" s="356"/>
      <c r="Q34" s="357"/>
    </row>
    <row r="35" spans="2:21" ht="14.25" customHeight="1" x14ac:dyDescent="0.2">
      <c r="B35" s="349" t="s">
        <v>196</v>
      </c>
      <c r="C35" s="350"/>
      <c r="D35" s="351"/>
      <c r="E35" s="349"/>
      <c r="F35" s="350"/>
      <c r="G35" s="298"/>
      <c r="H35" s="299"/>
      <c r="I35" s="299"/>
      <c r="J35" s="299"/>
      <c r="K35" s="300"/>
      <c r="L35" s="352"/>
      <c r="M35" s="353"/>
      <c r="N35" s="354"/>
      <c r="O35" s="355"/>
      <c r="P35" s="356"/>
      <c r="Q35" s="357"/>
    </row>
    <row r="36" spans="2:21" ht="14.25" customHeight="1" x14ac:dyDescent="0.2">
      <c r="B36" s="349" t="s">
        <v>197</v>
      </c>
      <c r="C36" s="350"/>
      <c r="D36" s="351"/>
      <c r="E36" s="349"/>
      <c r="F36" s="350"/>
      <c r="G36" s="298"/>
      <c r="H36" s="299"/>
      <c r="I36" s="299"/>
      <c r="J36" s="299"/>
      <c r="K36" s="300"/>
      <c r="L36" s="352"/>
      <c r="M36" s="353"/>
      <c r="N36" s="354"/>
      <c r="O36" s="355"/>
      <c r="P36" s="356"/>
      <c r="Q36" s="357"/>
    </row>
    <row r="37" spans="2:21" ht="14.25" customHeight="1" x14ac:dyDescent="0.2">
      <c r="B37" s="349" t="s">
        <v>198</v>
      </c>
      <c r="C37" s="350"/>
      <c r="D37" s="351"/>
      <c r="E37" s="349"/>
      <c r="F37" s="350"/>
      <c r="G37" s="298"/>
      <c r="H37" s="299"/>
      <c r="I37" s="299"/>
      <c r="J37" s="299"/>
      <c r="K37" s="300"/>
      <c r="L37" s="352"/>
      <c r="M37" s="353"/>
      <c r="N37" s="354"/>
      <c r="O37" s="355"/>
      <c r="P37" s="356"/>
      <c r="Q37" s="357"/>
    </row>
    <row r="38" spans="2:21" ht="14.25" customHeight="1" x14ac:dyDescent="0.2">
      <c r="B38" s="13" t="s">
        <v>200</v>
      </c>
      <c r="C38" s="101"/>
      <c r="D38" s="42"/>
      <c r="E38" s="13"/>
      <c r="F38" s="101"/>
      <c r="G38" s="209"/>
      <c r="H38" s="46"/>
      <c r="I38" s="46"/>
      <c r="J38" s="46"/>
      <c r="K38" s="80"/>
      <c r="L38" s="81"/>
      <c r="M38" s="49"/>
      <c r="N38" s="50"/>
      <c r="O38" s="82"/>
      <c r="P38" s="216"/>
      <c r="Q38" s="219"/>
      <c r="U38" s="28"/>
    </row>
    <row r="39" spans="2:21" ht="14.25" customHeight="1" x14ac:dyDescent="0.2">
      <c r="B39" s="13" t="s">
        <v>201</v>
      </c>
      <c r="C39" s="101"/>
      <c r="D39" s="42"/>
      <c r="E39" s="13"/>
      <c r="F39" s="101"/>
      <c r="G39" s="209"/>
      <c r="H39" s="46"/>
      <c r="I39" s="46"/>
      <c r="J39" s="46"/>
      <c r="K39" s="80"/>
      <c r="L39" s="81"/>
      <c r="M39" s="49"/>
      <c r="N39" s="50"/>
      <c r="O39" s="82"/>
      <c r="P39" s="216"/>
      <c r="Q39" s="219"/>
    </row>
    <row r="40" spans="2:21" ht="14.25" customHeight="1" x14ac:dyDescent="0.2">
      <c r="B40" s="13" t="s">
        <v>202</v>
      </c>
      <c r="C40" s="101"/>
      <c r="D40" s="42"/>
      <c r="E40" s="13"/>
      <c r="F40" s="101"/>
      <c r="G40" s="209"/>
      <c r="H40" s="46"/>
      <c r="I40" s="46"/>
      <c r="J40" s="46"/>
      <c r="K40" s="80"/>
      <c r="L40" s="81"/>
      <c r="M40" s="49"/>
      <c r="N40" s="50"/>
      <c r="O40" s="82"/>
      <c r="P40" s="216"/>
      <c r="Q40" s="219"/>
      <c r="U40" s="28"/>
    </row>
    <row r="41" spans="2:21" ht="14.25" customHeight="1" x14ac:dyDescent="0.2">
      <c r="B41" s="13" t="s">
        <v>203</v>
      </c>
      <c r="C41" s="101"/>
      <c r="D41" s="42"/>
      <c r="E41" s="13"/>
      <c r="F41" s="101"/>
      <c r="G41" s="209"/>
      <c r="H41" s="46"/>
      <c r="I41" s="46"/>
      <c r="J41" s="46"/>
      <c r="K41" s="80"/>
      <c r="L41" s="81"/>
      <c r="M41" s="49"/>
      <c r="N41" s="50"/>
      <c r="O41" s="82"/>
      <c r="P41" s="216"/>
      <c r="Q41" s="219"/>
    </row>
    <row r="42" spans="2:21" ht="14.25" customHeight="1" x14ac:dyDescent="0.2">
      <c r="B42" s="13" t="s">
        <v>204</v>
      </c>
      <c r="C42" s="101"/>
      <c r="D42" s="42"/>
      <c r="E42" s="13"/>
      <c r="F42" s="101"/>
      <c r="G42" s="209"/>
      <c r="H42" s="46"/>
      <c r="I42" s="46"/>
      <c r="J42" s="46"/>
      <c r="K42" s="80"/>
      <c r="L42" s="81"/>
      <c r="M42" s="49"/>
      <c r="N42" s="50"/>
      <c r="O42" s="82"/>
      <c r="P42" s="216"/>
      <c r="Q42" s="219"/>
      <c r="U42" s="28"/>
    </row>
    <row r="43" spans="2:21" ht="14.25" customHeight="1" x14ac:dyDescent="0.2">
      <c r="B43" s="13" t="s">
        <v>205</v>
      </c>
      <c r="C43" s="101"/>
      <c r="D43" s="42"/>
      <c r="E43" s="13"/>
      <c r="F43" s="101"/>
      <c r="G43" s="209"/>
      <c r="H43" s="46"/>
      <c r="I43" s="46"/>
      <c r="J43" s="46"/>
      <c r="K43" s="80"/>
      <c r="L43" s="81"/>
      <c r="M43" s="49"/>
      <c r="N43" s="50"/>
      <c r="O43" s="82"/>
      <c r="P43" s="216"/>
      <c r="Q43" s="219"/>
    </row>
    <row r="44" spans="2:21" ht="14.25" customHeight="1" thickBot="1" x14ac:dyDescent="0.25">
      <c r="B44" s="14" t="s">
        <v>206</v>
      </c>
      <c r="C44" s="102"/>
      <c r="D44" s="53"/>
      <c r="E44" s="14"/>
      <c r="F44" s="102"/>
      <c r="G44" s="227"/>
      <c r="H44" s="57"/>
      <c r="I44" s="57"/>
      <c r="J44" s="57"/>
      <c r="K44" s="84"/>
      <c r="L44" s="85"/>
      <c r="M44" s="58"/>
      <c r="N44" s="59"/>
      <c r="O44" s="86"/>
      <c r="P44" s="220"/>
      <c r="Q44" s="221"/>
      <c r="U44" s="28"/>
    </row>
    <row r="45" spans="2:21" ht="14.25" customHeight="1" thickBot="1" x14ac:dyDescent="0.25">
      <c r="B45" s="60"/>
      <c r="C45" s="148"/>
      <c r="D45" s="173"/>
      <c r="E45" s="60"/>
      <c r="F45" s="64"/>
      <c r="G45" s="92"/>
      <c r="H45" s="66"/>
      <c r="I45" s="66"/>
      <c r="J45" s="66"/>
      <c r="K45" s="67"/>
      <c r="L45" s="68">
        <f>SUM(L5:L44)</f>
        <v>0</v>
      </c>
      <c r="M45" s="69" t="e">
        <f>AVERAGE(M5:M44)</f>
        <v>#DIV/0!</v>
      </c>
      <c r="N45" s="70">
        <f>SUM(N5:N44)</f>
        <v>0</v>
      </c>
      <c r="O45" s="69" t="e">
        <f>AVERAGE(O5:O44)</f>
        <v>#DIV/0!</v>
      </c>
      <c r="P45" s="217" t="e">
        <f>AVERAGE(P5:P44)</f>
        <v>#DIV/0!</v>
      </c>
      <c r="Q45" s="225"/>
    </row>
    <row r="46" spans="2:21" ht="14.25" customHeight="1" x14ac:dyDescent="0.2">
      <c r="B46" s="15"/>
      <c r="C46" s="15"/>
      <c r="D46" s="174"/>
      <c r="E46" s="15"/>
      <c r="F46" s="15"/>
      <c r="G46" s="15"/>
      <c r="H46" s="175"/>
      <c r="I46" s="175"/>
      <c r="J46" s="175"/>
      <c r="K46" s="175"/>
      <c r="L46" s="176"/>
      <c r="M46" s="177"/>
      <c r="N46" s="176"/>
      <c r="O46" s="177"/>
      <c r="P46" s="178"/>
      <c r="U46" s="28"/>
    </row>
    <row r="47" spans="2:21" ht="14.25" customHeight="1" x14ac:dyDescent="0.2">
      <c r="B47" s="15"/>
      <c r="C47" s="15"/>
      <c r="D47" s="174"/>
      <c r="E47" s="15"/>
      <c r="F47" s="15"/>
      <c r="G47" s="15"/>
      <c r="H47" s="175"/>
      <c r="I47" s="175"/>
      <c r="J47" s="175"/>
      <c r="K47" s="175"/>
      <c r="L47" s="176"/>
      <c r="M47" s="177"/>
      <c r="N47" s="176"/>
      <c r="O47" s="177"/>
      <c r="P47" s="178"/>
    </row>
    <row r="48" spans="2:21" ht="14.25" customHeight="1" x14ac:dyDescent="0.2">
      <c r="B48" s="178"/>
      <c r="C48" s="177"/>
      <c r="D48" s="176"/>
      <c r="E48" s="176"/>
      <c r="F48" s="176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U48" s="28"/>
    </row>
    <row r="49" spans="2:50" ht="50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72"/>
      <c r="N49" s="15"/>
      <c r="O49" s="72"/>
      <c r="P49" s="73"/>
    </row>
    <row r="50" spans="2:50" ht="18" customHeight="1" thickBot="1" x14ac:dyDescent="0.25">
      <c r="B50" s="17" t="s">
        <v>23</v>
      </c>
      <c r="C50" s="17"/>
      <c r="M50" s="74"/>
      <c r="N50" s="74"/>
      <c r="O50" s="74"/>
      <c r="P50" s="75"/>
      <c r="U50" s="28"/>
    </row>
    <row r="51" spans="2:50" s="6" customFormat="1" ht="15.75" customHeight="1" thickBot="1" x14ac:dyDescent="0.25">
      <c r="B51" s="385" t="s">
        <v>1</v>
      </c>
      <c r="C51" s="387" t="s">
        <v>77</v>
      </c>
      <c r="D51" s="389" t="s">
        <v>104</v>
      </c>
      <c r="E51" s="385" t="s">
        <v>3</v>
      </c>
      <c r="F51" s="391" t="s">
        <v>101</v>
      </c>
      <c r="G51" s="389" t="s">
        <v>5</v>
      </c>
      <c r="H51" s="406"/>
      <c r="I51" s="406"/>
      <c r="J51" s="406"/>
      <c r="K51" s="406"/>
      <c r="L51" s="247" t="s">
        <v>6</v>
      </c>
      <c r="M51" s="248"/>
      <c r="N51" s="248"/>
      <c r="O51" s="248"/>
      <c r="P51" s="248"/>
      <c r="Q51" s="249"/>
      <c r="R51" s="29"/>
      <c r="S51" s="29"/>
      <c r="T51" s="29"/>
      <c r="U51" s="24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</row>
    <row r="52" spans="2:50" s="6" customFormat="1" ht="36" customHeight="1" thickBot="1" x14ac:dyDescent="0.25">
      <c r="B52" s="386"/>
      <c r="C52" s="388"/>
      <c r="D52" s="390"/>
      <c r="E52" s="386"/>
      <c r="F52" s="392"/>
      <c r="G52" s="301" t="s">
        <v>116</v>
      </c>
      <c r="H52" s="153" t="s">
        <v>118</v>
      </c>
      <c r="I52" s="153" t="s">
        <v>120</v>
      </c>
      <c r="J52" s="153" t="s">
        <v>112</v>
      </c>
      <c r="K52" s="154" t="s">
        <v>114</v>
      </c>
      <c r="L52" s="206" t="s">
        <v>18</v>
      </c>
      <c r="M52" s="207" t="s">
        <v>19</v>
      </c>
      <c r="N52" s="207" t="s">
        <v>20</v>
      </c>
      <c r="O52" s="207" t="s">
        <v>21</v>
      </c>
      <c r="P52" s="208" t="s">
        <v>22</v>
      </c>
      <c r="Q52" s="224" t="s">
        <v>106</v>
      </c>
      <c r="R52" s="29"/>
      <c r="S52" s="29"/>
      <c r="T52" s="29"/>
      <c r="U52" s="28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</row>
    <row r="53" spans="2:50" ht="15.75" customHeight="1" x14ac:dyDescent="0.2">
      <c r="B53" s="12" t="s">
        <v>107</v>
      </c>
      <c r="C53" s="100"/>
      <c r="D53" s="31"/>
      <c r="E53" s="12"/>
      <c r="F53" s="32"/>
      <c r="G53" s="298"/>
      <c r="H53" s="299"/>
      <c r="I53" s="299"/>
      <c r="J53" s="299"/>
      <c r="K53" s="300"/>
      <c r="L53" s="77"/>
      <c r="M53" s="38"/>
      <c r="N53" s="39"/>
      <c r="O53" s="78"/>
      <c r="P53" s="180"/>
      <c r="Q53" s="218"/>
    </row>
    <row r="54" spans="2:50" ht="15.75" customHeight="1" x14ac:dyDescent="0.2">
      <c r="B54" s="349" t="s">
        <v>108</v>
      </c>
      <c r="C54" s="350"/>
      <c r="D54" s="351"/>
      <c r="E54" s="349"/>
      <c r="F54" s="358"/>
      <c r="G54" s="298"/>
      <c r="H54" s="299"/>
      <c r="I54" s="299"/>
      <c r="J54" s="299"/>
      <c r="K54" s="300"/>
      <c r="L54" s="352"/>
      <c r="M54" s="353"/>
      <c r="N54" s="354"/>
      <c r="O54" s="355"/>
      <c r="P54" s="359"/>
      <c r="Q54" s="357"/>
    </row>
    <row r="55" spans="2:50" ht="15.75" customHeight="1" x14ac:dyDescent="0.2">
      <c r="B55" s="349" t="s">
        <v>80</v>
      </c>
      <c r="C55" s="350"/>
      <c r="D55" s="351"/>
      <c r="E55" s="349"/>
      <c r="F55" s="358"/>
      <c r="G55" s="298"/>
      <c r="H55" s="299"/>
      <c r="I55" s="299"/>
      <c r="J55" s="299"/>
      <c r="K55" s="300"/>
      <c r="L55" s="352"/>
      <c r="M55" s="353"/>
      <c r="N55" s="354"/>
      <c r="O55" s="355"/>
      <c r="P55" s="359"/>
      <c r="Q55" s="357"/>
    </row>
    <row r="56" spans="2:50" ht="15.75" customHeight="1" x14ac:dyDescent="0.2">
      <c r="B56" s="349" t="s">
        <v>81</v>
      </c>
      <c r="C56" s="350"/>
      <c r="D56" s="351"/>
      <c r="E56" s="349"/>
      <c r="F56" s="358"/>
      <c r="G56" s="298"/>
      <c r="H56" s="299"/>
      <c r="I56" s="299"/>
      <c r="J56" s="299"/>
      <c r="K56" s="300"/>
      <c r="L56" s="352"/>
      <c r="M56" s="353"/>
      <c r="N56" s="354"/>
      <c r="O56" s="355"/>
      <c r="P56" s="359"/>
      <c r="Q56" s="357"/>
    </row>
    <row r="57" spans="2:50" ht="15.75" customHeight="1" x14ac:dyDescent="0.2">
      <c r="B57" s="349" t="s">
        <v>82</v>
      </c>
      <c r="C57" s="350"/>
      <c r="D57" s="351"/>
      <c r="E57" s="349"/>
      <c r="F57" s="358"/>
      <c r="G57" s="298"/>
      <c r="H57" s="299"/>
      <c r="I57" s="299"/>
      <c r="J57" s="299"/>
      <c r="K57" s="300"/>
      <c r="L57" s="352"/>
      <c r="M57" s="353"/>
      <c r="N57" s="354"/>
      <c r="O57" s="355"/>
      <c r="P57" s="359"/>
      <c r="Q57" s="357"/>
    </row>
    <row r="58" spans="2:50" ht="15.75" customHeight="1" x14ac:dyDescent="0.2">
      <c r="B58" s="349" t="s">
        <v>83</v>
      </c>
      <c r="C58" s="350"/>
      <c r="D58" s="351"/>
      <c r="E58" s="349"/>
      <c r="F58" s="358"/>
      <c r="G58" s="298"/>
      <c r="H58" s="299"/>
      <c r="I58" s="299"/>
      <c r="J58" s="299"/>
      <c r="K58" s="300"/>
      <c r="L58" s="352"/>
      <c r="M58" s="353"/>
      <c r="N58" s="354"/>
      <c r="O58" s="355"/>
      <c r="P58" s="359"/>
      <c r="Q58" s="357"/>
    </row>
    <row r="59" spans="2:50" ht="15.75" customHeight="1" x14ac:dyDescent="0.2">
      <c r="B59" s="349" t="s">
        <v>84</v>
      </c>
      <c r="C59" s="350"/>
      <c r="D59" s="351"/>
      <c r="E59" s="349"/>
      <c r="F59" s="358"/>
      <c r="G59" s="298"/>
      <c r="H59" s="299"/>
      <c r="I59" s="299"/>
      <c r="J59" s="299"/>
      <c r="K59" s="300"/>
      <c r="L59" s="352"/>
      <c r="M59" s="353"/>
      <c r="N59" s="354"/>
      <c r="O59" s="355"/>
      <c r="P59" s="359"/>
      <c r="Q59" s="357"/>
    </row>
    <row r="60" spans="2:50" ht="15.75" customHeight="1" x14ac:dyDescent="0.2">
      <c r="B60" s="349" t="s">
        <v>85</v>
      </c>
      <c r="C60" s="350"/>
      <c r="D60" s="351"/>
      <c r="E60" s="349"/>
      <c r="F60" s="358"/>
      <c r="G60" s="298"/>
      <c r="H60" s="299"/>
      <c r="I60" s="299"/>
      <c r="J60" s="299"/>
      <c r="K60" s="300"/>
      <c r="L60" s="352"/>
      <c r="M60" s="353"/>
      <c r="N60" s="354"/>
      <c r="O60" s="355"/>
      <c r="P60" s="359"/>
      <c r="Q60" s="357"/>
    </row>
    <row r="61" spans="2:50" ht="15.75" customHeight="1" x14ac:dyDescent="0.2">
      <c r="B61" s="349" t="s">
        <v>86</v>
      </c>
      <c r="C61" s="350"/>
      <c r="D61" s="351"/>
      <c r="E61" s="349"/>
      <c r="F61" s="358"/>
      <c r="G61" s="298"/>
      <c r="H61" s="299"/>
      <c r="I61" s="299"/>
      <c r="J61" s="299"/>
      <c r="K61" s="300"/>
      <c r="L61" s="352"/>
      <c r="M61" s="353"/>
      <c r="N61" s="354"/>
      <c r="O61" s="355"/>
      <c r="P61" s="359"/>
      <c r="Q61" s="357"/>
    </row>
    <row r="62" spans="2:50" ht="15.75" customHeight="1" x14ac:dyDescent="0.2">
      <c r="B62" s="349" t="s">
        <v>87</v>
      </c>
      <c r="C62" s="350"/>
      <c r="D62" s="351"/>
      <c r="E62" s="349"/>
      <c r="F62" s="358"/>
      <c r="G62" s="298"/>
      <c r="H62" s="299"/>
      <c r="I62" s="299"/>
      <c r="J62" s="299"/>
      <c r="K62" s="300"/>
      <c r="L62" s="352"/>
      <c r="M62" s="353"/>
      <c r="N62" s="354"/>
      <c r="O62" s="355"/>
      <c r="P62" s="359"/>
      <c r="Q62" s="357"/>
    </row>
    <row r="63" spans="2:50" ht="15.75" customHeight="1" x14ac:dyDescent="0.2">
      <c r="B63" s="349" t="s">
        <v>176</v>
      </c>
      <c r="C63" s="350"/>
      <c r="D63" s="351"/>
      <c r="E63" s="349"/>
      <c r="F63" s="358"/>
      <c r="G63" s="298"/>
      <c r="H63" s="299"/>
      <c r="I63" s="299"/>
      <c r="J63" s="299"/>
      <c r="K63" s="300"/>
      <c r="L63" s="352"/>
      <c r="M63" s="353"/>
      <c r="N63" s="354"/>
      <c r="O63" s="355"/>
      <c r="P63" s="359"/>
      <c r="Q63" s="357"/>
    </row>
    <row r="64" spans="2:50" ht="15.75" customHeight="1" x14ac:dyDescent="0.2">
      <c r="B64" s="349" t="s">
        <v>177</v>
      </c>
      <c r="C64" s="350"/>
      <c r="D64" s="351"/>
      <c r="E64" s="349"/>
      <c r="F64" s="358"/>
      <c r="G64" s="298"/>
      <c r="H64" s="299"/>
      <c r="I64" s="299"/>
      <c r="J64" s="299"/>
      <c r="K64" s="300"/>
      <c r="L64" s="352"/>
      <c r="M64" s="353"/>
      <c r="N64" s="354"/>
      <c r="O64" s="355"/>
      <c r="P64" s="359"/>
      <c r="Q64" s="357"/>
    </row>
    <row r="65" spans="2:17" ht="15.75" customHeight="1" x14ac:dyDescent="0.2">
      <c r="B65" s="349" t="s">
        <v>178</v>
      </c>
      <c r="C65" s="350"/>
      <c r="D65" s="351"/>
      <c r="E65" s="349"/>
      <c r="F65" s="358"/>
      <c r="G65" s="298"/>
      <c r="H65" s="299"/>
      <c r="I65" s="299"/>
      <c r="J65" s="299"/>
      <c r="K65" s="300"/>
      <c r="L65" s="352"/>
      <c r="M65" s="353"/>
      <c r="N65" s="354"/>
      <c r="O65" s="355"/>
      <c r="P65" s="359"/>
      <c r="Q65" s="357"/>
    </row>
    <row r="66" spans="2:17" ht="15.75" customHeight="1" x14ac:dyDescent="0.2">
      <c r="B66" s="349" t="s">
        <v>179</v>
      </c>
      <c r="C66" s="350"/>
      <c r="D66" s="351"/>
      <c r="E66" s="349"/>
      <c r="F66" s="358"/>
      <c r="G66" s="298"/>
      <c r="H66" s="299"/>
      <c r="I66" s="299"/>
      <c r="J66" s="299"/>
      <c r="K66" s="300"/>
      <c r="L66" s="352"/>
      <c r="M66" s="353"/>
      <c r="N66" s="354"/>
      <c r="O66" s="355"/>
      <c r="P66" s="359"/>
      <c r="Q66" s="357"/>
    </row>
    <row r="67" spans="2:17" ht="15.75" customHeight="1" x14ac:dyDescent="0.2">
      <c r="B67" s="349" t="s">
        <v>180</v>
      </c>
      <c r="C67" s="350"/>
      <c r="D67" s="351"/>
      <c r="E67" s="349"/>
      <c r="F67" s="358"/>
      <c r="G67" s="298"/>
      <c r="H67" s="299"/>
      <c r="I67" s="299"/>
      <c r="J67" s="299"/>
      <c r="K67" s="300"/>
      <c r="L67" s="352"/>
      <c r="M67" s="353"/>
      <c r="N67" s="354"/>
      <c r="O67" s="355"/>
      <c r="P67" s="359"/>
      <c r="Q67" s="357"/>
    </row>
    <row r="68" spans="2:17" ht="15.75" customHeight="1" x14ac:dyDescent="0.2">
      <c r="B68" s="349" t="s">
        <v>181</v>
      </c>
      <c r="C68" s="350"/>
      <c r="D68" s="351"/>
      <c r="E68" s="349"/>
      <c r="F68" s="358"/>
      <c r="G68" s="298"/>
      <c r="H68" s="299"/>
      <c r="I68" s="299"/>
      <c r="J68" s="299"/>
      <c r="K68" s="300"/>
      <c r="L68" s="352"/>
      <c r="M68" s="353"/>
      <c r="N68" s="354"/>
      <c r="O68" s="355"/>
      <c r="P68" s="359"/>
      <c r="Q68" s="357"/>
    </row>
    <row r="69" spans="2:17" ht="15.75" customHeight="1" x14ac:dyDescent="0.2">
      <c r="B69" s="349" t="s">
        <v>182</v>
      </c>
      <c r="C69" s="350"/>
      <c r="D69" s="351"/>
      <c r="E69" s="349"/>
      <c r="F69" s="358"/>
      <c r="G69" s="298"/>
      <c r="H69" s="299"/>
      <c r="I69" s="299"/>
      <c r="J69" s="299"/>
      <c r="K69" s="300"/>
      <c r="L69" s="352"/>
      <c r="M69" s="353"/>
      <c r="N69" s="354"/>
      <c r="O69" s="355"/>
      <c r="P69" s="359"/>
      <c r="Q69" s="357"/>
    </row>
    <row r="70" spans="2:17" ht="15.75" customHeight="1" x14ac:dyDescent="0.2">
      <c r="B70" s="349" t="s">
        <v>183</v>
      </c>
      <c r="C70" s="350"/>
      <c r="D70" s="351"/>
      <c r="E70" s="349"/>
      <c r="F70" s="358"/>
      <c r="G70" s="298"/>
      <c r="H70" s="299"/>
      <c r="I70" s="299"/>
      <c r="J70" s="299"/>
      <c r="K70" s="300"/>
      <c r="L70" s="352"/>
      <c r="M70" s="353"/>
      <c r="N70" s="354"/>
      <c r="O70" s="355"/>
      <c r="P70" s="359"/>
      <c r="Q70" s="357"/>
    </row>
    <row r="71" spans="2:17" ht="15.75" customHeight="1" x14ac:dyDescent="0.2">
      <c r="B71" s="349" t="s">
        <v>184</v>
      </c>
      <c r="C71" s="350"/>
      <c r="D71" s="351"/>
      <c r="E71" s="349"/>
      <c r="F71" s="358"/>
      <c r="G71" s="298"/>
      <c r="H71" s="299"/>
      <c r="I71" s="299"/>
      <c r="J71" s="299"/>
      <c r="K71" s="300"/>
      <c r="L71" s="352"/>
      <c r="M71" s="353"/>
      <c r="N71" s="354"/>
      <c r="O71" s="355"/>
      <c r="P71" s="359"/>
      <c r="Q71" s="357"/>
    </row>
    <row r="72" spans="2:17" ht="15.75" customHeight="1" x14ac:dyDescent="0.2">
      <c r="B72" s="349" t="s">
        <v>185</v>
      </c>
      <c r="C72" s="350"/>
      <c r="D72" s="351"/>
      <c r="E72" s="349"/>
      <c r="F72" s="358"/>
      <c r="G72" s="298"/>
      <c r="H72" s="299"/>
      <c r="I72" s="299"/>
      <c r="J72" s="299"/>
      <c r="K72" s="300"/>
      <c r="L72" s="352"/>
      <c r="M72" s="353"/>
      <c r="N72" s="354"/>
      <c r="O72" s="355"/>
      <c r="P72" s="359"/>
      <c r="Q72" s="357"/>
    </row>
    <row r="73" spans="2:17" ht="15.75" customHeight="1" x14ac:dyDescent="0.2">
      <c r="B73" s="349" t="s">
        <v>186</v>
      </c>
      <c r="C73" s="350"/>
      <c r="D73" s="351"/>
      <c r="E73" s="349"/>
      <c r="F73" s="358"/>
      <c r="G73" s="298"/>
      <c r="H73" s="299"/>
      <c r="I73" s="299"/>
      <c r="J73" s="299"/>
      <c r="K73" s="300"/>
      <c r="L73" s="352"/>
      <c r="M73" s="353"/>
      <c r="N73" s="354"/>
      <c r="O73" s="355"/>
      <c r="P73" s="359"/>
      <c r="Q73" s="357"/>
    </row>
    <row r="74" spans="2:17" ht="15.75" customHeight="1" x14ac:dyDescent="0.2">
      <c r="B74" s="349" t="s">
        <v>187</v>
      </c>
      <c r="C74" s="350"/>
      <c r="D74" s="351"/>
      <c r="E74" s="349"/>
      <c r="F74" s="358"/>
      <c r="G74" s="298"/>
      <c r="H74" s="299"/>
      <c r="I74" s="299"/>
      <c r="J74" s="299"/>
      <c r="K74" s="300"/>
      <c r="L74" s="352"/>
      <c r="M74" s="353"/>
      <c r="N74" s="354"/>
      <c r="O74" s="355"/>
      <c r="P74" s="359"/>
      <c r="Q74" s="357"/>
    </row>
    <row r="75" spans="2:17" ht="15.75" customHeight="1" x14ac:dyDescent="0.2">
      <c r="B75" s="349" t="s">
        <v>188</v>
      </c>
      <c r="C75" s="350"/>
      <c r="D75" s="351"/>
      <c r="E75" s="349"/>
      <c r="F75" s="358"/>
      <c r="G75" s="298"/>
      <c r="H75" s="299"/>
      <c r="I75" s="299"/>
      <c r="J75" s="299"/>
      <c r="K75" s="300"/>
      <c r="L75" s="352"/>
      <c r="M75" s="353"/>
      <c r="N75" s="354"/>
      <c r="O75" s="355"/>
      <c r="P75" s="359"/>
      <c r="Q75" s="357"/>
    </row>
    <row r="76" spans="2:17" ht="15.75" customHeight="1" x14ac:dyDescent="0.2">
      <c r="B76" s="349" t="s">
        <v>189</v>
      </c>
      <c r="C76" s="350"/>
      <c r="D76" s="351"/>
      <c r="E76" s="349"/>
      <c r="F76" s="358"/>
      <c r="G76" s="298"/>
      <c r="H76" s="299"/>
      <c r="I76" s="299"/>
      <c r="J76" s="299"/>
      <c r="K76" s="300"/>
      <c r="L76" s="352"/>
      <c r="M76" s="353"/>
      <c r="N76" s="354"/>
      <c r="O76" s="355"/>
      <c r="P76" s="359"/>
      <c r="Q76" s="357"/>
    </row>
    <row r="77" spans="2:17" ht="15.75" customHeight="1" x14ac:dyDescent="0.2">
      <c r="B77" s="349" t="s">
        <v>190</v>
      </c>
      <c r="C77" s="350"/>
      <c r="D77" s="351"/>
      <c r="E77" s="349"/>
      <c r="F77" s="358"/>
      <c r="G77" s="298"/>
      <c r="H77" s="299"/>
      <c r="I77" s="299"/>
      <c r="J77" s="299"/>
      <c r="K77" s="300"/>
      <c r="L77" s="352"/>
      <c r="M77" s="353"/>
      <c r="N77" s="354"/>
      <c r="O77" s="355"/>
      <c r="P77" s="359"/>
      <c r="Q77" s="357"/>
    </row>
    <row r="78" spans="2:17" ht="15.75" customHeight="1" x14ac:dyDescent="0.2">
      <c r="B78" s="349" t="s">
        <v>191</v>
      </c>
      <c r="C78" s="350"/>
      <c r="D78" s="351"/>
      <c r="E78" s="349"/>
      <c r="F78" s="358"/>
      <c r="G78" s="298"/>
      <c r="H78" s="299"/>
      <c r="I78" s="299"/>
      <c r="J78" s="299"/>
      <c r="K78" s="300"/>
      <c r="L78" s="352"/>
      <c r="M78" s="353"/>
      <c r="N78" s="354"/>
      <c r="O78" s="355"/>
      <c r="P78" s="359"/>
      <c r="Q78" s="357"/>
    </row>
    <row r="79" spans="2:17" ht="15.75" customHeight="1" x14ac:dyDescent="0.2">
      <c r="B79" s="349" t="s">
        <v>192</v>
      </c>
      <c r="C79" s="350"/>
      <c r="D79" s="351"/>
      <c r="E79" s="349"/>
      <c r="F79" s="358"/>
      <c r="G79" s="298"/>
      <c r="H79" s="299"/>
      <c r="I79" s="299"/>
      <c r="J79" s="299"/>
      <c r="K79" s="300"/>
      <c r="L79" s="352"/>
      <c r="M79" s="353"/>
      <c r="N79" s="354"/>
      <c r="O79" s="355"/>
      <c r="P79" s="359"/>
      <c r="Q79" s="357"/>
    </row>
    <row r="80" spans="2:17" ht="15.75" customHeight="1" x14ac:dyDescent="0.2">
      <c r="B80" s="349" t="s">
        <v>193</v>
      </c>
      <c r="C80" s="350"/>
      <c r="D80" s="351"/>
      <c r="E80" s="349"/>
      <c r="F80" s="358"/>
      <c r="G80" s="298"/>
      <c r="H80" s="299"/>
      <c r="I80" s="299"/>
      <c r="J80" s="299"/>
      <c r="K80" s="300"/>
      <c r="L80" s="352"/>
      <c r="M80" s="353"/>
      <c r="N80" s="354"/>
      <c r="O80" s="355"/>
      <c r="P80" s="359"/>
      <c r="Q80" s="357"/>
    </row>
    <row r="81" spans="2:21" ht="15.75" customHeight="1" x14ac:dyDescent="0.2">
      <c r="B81" s="349" t="s">
        <v>194</v>
      </c>
      <c r="C81" s="350"/>
      <c r="D81" s="351"/>
      <c r="E81" s="349"/>
      <c r="F81" s="358"/>
      <c r="G81" s="298"/>
      <c r="H81" s="299"/>
      <c r="I81" s="299"/>
      <c r="J81" s="299"/>
      <c r="K81" s="300"/>
      <c r="L81" s="352"/>
      <c r="M81" s="353"/>
      <c r="N81" s="354"/>
      <c r="O81" s="355"/>
      <c r="P81" s="359"/>
      <c r="Q81" s="357"/>
    </row>
    <row r="82" spans="2:21" ht="15.75" customHeight="1" x14ac:dyDescent="0.2">
      <c r="B82" s="349" t="s">
        <v>195</v>
      </c>
      <c r="C82" s="350"/>
      <c r="D82" s="351"/>
      <c r="E82" s="349"/>
      <c r="F82" s="358"/>
      <c r="G82" s="298"/>
      <c r="H82" s="299"/>
      <c r="I82" s="299"/>
      <c r="J82" s="299"/>
      <c r="K82" s="300"/>
      <c r="L82" s="352"/>
      <c r="M82" s="353"/>
      <c r="N82" s="354"/>
      <c r="O82" s="355"/>
      <c r="P82" s="359"/>
      <c r="Q82" s="357"/>
    </row>
    <row r="83" spans="2:21" ht="15.75" customHeight="1" x14ac:dyDescent="0.2">
      <c r="B83" s="349" t="s">
        <v>196</v>
      </c>
      <c r="C83" s="350"/>
      <c r="D83" s="351"/>
      <c r="E83" s="349"/>
      <c r="F83" s="358"/>
      <c r="G83" s="298"/>
      <c r="H83" s="299"/>
      <c r="I83" s="299"/>
      <c r="J83" s="299"/>
      <c r="K83" s="300"/>
      <c r="L83" s="352"/>
      <c r="M83" s="353"/>
      <c r="N83" s="354"/>
      <c r="O83" s="355"/>
      <c r="P83" s="359"/>
      <c r="Q83" s="357"/>
    </row>
    <row r="84" spans="2:21" ht="15.75" customHeight="1" x14ac:dyDescent="0.2">
      <c r="B84" s="349" t="s">
        <v>197</v>
      </c>
      <c r="C84" s="350"/>
      <c r="D84" s="351"/>
      <c r="E84" s="349"/>
      <c r="F84" s="358"/>
      <c r="G84" s="298"/>
      <c r="H84" s="299"/>
      <c r="I84" s="299"/>
      <c r="J84" s="299"/>
      <c r="K84" s="300"/>
      <c r="L84" s="352"/>
      <c r="M84" s="353"/>
      <c r="N84" s="354"/>
      <c r="O84" s="355"/>
      <c r="P84" s="359"/>
      <c r="Q84" s="357"/>
    </row>
    <row r="85" spans="2:21" ht="15.75" customHeight="1" x14ac:dyDescent="0.2">
      <c r="B85" s="349" t="s">
        <v>198</v>
      </c>
      <c r="C85" s="350"/>
      <c r="D85" s="351"/>
      <c r="E85" s="349"/>
      <c r="F85" s="358"/>
      <c r="G85" s="298"/>
      <c r="H85" s="299"/>
      <c r="I85" s="299"/>
      <c r="J85" s="299"/>
      <c r="K85" s="300"/>
      <c r="L85" s="352"/>
      <c r="M85" s="353"/>
      <c r="N85" s="354"/>
      <c r="O85" s="355"/>
      <c r="P85" s="359"/>
      <c r="Q85" s="357"/>
    </row>
    <row r="86" spans="2:21" ht="15.75" customHeight="1" x14ac:dyDescent="0.2">
      <c r="B86" s="13" t="s">
        <v>200</v>
      </c>
      <c r="C86" s="101"/>
      <c r="D86" s="42"/>
      <c r="E86" s="13"/>
      <c r="F86" s="43"/>
      <c r="G86" s="209"/>
      <c r="H86" s="46"/>
      <c r="I86" s="46"/>
      <c r="J86" s="46"/>
      <c r="K86" s="80"/>
      <c r="L86" s="81"/>
      <c r="M86" s="49"/>
      <c r="N86" s="50"/>
      <c r="O86" s="82"/>
      <c r="P86" s="181"/>
      <c r="Q86" s="219"/>
      <c r="U86" s="28"/>
    </row>
    <row r="87" spans="2:21" ht="15.75" customHeight="1" x14ac:dyDescent="0.2">
      <c r="B87" s="13" t="s">
        <v>201</v>
      </c>
      <c r="C87" s="101"/>
      <c r="D87" s="42"/>
      <c r="E87" s="13"/>
      <c r="F87" s="43"/>
      <c r="G87" s="209"/>
      <c r="H87" s="46"/>
      <c r="I87" s="46"/>
      <c r="J87" s="46"/>
      <c r="K87" s="80"/>
      <c r="L87" s="81"/>
      <c r="M87" s="49"/>
      <c r="N87" s="50"/>
      <c r="O87" s="82"/>
      <c r="P87" s="181"/>
      <c r="Q87" s="219"/>
    </row>
    <row r="88" spans="2:21" ht="15.75" customHeight="1" x14ac:dyDescent="0.2">
      <c r="B88" s="13" t="s">
        <v>202</v>
      </c>
      <c r="C88" s="101"/>
      <c r="D88" s="42"/>
      <c r="E88" s="13"/>
      <c r="F88" s="43"/>
      <c r="G88" s="209"/>
      <c r="H88" s="46"/>
      <c r="I88" s="46"/>
      <c r="J88" s="46"/>
      <c r="K88" s="80"/>
      <c r="L88" s="81"/>
      <c r="M88" s="49"/>
      <c r="N88" s="50"/>
      <c r="O88" s="82"/>
      <c r="P88" s="181"/>
      <c r="Q88" s="219"/>
      <c r="U88" s="28"/>
    </row>
    <row r="89" spans="2:21" ht="15.75" customHeight="1" x14ac:dyDescent="0.2">
      <c r="B89" s="13" t="s">
        <v>203</v>
      </c>
      <c r="C89" s="101"/>
      <c r="D89" s="42"/>
      <c r="E89" s="13"/>
      <c r="F89" s="43"/>
      <c r="G89" s="209"/>
      <c r="H89" s="46"/>
      <c r="I89" s="46"/>
      <c r="J89" s="46"/>
      <c r="K89" s="80"/>
      <c r="L89" s="81"/>
      <c r="M89" s="49"/>
      <c r="N89" s="50"/>
      <c r="O89" s="82"/>
      <c r="P89" s="181"/>
      <c r="Q89" s="219"/>
    </row>
    <row r="90" spans="2:21" ht="15.75" customHeight="1" x14ac:dyDescent="0.2">
      <c r="B90" s="13" t="s">
        <v>204</v>
      </c>
      <c r="C90" s="101"/>
      <c r="D90" s="42"/>
      <c r="E90" s="13"/>
      <c r="F90" s="43"/>
      <c r="G90" s="209"/>
      <c r="H90" s="46"/>
      <c r="I90" s="46"/>
      <c r="J90" s="46"/>
      <c r="K90" s="80"/>
      <c r="L90" s="81"/>
      <c r="M90" s="49"/>
      <c r="N90" s="50"/>
      <c r="O90" s="82"/>
      <c r="P90" s="181"/>
      <c r="Q90" s="219"/>
      <c r="U90" s="28"/>
    </row>
    <row r="91" spans="2:21" ht="15.75" customHeight="1" x14ac:dyDescent="0.2">
      <c r="B91" s="13" t="s">
        <v>205</v>
      </c>
      <c r="C91" s="101"/>
      <c r="D91" s="42"/>
      <c r="E91" s="13"/>
      <c r="F91" s="43"/>
      <c r="G91" s="209"/>
      <c r="H91" s="46"/>
      <c r="I91" s="46"/>
      <c r="J91" s="46"/>
      <c r="K91" s="80"/>
      <c r="L91" s="81"/>
      <c r="M91" s="49"/>
      <c r="N91" s="50"/>
      <c r="O91" s="82"/>
      <c r="P91" s="181"/>
      <c r="Q91" s="219"/>
    </row>
    <row r="92" spans="2:21" ht="15.75" customHeight="1" thickBot="1" x14ac:dyDescent="0.25">
      <c r="B92" s="228" t="s">
        <v>206</v>
      </c>
      <c r="C92" s="229"/>
      <c r="D92" s="230"/>
      <c r="E92" s="228"/>
      <c r="F92" s="231"/>
      <c r="G92" s="232"/>
      <c r="H92" s="233"/>
      <c r="I92" s="233"/>
      <c r="J92" s="233"/>
      <c r="K92" s="234"/>
      <c r="L92" s="235"/>
      <c r="M92" s="236"/>
      <c r="N92" s="237"/>
      <c r="O92" s="238"/>
      <c r="P92" s="239"/>
      <c r="Q92" s="240"/>
      <c r="U92" s="28"/>
    </row>
    <row r="93" spans="2:21" ht="15.75" customHeight="1" thickBot="1" x14ac:dyDescent="0.25">
      <c r="B93" s="171"/>
      <c r="C93" s="241"/>
      <c r="D93" s="242"/>
      <c r="E93" s="171"/>
      <c r="F93" s="243"/>
      <c r="G93" s="244"/>
      <c r="H93" s="245"/>
      <c r="I93" s="245"/>
      <c r="J93" s="245"/>
      <c r="K93" s="246"/>
      <c r="L93" s="190">
        <f>SUM(L53:L92)</f>
        <v>0</v>
      </c>
      <c r="M93" s="191" t="e">
        <f>AVERAGE(M53:M92)</f>
        <v>#DIV/0!</v>
      </c>
      <c r="N93" s="192">
        <f>SUM(N53:N92)</f>
        <v>0</v>
      </c>
      <c r="O93" s="191" t="e">
        <f>AVERAGE(O53:O92)</f>
        <v>#DIV/0!</v>
      </c>
      <c r="P93" s="193" t="e">
        <f>AVERAGE(P53:P92)</f>
        <v>#DIV/0!</v>
      </c>
      <c r="Q93" s="222"/>
    </row>
    <row r="94" spans="2:21" ht="15.75" customHeight="1" x14ac:dyDescent="0.2">
      <c r="B94" s="15"/>
      <c r="C94" s="15"/>
      <c r="D94" s="174"/>
      <c r="E94" s="15"/>
      <c r="F94" s="15"/>
      <c r="G94" s="15"/>
      <c r="H94" s="175"/>
      <c r="I94" s="175"/>
      <c r="J94" s="175"/>
      <c r="K94" s="175"/>
      <c r="L94" s="176"/>
      <c r="M94" s="177"/>
      <c r="N94" s="176"/>
      <c r="O94" s="177"/>
      <c r="P94" s="178"/>
      <c r="U94" s="28"/>
    </row>
    <row r="95" spans="2:21" ht="15.75" customHeight="1" x14ac:dyDescent="0.2">
      <c r="B95" s="15"/>
      <c r="C95" s="15"/>
      <c r="D95" s="174"/>
      <c r="E95" s="15"/>
      <c r="F95" s="15"/>
      <c r="G95" s="15"/>
      <c r="H95" s="175"/>
      <c r="I95" s="175"/>
      <c r="J95" s="175"/>
      <c r="K95" s="175"/>
      <c r="L95" s="176"/>
      <c r="M95" s="177"/>
      <c r="N95" s="176"/>
      <c r="O95" s="177"/>
      <c r="P95" s="178"/>
    </row>
    <row r="96" spans="2:21" ht="15.75" customHeight="1" x14ac:dyDescent="0.2">
      <c r="B96" s="15"/>
      <c r="C96" s="15"/>
      <c r="D96" s="174"/>
      <c r="E96" s="15"/>
      <c r="F96" s="15"/>
      <c r="G96" s="15"/>
      <c r="H96" s="175"/>
      <c r="I96" s="175"/>
      <c r="J96" s="175"/>
      <c r="K96" s="175"/>
      <c r="L96" s="176"/>
      <c r="M96" s="177"/>
      <c r="N96" s="176"/>
      <c r="O96" s="177"/>
      <c r="P96" s="176"/>
      <c r="U96" s="28"/>
    </row>
    <row r="97" spans="2:50" ht="58.5" customHeight="1" x14ac:dyDescent="0.2"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72"/>
      <c r="N97" s="15"/>
      <c r="O97" s="72"/>
      <c r="P97" s="73"/>
    </row>
    <row r="98" spans="2:50" ht="15" customHeight="1" thickBot="1" x14ac:dyDescent="0.25">
      <c r="B98" s="17" t="s">
        <v>25</v>
      </c>
      <c r="C98" s="17"/>
      <c r="M98" s="90"/>
      <c r="N98" s="90"/>
      <c r="O98" s="90"/>
      <c r="U98" s="28"/>
    </row>
    <row r="99" spans="2:50" s="6" customFormat="1" ht="12" customHeight="1" thickBot="1" x14ac:dyDescent="0.25">
      <c r="B99" s="385" t="s">
        <v>1</v>
      </c>
      <c r="C99" s="387" t="s">
        <v>77</v>
      </c>
      <c r="D99" s="389" t="s">
        <v>104</v>
      </c>
      <c r="E99" s="385" t="s">
        <v>3</v>
      </c>
      <c r="F99" s="391" t="s">
        <v>101</v>
      </c>
      <c r="G99" s="389" t="s">
        <v>5</v>
      </c>
      <c r="H99" s="406"/>
      <c r="I99" s="406"/>
      <c r="J99" s="406"/>
      <c r="K99" s="406"/>
      <c r="L99" s="247" t="s">
        <v>6</v>
      </c>
      <c r="M99" s="248"/>
      <c r="N99" s="248"/>
      <c r="O99" s="248"/>
      <c r="P99" s="248"/>
      <c r="Q99" s="249"/>
      <c r="R99" s="29"/>
      <c r="S99" s="29"/>
      <c r="T99" s="29"/>
      <c r="U99" s="24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</row>
    <row r="100" spans="2:50" s="6" customFormat="1" ht="33" customHeight="1" thickBot="1" x14ac:dyDescent="0.25">
      <c r="B100" s="386"/>
      <c r="C100" s="388"/>
      <c r="D100" s="390"/>
      <c r="E100" s="386"/>
      <c r="F100" s="392"/>
      <c r="G100" s="301" t="s">
        <v>116</v>
      </c>
      <c r="H100" s="153" t="s">
        <v>118</v>
      </c>
      <c r="I100" s="153" t="s">
        <v>120</v>
      </c>
      <c r="J100" s="153" t="s">
        <v>112</v>
      </c>
      <c r="K100" s="154" t="s">
        <v>114</v>
      </c>
      <c r="L100" s="206" t="s">
        <v>18</v>
      </c>
      <c r="M100" s="207" t="s">
        <v>19</v>
      </c>
      <c r="N100" s="207" t="s">
        <v>20</v>
      </c>
      <c r="O100" s="207" t="s">
        <v>21</v>
      </c>
      <c r="P100" s="208" t="s">
        <v>22</v>
      </c>
      <c r="Q100" s="224" t="s">
        <v>106</v>
      </c>
      <c r="R100" s="29"/>
      <c r="S100" s="29"/>
      <c r="T100" s="29"/>
      <c r="U100" s="28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</row>
    <row r="101" spans="2:50" ht="15" customHeight="1" x14ac:dyDescent="0.2">
      <c r="B101" s="12" t="s">
        <v>107</v>
      </c>
      <c r="C101" s="100"/>
      <c r="D101" s="31"/>
      <c r="E101" s="12"/>
      <c r="F101" s="32"/>
      <c r="G101" s="298"/>
      <c r="H101" s="299"/>
      <c r="I101" s="299"/>
      <c r="J101" s="299"/>
      <c r="K101" s="300"/>
      <c r="L101" s="77"/>
      <c r="M101" s="38"/>
      <c r="N101" s="39"/>
      <c r="O101" s="78"/>
      <c r="P101" s="180"/>
      <c r="Q101" s="218"/>
    </row>
    <row r="102" spans="2:50" ht="15" customHeight="1" x14ac:dyDescent="0.2">
      <c r="B102" s="349" t="s">
        <v>108</v>
      </c>
      <c r="C102" s="350"/>
      <c r="D102" s="351"/>
      <c r="E102" s="349"/>
      <c r="F102" s="358"/>
      <c r="G102" s="298"/>
      <c r="H102" s="299"/>
      <c r="I102" s="299"/>
      <c r="J102" s="299"/>
      <c r="K102" s="300"/>
      <c r="L102" s="352"/>
      <c r="M102" s="353"/>
      <c r="N102" s="354"/>
      <c r="O102" s="355"/>
      <c r="P102" s="359"/>
      <c r="Q102" s="357"/>
    </row>
    <row r="103" spans="2:50" ht="15" customHeight="1" x14ac:dyDescent="0.2">
      <c r="B103" s="349" t="s">
        <v>80</v>
      </c>
      <c r="C103" s="350"/>
      <c r="D103" s="351"/>
      <c r="E103" s="349"/>
      <c r="F103" s="358"/>
      <c r="G103" s="298"/>
      <c r="H103" s="299"/>
      <c r="I103" s="299"/>
      <c r="J103" s="299"/>
      <c r="K103" s="300"/>
      <c r="L103" s="352"/>
      <c r="M103" s="353"/>
      <c r="N103" s="354"/>
      <c r="O103" s="355"/>
      <c r="P103" s="359"/>
      <c r="Q103" s="357"/>
    </row>
    <row r="104" spans="2:50" ht="15" customHeight="1" x14ac:dyDescent="0.2">
      <c r="B104" s="349" t="s">
        <v>81</v>
      </c>
      <c r="C104" s="350"/>
      <c r="D104" s="351"/>
      <c r="E104" s="349"/>
      <c r="F104" s="358"/>
      <c r="G104" s="298"/>
      <c r="H104" s="299"/>
      <c r="I104" s="299"/>
      <c r="J104" s="299"/>
      <c r="K104" s="300"/>
      <c r="L104" s="352"/>
      <c r="M104" s="353"/>
      <c r="N104" s="354"/>
      <c r="O104" s="355"/>
      <c r="P104" s="359"/>
      <c r="Q104" s="357"/>
    </row>
    <row r="105" spans="2:50" ht="15" customHeight="1" x14ac:dyDescent="0.2">
      <c r="B105" s="349" t="s">
        <v>82</v>
      </c>
      <c r="C105" s="350"/>
      <c r="D105" s="351"/>
      <c r="E105" s="349"/>
      <c r="F105" s="358"/>
      <c r="G105" s="298"/>
      <c r="H105" s="299"/>
      <c r="I105" s="299"/>
      <c r="J105" s="299"/>
      <c r="K105" s="300"/>
      <c r="L105" s="352"/>
      <c r="M105" s="353"/>
      <c r="N105" s="354"/>
      <c r="O105" s="355"/>
      <c r="P105" s="359"/>
      <c r="Q105" s="357"/>
    </row>
    <row r="106" spans="2:50" ht="15" customHeight="1" x14ac:dyDescent="0.2">
      <c r="B106" s="349" t="s">
        <v>83</v>
      </c>
      <c r="C106" s="350"/>
      <c r="D106" s="351"/>
      <c r="E106" s="349"/>
      <c r="F106" s="358"/>
      <c r="G106" s="298"/>
      <c r="H106" s="299"/>
      <c r="I106" s="299"/>
      <c r="J106" s="299"/>
      <c r="K106" s="300"/>
      <c r="L106" s="352"/>
      <c r="M106" s="353"/>
      <c r="N106" s="354"/>
      <c r="O106" s="355"/>
      <c r="P106" s="359"/>
      <c r="Q106" s="357"/>
    </row>
    <row r="107" spans="2:50" ht="15" customHeight="1" x14ac:dyDescent="0.2">
      <c r="B107" s="349" t="s">
        <v>84</v>
      </c>
      <c r="C107" s="350"/>
      <c r="D107" s="351"/>
      <c r="E107" s="349"/>
      <c r="F107" s="358"/>
      <c r="G107" s="298"/>
      <c r="H107" s="299"/>
      <c r="I107" s="299"/>
      <c r="J107" s="299"/>
      <c r="K107" s="300"/>
      <c r="L107" s="352"/>
      <c r="M107" s="353"/>
      <c r="N107" s="354"/>
      <c r="O107" s="355"/>
      <c r="P107" s="359"/>
      <c r="Q107" s="357"/>
    </row>
    <row r="108" spans="2:50" ht="15" customHeight="1" x14ac:dyDescent="0.2">
      <c r="B108" s="349" t="s">
        <v>85</v>
      </c>
      <c r="C108" s="350"/>
      <c r="D108" s="351"/>
      <c r="E108" s="349"/>
      <c r="F108" s="358"/>
      <c r="G108" s="298"/>
      <c r="H108" s="299"/>
      <c r="I108" s="299"/>
      <c r="J108" s="299"/>
      <c r="K108" s="300"/>
      <c r="L108" s="352"/>
      <c r="M108" s="353"/>
      <c r="N108" s="354"/>
      <c r="O108" s="355"/>
      <c r="P108" s="359"/>
      <c r="Q108" s="357"/>
    </row>
    <row r="109" spans="2:50" ht="15" customHeight="1" x14ac:dyDescent="0.2">
      <c r="B109" s="349" t="s">
        <v>86</v>
      </c>
      <c r="C109" s="350"/>
      <c r="D109" s="351"/>
      <c r="E109" s="349"/>
      <c r="F109" s="358"/>
      <c r="G109" s="298"/>
      <c r="H109" s="299"/>
      <c r="I109" s="299"/>
      <c r="J109" s="299"/>
      <c r="K109" s="300"/>
      <c r="L109" s="352"/>
      <c r="M109" s="353"/>
      <c r="N109" s="354"/>
      <c r="O109" s="355"/>
      <c r="P109" s="359"/>
      <c r="Q109" s="357"/>
    </row>
    <row r="110" spans="2:50" ht="15" customHeight="1" x14ac:dyDescent="0.2">
      <c r="B110" s="349" t="s">
        <v>87</v>
      </c>
      <c r="C110" s="350"/>
      <c r="D110" s="351"/>
      <c r="E110" s="349"/>
      <c r="F110" s="358"/>
      <c r="G110" s="298"/>
      <c r="H110" s="299"/>
      <c r="I110" s="299"/>
      <c r="J110" s="299"/>
      <c r="K110" s="300"/>
      <c r="L110" s="352"/>
      <c r="M110" s="353"/>
      <c r="N110" s="354"/>
      <c r="O110" s="355"/>
      <c r="P110" s="359"/>
      <c r="Q110" s="357"/>
    </row>
    <row r="111" spans="2:50" ht="15" customHeight="1" x14ac:dyDescent="0.2">
      <c r="B111" s="349" t="s">
        <v>176</v>
      </c>
      <c r="C111" s="350"/>
      <c r="D111" s="351"/>
      <c r="E111" s="349"/>
      <c r="F111" s="358"/>
      <c r="G111" s="298"/>
      <c r="H111" s="299"/>
      <c r="I111" s="299"/>
      <c r="J111" s="299"/>
      <c r="K111" s="300"/>
      <c r="L111" s="352"/>
      <c r="M111" s="353"/>
      <c r="N111" s="354"/>
      <c r="O111" s="355"/>
      <c r="P111" s="359"/>
      <c r="Q111" s="357"/>
    </row>
    <row r="112" spans="2:50" ht="15" customHeight="1" x14ac:dyDescent="0.2">
      <c r="B112" s="349" t="s">
        <v>177</v>
      </c>
      <c r="C112" s="350"/>
      <c r="D112" s="351"/>
      <c r="E112" s="349"/>
      <c r="F112" s="358"/>
      <c r="G112" s="298"/>
      <c r="H112" s="299"/>
      <c r="I112" s="299"/>
      <c r="J112" s="299"/>
      <c r="K112" s="300"/>
      <c r="L112" s="352"/>
      <c r="M112" s="353"/>
      <c r="N112" s="354"/>
      <c r="O112" s="355"/>
      <c r="P112" s="359"/>
      <c r="Q112" s="357"/>
    </row>
    <row r="113" spans="2:17" ht="15" customHeight="1" x14ac:dyDescent="0.2">
      <c r="B113" s="349" t="s">
        <v>178</v>
      </c>
      <c r="C113" s="350"/>
      <c r="D113" s="351"/>
      <c r="E113" s="349"/>
      <c r="F113" s="358"/>
      <c r="G113" s="298"/>
      <c r="H113" s="299"/>
      <c r="I113" s="299"/>
      <c r="J113" s="299"/>
      <c r="K113" s="300"/>
      <c r="L113" s="352"/>
      <c r="M113" s="353"/>
      <c r="N113" s="354"/>
      <c r="O113" s="355"/>
      <c r="P113" s="359"/>
      <c r="Q113" s="357"/>
    </row>
    <row r="114" spans="2:17" ht="15" customHeight="1" x14ac:dyDescent="0.2">
      <c r="B114" s="349" t="s">
        <v>179</v>
      </c>
      <c r="C114" s="350"/>
      <c r="D114" s="351"/>
      <c r="E114" s="349"/>
      <c r="F114" s="358"/>
      <c r="G114" s="298"/>
      <c r="H114" s="299"/>
      <c r="I114" s="299"/>
      <c r="J114" s="299"/>
      <c r="K114" s="300"/>
      <c r="L114" s="352"/>
      <c r="M114" s="353"/>
      <c r="N114" s="354"/>
      <c r="O114" s="355"/>
      <c r="P114" s="359"/>
      <c r="Q114" s="357"/>
    </row>
    <row r="115" spans="2:17" ht="15" customHeight="1" x14ac:dyDescent="0.2">
      <c r="B115" s="349" t="s">
        <v>180</v>
      </c>
      <c r="C115" s="350"/>
      <c r="D115" s="351"/>
      <c r="E115" s="349"/>
      <c r="F115" s="358"/>
      <c r="G115" s="298"/>
      <c r="H115" s="299"/>
      <c r="I115" s="299"/>
      <c r="J115" s="299"/>
      <c r="K115" s="300"/>
      <c r="L115" s="352"/>
      <c r="M115" s="353"/>
      <c r="N115" s="354"/>
      <c r="O115" s="355"/>
      <c r="P115" s="359"/>
      <c r="Q115" s="357"/>
    </row>
    <row r="116" spans="2:17" ht="15" customHeight="1" x14ac:dyDescent="0.2">
      <c r="B116" s="349" t="s">
        <v>181</v>
      </c>
      <c r="C116" s="350"/>
      <c r="D116" s="351"/>
      <c r="E116" s="349"/>
      <c r="F116" s="358"/>
      <c r="G116" s="298"/>
      <c r="H116" s="299"/>
      <c r="I116" s="299"/>
      <c r="J116" s="299"/>
      <c r="K116" s="300"/>
      <c r="L116" s="352"/>
      <c r="M116" s="353"/>
      <c r="N116" s="354"/>
      <c r="O116" s="355"/>
      <c r="P116" s="359"/>
      <c r="Q116" s="357"/>
    </row>
    <row r="117" spans="2:17" ht="15" customHeight="1" x14ac:dyDescent="0.2">
      <c r="B117" s="349" t="s">
        <v>182</v>
      </c>
      <c r="C117" s="350"/>
      <c r="D117" s="351"/>
      <c r="E117" s="349"/>
      <c r="F117" s="358"/>
      <c r="G117" s="298"/>
      <c r="H117" s="299"/>
      <c r="I117" s="299"/>
      <c r="J117" s="299"/>
      <c r="K117" s="300"/>
      <c r="L117" s="352"/>
      <c r="M117" s="353"/>
      <c r="N117" s="354"/>
      <c r="O117" s="355"/>
      <c r="P117" s="359"/>
      <c r="Q117" s="357"/>
    </row>
    <row r="118" spans="2:17" ht="15" customHeight="1" x14ac:dyDescent="0.2">
      <c r="B118" s="349" t="s">
        <v>183</v>
      </c>
      <c r="C118" s="350"/>
      <c r="D118" s="351"/>
      <c r="E118" s="349"/>
      <c r="F118" s="358"/>
      <c r="G118" s="298"/>
      <c r="H118" s="299"/>
      <c r="I118" s="299"/>
      <c r="J118" s="299"/>
      <c r="K118" s="300"/>
      <c r="L118" s="352"/>
      <c r="M118" s="353"/>
      <c r="N118" s="354"/>
      <c r="O118" s="355"/>
      <c r="P118" s="359"/>
      <c r="Q118" s="357"/>
    </row>
    <row r="119" spans="2:17" ht="15" customHeight="1" x14ac:dyDescent="0.2">
      <c r="B119" s="349" t="s">
        <v>184</v>
      </c>
      <c r="C119" s="350"/>
      <c r="D119" s="351"/>
      <c r="E119" s="349"/>
      <c r="F119" s="358"/>
      <c r="G119" s="298"/>
      <c r="H119" s="299"/>
      <c r="I119" s="299"/>
      <c r="J119" s="299"/>
      <c r="K119" s="300"/>
      <c r="L119" s="352"/>
      <c r="M119" s="353"/>
      <c r="N119" s="354"/>
      <c r="O119" s="355"/>
      <c r="P119" s="359"/>
      <c r="Q119" s="357"/>
    </row>
    <row r="120" spans="2:17" ht="15" customHeight="1" x14ac:dyDescent="0.2">
      <c r="B120" s="349" t="s">
        <v>185</v>
      </c>
      <c r="C120" s="350"/>
      <c r="D120" s="351"/>
      <c r="E120" s="349"/>
      <c r="F120" s="358"/>
      <c r="G120" s="298"/>
      <c r="H120" s="299"/>
      <c r="I120" s="299"/>
      <c r="J120" s="299"/>
      <c r="K120" s="300"/>
      <c r="L120" s="352"/>
      <c r="M120" s="353"/>
      <c r="N120" s="354"/>
      <c r="O120" s="355"/>
      <c r="P120" s="359"/>
      <c r="Q120" s="357"/>
    </row>
    <row r="121" spans="2:17" ht="15" customHeight="1" x14ac:dyDescent="0.2">
      <c r="B121" s="349" t="s">
        <v>186</v>
      </c>
      <c r="C121" s="350"/>
      <c r="D121" s="351"/>
      <c r="E121" s="349"/>
      <c r="F121" s="358"/>
      <c r="G121" s="298"/>
      <c r="H121" s="299"/>
      <c r="I121" s="299"/>
      <c r="J121" s="299"/>
      <c r="K121" s="300"/>
      <c r="L121" s="352"/>
      <c r="M121" s="353"/>
      <c r="N121" s="354"/>
      <c r="O121" s="355"/>
      <c r="P121" s="359"/>
      <c r="Q121" s="357"/>
    </row>
    <row r="122" spans="2:17" ht="15" customHeight="1" x14ac:dyDescent="0.2">
      <c r="B122" s="349" t="s">
        <v>187</v>
      </c>
      <c r="C122" s="350"/>
      <c r="D122" s="351"/>
      <c r="E122" s="349"/>
      <c r="F122" s="358"/>
      <c r="G122" s="298"/>
      <c r="H122" s="299"/>
      <c r="I122" s="299"/>
      <c r="J122" s="299"/>
      <c r="K122" s="300"/>
      <c r="L122" s="352"/>
      <c r="M122" s="353"/>
      <c r="N122" s="354"/>
      <c r="O122" s="355"/>
      <c r="P122" s="359"/>
      <c r="Q122" s="357"/>
    </row>
    <row r="123" spans="2:17" ht="15" customHeight="1" x14ac:dyDescent="0.2">
      <c r="B123" s="349" t="s">
        <v>188</v>
      </c>
      <c r="C123" s="350"/>
      <c r="D123" s="351"/>
      <c r="E123" s="349"/>
      <c r="F123" s="358"/>
      <c r="G123" s="298"/>
      <c r="H123" s="299"/>
      <c r="I123" s="299"/>
      <c r="J123" s="299"/>
      <c r="K123" s="300"/>
      <c r="L123" s="352"/>
      <c r="M123" s="353"/>
      <c r="N123" s="354"/>
      <c r="O123" s="355"/>
      <c r="P123" s="359"/>
      <c r="Q123" s="357"/>
    </row>
    <row r="124" spans="2:17" ht="15" customHeight="1" x14ac:dyDescent="0.2">
      <c r="B124" s="349" t="s">
        <v>189</v>
      </c>
      <c r="C124" s="350"/>
      <c r="D124" s="351"/>
      <c r="E124" s="349"/>
      <c r="F124" s="358"/>
      <c r="G124" s="298"/>
      <c r="H124" s="299"/>
      <c r="I124" s="299"/>
      <c r="J124" s="299"/>
      <c r="K124" s="300"/>
      <c r="L124" s="352"/>
      <c r="M124" s="353"/>
      <c r="N124" s="354"/>
      <c r="O124" s="355"/>
      <c r="P124" s="359"/>
      <c r="Q124" s="357"/>
    </row>
    <row r="125" spans="2:17" ht="15" customHeight="1" x14ac:dyDescent="0.2">
      <c r="B125" s="349" t="s">
        <v>190</v>
      </c>
      <c r="C125" s="350"/>
      <c r="D125" s="351"/>
      <c r="E125" s="349"/>
      <c r="F125" s="358"/>
      <c r="G125" s="298"/>
      <c r="H125" s="299"/>
      <c r="I125" s="299"/>
      <c r="J125" s="299"/>
      <c r="K125" s="300"/>
      <c r="L125" s="352"/>
      <c r="M125" s="353"/>
      <c r="N125" s="354"/>
      <c r="O125" s="355"/>
      <c r="P125" s="359"/>
      <c r="Q125" s="357"/>
    </row>
    <row r="126" spans="2:17" ht="15" customHeight="1" x14ac:dyDescent="0.2">
      <c r="B126" s="349" t="s">
        <v>191</v>
      </c>
      <c r="C126" s="350"/>
      <c r="D126" s="351"/>
      <c r="E126" s="349"/>
      <c r="F126" s="358"/>
      <c r="G126" s="298"/>
      <c r="H126" s="299"/>
      <c r="I126" s="299"/>
      <c r="J126" s="299"/>
      <c r="K126" s="300"/>
      <c r="L126" s="352"/>
      <c r="M126" s="353"/>
      <c r="N126" s="354"/>
      <c r="O126" s="355"/>
      <c r="P126" s="359"/>
      <c r="Q126" s="357"/>
    </row>
    <row r="127" spans="2:17" ht="15" customHeight="1" x14ac:dyDescent="0.2">
      <c r="B127" s="349" t="s">
        <v>192</v>
      </c>
      <c r="C127" s="350"/>
      <c r="D127" s="351"/>
      <c r="E127" s="349"/>
      <c r="F127" s="358"/>
      <c r="G127" s="298"/>
      <c r="H127" s="299"/>
      <c r="I127" s="299"/>
      <c r="J127" s="299"/>
      <c r="K127" s="300"/>
      <c r="L127" s="352"/>
      <c r="M127" s="353"/>
      <c r="N127" s="354"/>
      <c r="O127" s="355"/>
      <c r="P127" s="359"/>
      <c r="Q127" s="357"/>
    </row>
    <row r="128" spans="2:17" ht="15" customHeight="1" x14ac:dyDescent="0.2">
      <c r="B128" s="349" t="s">
        <v>193</v>
      </c>
      <c r="C128" s="350"/>
      <c r="D128" s="351"/>
      <c r="E128" s="349"/>
      <c r="F128" s="358"/>
      <c r="G128" s="298"/>
      <c r="H128" s="299"/>
      <c r="I128" s="299"/>
      <c r="J128" s="299"/>
      <c r="K128" s="300"/>
      <c r="L128" s="352"/>
      <c r="M128" s="353"/>
      <c r="N128" s="354"/>
      <c r="O128" s="355"/>
      <c r="P128" s="359"/>
      <c r="Q128" s="357"/>
    </row>
    <row r="129" spans="2:21" ht="15" customHeight="1" x14ac:dyDescent="0.2">
      <c r="B129" s="349" t="s">
        <v>194</v>
      </c>
      <c r="C129" s="350"/>
      <c r="D129" s="351"/>
      <c r="E129" s="349"/>
      <c r="F129" s="358"/>
      <c r="G129" s="298"/>
      <c r="H129" s="299"/>
      <c r="I129" s="299"/>
      <c r="J129" s="299"/>
      <c r="K129" s="300"/>
      <c r="L129" s="352"/>
      <c r="M129" s="353"/>
      <c r="N129" s="354"/>
      <c r="O129" s="355"/>
      <c r="P129" s="359"/>
      <c r="Q129" s="357"/>
    </row>
    <row r="130" spans="2:21" ht="15" customHeight="1" x14ac:dyDescent="0.2">
      <c r="B130" s="349" t="s">
        <v>195</v>
      </c>
      <c r="C130" s="350"/>
      <c r="D130" s="351"/>
      <c r="E130" s="349"/>
      <c r="F130" s="358"/>
      <c r="G130" s="298"/>
      <c r="H130" s="299"/>
      <c r="I130" s="299"/>
      <c r="J130" s="299"/>
      <c r="K130" s="300"/>
      <c r="L130" s="352"/>
      <c r="M130" s="353"/>
      <c r="N130" s="354"/>
      <c r="O130" s="355"/>
      <c r="P130" s="359"/>
      <c r="Q130" s="357"/>
    </row>
    <row r="131" spans="2:21" ht="15" customHeight="1" x14ac:dyDescent="0.2">
      <c r="B131" s="349" t="s">
        <v>196</v>
      </c>
      <c r="C131" s="350"/>
      <c r="D131" s="351"/>
      <c r="E131" s="349"/>
      <c r="F131" s="358"/>
      <c r="G131" s="298"/>
      <c r="H131" s="299"/>
      <c r="I131" s="299"/>
      <c r="J131" s="299"/>
      <c r="K131" s="300"/>
      <c r="L131" s="352"/>
      <c r="M131" s="353"/>
      <c r="N131" s="354"/>
      <c r="O131" s="355"/>
      <c r="P131" s="359"/>
      <c r="Q131" s="357"/>
    </row>
    <row r="132" spans="2:21" ht="15" customHeight="1" x14ac:dyDescent="0.2">
      <c r="B132" s="13" t="s">
        <v>197</v>
      </c>
      <c r="C132" s="101"/>
      <c r="D132" s="42"/>
      <c r="E132" s="13"/>
      <c r="F132" s="43"/>
      <c r="G132" s="209"/>
      <c r="H132" s="46"/>
      <c r="I132" s="46"/>
      <c r="J132" s="46"/>
      <c r="K132" s="80"/>
      <c r="L132" s="81"/>
      <c r="M132" s="49"/>
      <c r="N132" s="50"/>
      <c r="O132" s="82"/>
      <c r="P132" s="181"/>
      <c r="Q132" s="219"/>
      <c r="U132" s="28"/>
    </row>
    <row r="133" spans="2:21" ht="15" customHeight="1" x14ac:dyDescent="0.2">
      <c r="B133" s="13" t="s">
        <v>198</v>
      </c>
      <c r="C133" s="101"/>
      <c r="D133" s="42"/>
      <c r="E133" s="13"/>
      <c r="F133" s="43"/>
      <c r="G133" s="209"/>
      <c r="H133" s="46"/>
      <c r="I133" s="46"/>
      <c r="J133" s="46"/>
      <c r="K133" s="80"/>
      <c r="L133" s="81"/>
      <c r="M133" s="49"/>
      <c r="N133" s="50"/>
      <c r="O133" s="82"/>
      <c r="P133" s="181"/>
      <c r="Q133" s="219"/>
    </row>
    <row r="134" spans="2:21" ht="15" customHeight="1" x14ac:dyDescent="0.2">
      <c r="B134" s="13" t="s">
        <v>200</v>
      </c>
      <c r="C134" s="101"/>
      <c r="D134" s="42"/>
      <c r="E134" s="13"/>
      <c r="F134" s="43"/>
      <c r="G134" s="209"/>
      <c r="H134" s="46"/>
      <c r="I134" s="46"/>
      <c r="J134" s="46"/>
      <c r="K134" s="80"/>
      <c r="L134" s="81"/>
      <c r="M134" s="49"/>
      <c r="N134" s="50"/>
      <c r="O134" s="82"/>
      <c r="P134" s="181"/>
      <c r="Q134" s="219"/>
    </row>
    <row r="135" spans="2:21" ht="15" customHeight="1" x14ac:dyDescent="0.2">
      <c r="B135" s="13" t="s">
        <v>201</v>
      </c>
      <c r="C135" s="101"/>
      <c r="D135" s="42"/>
      <c r="E135" s="13"/>
      <c r="F135" s="43"/>
      <c r="G135" s="209"/>
      <c r="H135" s="46"/>
      <c r="I135" s="46"/>
      <c r="J135" s="46"/>
      <c r="K135" s="80"/>
      <c r="L135" s="81"/>
      <c r="M135" s="49"/>
      <c r="N135" s="50"/>
      <c r="O135" s="82"/>
      <c r="P135" s="181"/>
      <c r="Q135" s="219"/>
    </row>
    <row r="136" spans="2:21" ht="15" customHeight="1" x14ac:dyDescent="0.2">
      <c r="B136" s="13" t="s">
        <v>202</v>
      </c>
      <c r="C136" s="101"/>
      <c r="D136" s="42"/>
      <c r="E136" s="13"/>
      <c r="F136" s="43"/>
      <c r="G136" s="209"/>
      <c r="H136" s="46"/>
      <c r="I136" s="46"/>
      <c r="J136" s="46"/>
      <c r="K136" s="80"/>
      <c r="L136" s="81"/>
      <c r="M136" s="49"/>
      <c r="N136" s="50"/>
      <c r="O136" s="82"/>
      <c r="P136" s="181"/>
      <c r="Q136" s="219"/>
      <c r="U136" s="28"/>
    </row>
    <row r="137" spans="2:21" ht="15" customHeight="1" x14ac:dyDescent="0.2">
      <c r="B137" s="13" t="s">
        <v>203</v>
      </c>
      <c r="C137" s="101"/>
      <c r="D137" s="42"/>
      <c r="E137" s="13"/>
      <c r="F137" s="43"/>
      <c r="G137" s="209"/>
      <c r="H137" s="46"/>
      <c r="I137" s="46"/>
      <c r="J137" s="46"/>
      <c r="K137" s="80"/>
      <c r="L137" s="81"/>
      <c r="M137" s="49"/>
      <c r="N137" s="50"/>
      <c r="O137" s="82"/>
      <c r="P137" s="181"/>
      <c r="Q137" s="219"/>
    </row>
    <row r="138" spans="2:21" ht="15" customHeight="1" x14ac:dyDescent="0.2">
      <c r="B138" s="13" t="s">
        <v>204</v>
      </c>
      <c r="C138" s="101"/>
      <c r="D138" s="42"/>
      <c r="E138" s="13"/>
      <c r="F138" s="43"/>
      <c r="G138" s="209"/>
      <c r="H138" s="46"/>
      <c r="I138" s="46"/>
      <c r="J138" s="46"/>
      <c r="K138" s="80"/>
      <c r="L138" s="81"/>
      <c r="M138" s="49"/>
      <c r="N138" s="50"/>
      <c r="O138" s="82"/>
      <c r="P138" s="181"/>
      <c r="Q138" s="219"/>
      <c r="U138" s="28"/>
    </row>
    <row r="139" spans="2:21" ht="15" customHeight="1" x14ac:dyDescent="0.2">
      <c r="B139" s="13" t="s">
        <v>205</v>
      </c>
      <c r="C139" s="101"/>
      <c r="D139" s="42"/>
      <c r="E139" s="13"/>
      <c r="F139" s="43"/>
      <c r="G139" s="209"/>
      <c r="H139" s="46"/>
      <c r="I139" s="46"/>
      <c r="J139" s="46"/>
      <c r="K139" s="80"/>
      <c r="L139" s="81"/>
      <c r="M139" s="49"/>
      <c r="N139" s="50"/>
      <c r="O139" s="82"/>
      <c r="P139" s="181"/>
      <c r="Q139" s="219"/>
    </row>
    <row r="140" spans="2:21" ht="15" customHeight="1" thickBot="1" x14ac:dyDescent="0.25">
      <c r="B140" s="228" t="s">
        <v>206</v>
      </c>
      <c r="C140" s="229"/>
      <c r="D140" s="230"/>
      <c r="E140" s="228"/>
      <c r="F140" s="231"/>
      <c r="G140" s="232"/>
      <c r="H140" s="233"/>
      <c r="I140" s="233"/>
      <c r="J140" s="233"/>
      <c r="K140" s="234"/>
      <c r="L140" s="235"/>
      <c r="M140" s="236"/>
      <c r="N140" s="237"/>
      <c r="O140" s="238"/>
      <c r="P140" s="239"/>
      <c r="Q140" s="240"/>
      <c r="U140" s="28"/>
    </row>
    <row r="141" spans="2:21" ht="15" customHeight="1" thickBot="1" x14ac:dyDescent="0.25">
      <c r="B141" s="171"/>
      <c r="C141" s="241"/>
      <c r="D141" s="242"/>
      <c r="E141" s="171"/>
      <c r="F141" s="243"/>
      <c r="G141" s="244"/>
      <c r="H141" s="245"/>
      <c r="I141" s="245"/>
      <c r="J141" s="245"/>
      <c r="K141" s="246"/>
      <c r="L141" s="190">
        <f>SUM(L101:L140)</f>
        <v>0</v>
      </c>
      <c r="M141" s="191" t="e">
        <f>AVERAGE(M101:M140)</f>
        <v>#DIV/0!</v>
      </c>
      <c r="N141" s="192">
        <f>SUM(N101:N140)</f>
        <v>0</v>
      </c>
      <c r="O141" s="191" t="e">
        <f>AVERAGE(O101:O140)</f>
        <v>#DIV/0!</v>
      </c>
      <c r="P141" s="193" t="e">
        <f>AVERAGE(P101:P140)</f>
        <v>#DIV/0!</v>
      </c>
      <c r="Q141" s="222"/>
    </row>
    <row r="142" spans="2:21" ht="15" customHeight="1" x14ac:dyDescent="0.2">
      <c r="B142" s="15"/>
      <c r="C142" s="15"/>
      <c r="D142" s="174"/>
      <c r="E142" s="15"/>
      <c r="F142" s="15"/>
      <c r="G142" s="15"/>
      <c r="H142" s="175"/>
      <c r="I142" s="175"/>
      <c r="J142" s="175"/>
      <c r="K142" s="175"/>
      <c r="L142" s="176"/>
      <c r="M142" s="177"/>
      <c r="N142" s="176"/>
      <c r="O142" s="177"/>
      <c r="P142" s="178"/>
      <c r="U142" s="28"/>
    </row>
    <row r="143" spans="2:21" ht="15" customHeight="1" x14ac:dyDescent="0.2">
      <c r="B143" s="15"/>
      <c r="C143" s="15"/>
      <c r="D143" s="174"/>
      <c r="E143" s="15"/>
      <c r="F143" s="15"/>
      <c r="G143" s="15"/>
      <c r="H143" s="175"/>
      <c r="I143" s="175"/>
      <c r="J143" s="175"/>
      <c r="K143" s="175"/>
      <c r="L143" s="176"/>
      <c r="M143" s="177"/>
      <c r="N143" s="176"/>
      <c r="O143" s="177"/>
      <c r="P143" s="178"/>
    </row>
    <row r="144" spans="2:21" ht="15" customHeight="1" x14ac:dyDescent="0.2">
      <c r="B144" s="15"/>
      <c r="C144" s="15"/>
      <c r="D144" s="15"/>
      <c r="E144" s="15"/>
      <c r="F144" s="15"/>
      <c r="G144" s="15"/>
      <c r="H144" s="175"/>
      <c r="I144" s="175"/>
      <c r="J144" s="175"/>
      <c r="K144" s="175"/>
      <c r="L144" s="176"/>
      <c r="M144" s="177"/>
      <c r="N144" s="176"/>
      <c r="O144" s="177"/>
      <c r="P144" s="179"/>
      <c r="U144" s="28"/>
    </row>
    <row r="145" spans="1:21" s="24" customFormat="1" ht="11.25" customHeight="1" x14ac:dyDescent="0.2">
      <c r="A145" s="1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72"/>
      <c r="N145" s="15"/>
      <c r="O145" s="72"/>
      <c r="P145" s="73"/>
      <c r="Q145" s="1"/>
    </row>
    <row r="146" spans="1:21" s="24" customFormat="1" ht="15.75" customHeight="1" thickBot="1" x14ac:dyDescent="0.25">
      <c r="A146" s="1"/>
      <c r="B146" s="17" t="s">
        <v>72</v>
      </c>
      <c r="C146" s="17"/>
      <c r="D146" s="1"/>
      <c r="E146" s="1"/>
      <c r="F146" s="1"/>
      <c r="G146" s="1"/>
      <c r="H146" s="1"/>
      <c r="I146" s="1"/>
      <c r="J146" s="1"/>
      <c r="K146" s="1"/>
      <c r="L146" s="1"/>
      <c r="M146" s="90"/>
      <c r="N146" s="90"/>
      <c r="O146" s="90"/>
      <c r="P146" s="91"/>
      <c r="Q146" s="1"/>
      <c r="U146" s="28"/>
    </row>
    <row r="147" spans="1:21" s="24" customFormat="1" ht="15.75" customHeight="1" thickBot="1" x14ac:dyDescent="0.25">
      <c r="A147" s="1"/>
      <c r="B147" s="385" t="s">
        <v>1</v>
      </c>
      <c r="C147" s="387" t="s">
        <v>77</v>
      </c>
      <c r="D147" s="389" t="s">
        <v>104</v>
      </c>
      <c r="E147" s="385" t="s">
        <v>3</v>
      </c>
      <c r="F147" s="391" t="s">
        <v>101</v>
      </c>
      <c r="G147" s="389" t="s">
        <v>5</v>
      </c>
      <c r="H147" s="406"/>
      <c r="I147" s="406"/>
      <c r="J147" s="406"/>
      <c r="K147" s="406"/>
      <c r="L147" s="247" t="s">
        <v>6</v>
      </c>
      <c r="M147" s="248"/>
      <c r="N147" s="248"/>
      <c r="O147" s="248"/>
      <c r="P147" s="248"/>
      <c r="Q147" s="249"/>
    </row>
    <row r="148" spans="1:21" s="24" customFormat="1" ht="33" customHeight="1" thickBot="1" x14ac:dyDescent="0.25">
      <c r="A148" s="1"/>
      <c r="B148" s="386"/>
      <c r="C148" s="388"/>
      <c r="D148" s="390"/>
      <c r="E148" s="386"/>
      <c r="F148" s="392"/>
      <c r="G148" s="301" t="s">
        <v>116</v>
      </c>
      <c r="H148" s="153" t="s">
        <v>118</v>
      </c>
      <c r="I148" s="153" t="s">
        <v>120</v>
      </c>
      <c r="J148" s="153" t="s">
        <v>112</v>
      </c>
      <c r="K148" s="154" t="s">
        <v>114</v>
      </c>
      <c r="L148" s="206" t="s">
        <v>18</v>
      </c>
      <c r="M148" s="207" t="s">
        <v>19</v>
      </c>
      <c r="N148" s="207" t="s">
        <v>20</v>
      </c>
      <c r="O148" s="207" t="s">
        <v>21</v>
      </c>
      <c r="P148" s="208" t="s">
        <v>22</v>
      </c>
      <c r="Q148" s="224" t="s">
        <v>106</v>
      </c>
      <c r="U148" s="28"/>
    </row>
    <row r="149" spans="1:21" s="24" customFormat="1" ht="15.75" customHeight="1" x14ac:dyDescent="0.2">
      <c r="A149" s="1"/>
      <c r="B149" s="12" t="s">
        <v>107</v>
      </c>
      <c r="C149" s="100"/>
      <c r="D149" s="31"/>
      <c r="E149" s="12"/>
      <c r="F149" s="32"/>
      <c r="G149" s="298"/>
      <c r="H149" s="299"/>
      <c r="I149" s="299"/>
      <c r="J149" s="299"/>
      <c r="K149" s="300"/>
      <c r="L149" s="77"/>
      <c r="M149" s="38"/>
      <c r="N149" s="39"/>
      <c r="O149" s="78"/>
      <c r="P149" s="180"/>
      <c r="Q149" s="218"/>
    </row>
    <row r="150" spans="1:21" s="24" customFormat="1" ht="15.75" customHeight="1" x14ac:dyDescent="0.2">
      <c r="A150" s="1"/>
      <c r="B150" s="349" t="s">
        <v>108</v>
      </c>
      <c r="C150" s="350"/>
      <c r="D150" s="351"/>
      <c r="E150" s="349"/>
      <c r="F150" s="358"/>
      <c r="G150" s="298"/>
      <c r="H150" s="299"/>
      <c r="I150" s="299"/>
      <c r="J150" s="299"/>
      <c r="K150" s="300"/>
      <c r="L150" s="352"/>
      <c r="M150" s="353"/>
      <c r="N150" s="354"/>
      <c r="O150" s="355"/>
      <c r="P150" s="359"/>
      <c r="Q150" s="357"/>
    </row>
    <row r="151" spans="1:21" s="24" customFormat="1" ht="15.75" customHeight="1" x14ac:dyDescent="0.2">
      <c r="A151" s="1"/>
      <c r="B151" s="349" t="s">
        <v>80</v>
      </c>
      <c r="C151" s="350"/>
      <c r="D151" s="351"/>
      <c r="E151" s="349"/>
      <c r="F151" s="358"/>
      <c r="G151" s="298"/>
      <c r="H151" s="299"/>
      <c r="I151" s="299"/>
      <c r="J151" s="299"/>
      <c r="K151" s="300"/>
      <c r="L151" s="352"/>
      <c r="M151" s="353"/>
      <c r="N151" s="354"/>
      <c r="O151" s="355"/>
      <c r="P151" s="359"/>
      <c r="Q151" s="357"/>
    </row>
    <row r="152" spans="1:21" s="24" customFormat="1" ht="15.75" customHeight="1" x14ac:dyDescent="0.2">
      <c r="A152" s="1"/>
      <c r="B152" s="349" t="s">
        <v>81</v>
      </c>
      <c r="C152" s="350"/>
      <c r="D152" s="351"/>
      <c r="E152" s="349"/>
      <c r="F152" s="358"/>
      <c r="G152" s="298"/>
      <c r="H152" s="299"/>
      <c r="I152" s="299"/>
      <c r="J152" s="299"/>
      <c r="K152" s="300"/>
      <c r="L152" s="352"/>
      <c r="M152" s="353"/>
      <c r="N152" s="354"/>
      <c r="O152" s="355"/>
      <c r="P152" s="359"/>
      <c r="Q152" s="357"/>
    </row>
    <row r="153" spans="1:21" s="24" customFormat="1" ht="15.75" customHeight="1" x14ac:dyDescent="0.2">
      <c r="A153" s="1"/>
      <c r="B153" s="349" t="s">
        <v>82</v>
      </c>
      <c r="C153" s="350"/>
      <c r="D153" s="351"/>
      <c r="E153" s="349"/>
      <c r="F153" s="358"/>
      <c r="G153" s="298"/>
      <c r="H153" s="299"/>
      <c r="I153" s="299"/>
      <c r="J153" s="299"/>
      <c r="K153" s="300"/>
      <c r="L153" s="352"/>
      <c r="M153" s="353"/>
      <c r="N153" s="354"/>
      <c r="O153" s="355"/>
      <c r="P153" s="359"/>
      <c r="Q153" s="357"/>
    </row>
    <row r="154" spans="1:21" s="24" customFormat="1" ht="15.75" customHeight="1" x14ac:dyDescent="0.2">
      <c r="A154" s="1"/>
      <c r="B154" s="349" t="s">
        <v>83</v>
      </c>
      <c r="C154" s="350"/>
      <c r="D154" s="351"/>
      <c r="E154" s="349"/>
      <c r="F154" s="358"/>
      <c r="G154" s="298"/>
      <c r="H154" s="299"/>
      <c r="I154" s="299"/>
      <c r="J154" s="299"/>
      <c r="K154" s="300"/>
      <c r="L154" s="352"/>
      <c r="M154" s="353"/>
      <c r="N154" s="354"/>
      <c r="O154" s="355"/>
      <c r="P154" s="359"/>
      <c r="Q154" s="357"/>
    </row>
    <row r="155" spans="1:21" s="24" customFormat="1" ht="15.75" customHeight="1" x14ac:dyDescent="0.2">
      <c r="A155" s="1"/>
      <c r="B155" s="349" t="s">
        <v>84</v>
      </c>
      <c r="C155" s="350"/>
      <c r="D155" s="351"/>
      <c r="E155" s="349"/>
      <c r="F155" s="358"/>
      <c r="G155" s="298"/>
      <c r="H155" s="299"/>
      <c r="I155" s="299"/>
      <c r="J155" s="299"/>
      <c r="K155" s="300"/>
      <c r="L155" s="352"/>
      <c r="M155" s="353"/>
      <c r="N155" s="354"/>
      <c r="O155" s="355"/>
      <c r="P155" s="359"/>
      <c r="Q155" s="357"/>
    </row>
    <row r="156" spans="1:21" s="24" customFormat="1" ht="15.75" customHeight="1" x14ac:dyDescent="0.2">
      <c r="A156" s="1"/>
      <c r="B156" s="349" t="s">
        <v>85</v>
      </c>
      <c r="C156" s="350"/>
      <c r="D156" s="351"/>
      <c r="E156" s="349"/>
      <c r="F156" s="358"/>
      <c r="G156" s="298"/>
      <c r="H156" s="299"/>
      <c r="I156" s="299"/>
      <c r="J156" s="299"/>
      <c r="K156" s="300"/>
      <c r="L156" s="352"/>
      <c r="M156" s="353"/>
      <c r="N156" s="354"/>
      <c r="O156" s="355"/>
      <c r="P156" s="359"/>
      <c r="Q156" s="357"/>
    </row>
    <row r="157" spans="1:21" s="24" customFormat="1" ht="15.75" customHeight="1" x14ac:dyDescent="0.2">
      <c r="A157" s="1"/>
      <c r="B157" s="349" t="s">
        <v>86</v>
      </c>
      <c r="C157" s="350"/>
      <c r="D157" s="351"/>
      <c r="E157" s="349"/>
      <c r="F157" s="358"/>
      <c r="G157" s="298"/>
      <c r="H157" s="299"/>
      <c r="I157" s="299"/>
      <c r="J157" s="299"/>
      <c r="K157" s="300"/>
      <c r="L157" s="352"/>
      <c r="M157" s="353"/>
      <c r="N157" s="354"/>
      <c r="O157" s="355"/>
      <c r="P157" s="359"/>
      <c r="Q157" s="357"/>
    </row>
    <row r="158" spans="1:21" s="24" customFormat="1" ht="15.75" customHeight="1" x14ac:dyDescent="0.2">
      <c r="A158" s="1"/>
      <c r="B158" s="349" t="s">
        <v>87</v>
      </c>
      <c r="C158" s="350"/>
      <c r="D158" s="351"/>
      <c r="E158" s="349"/>
      <c r="F158" s="358"/>
      <c r="G158" s="298"/>
      <c r="H158" s="299"/>
      <c r="I158" s="299"/>
      <c r="J158" s="299"/>
      <c r="K158" s="300"/>
      <c r="L158" s="352"/>
      <c r="M158" s="353"/>
      <c r="N158" s="354"/>
      <c r="O158" s="355"/>
      <c r="P158" s="359"/>
      <c r="Q158" s="357"/>
    </row>
    <row r="159" spans="1:21" s="24" customFormat="1" ht="15.75" customHeight="1" x14ac:dyDescent="0.2">
      <c r="A159" s="1"/>
      <c r="B159" s="349" t="s">
        <v>176</v>
      </c>
      <c r="C159" s="350"/>
      <c r="D159" s="351"/>
      <c r="E159" s="349"/>
      <c r="F159" s="358"/>
      <c r="G159" s="298"/>
      <c r="H159" s="299"/>
      <c r="I159" s="299"/>
      <c r="J159" s="299"/>
      <c r="K159" s="300"/>
      <c r="L159" s="352"/>
      <c r="M159" s="353"/>
      <c r="N159" s="354"/>
      <c r="O159" s="355"/>
      <c r="P159" s="359"/>
      <c r="Q159" s="357"/>
    </row>
    <row r="160" spans="1:21" s="24" customFormat="1" ht="15.75" customHeight="1" x14ac:dyDescent="0.2">
      <c r="A160" s="1"/>
      <c r="B160" s="349" t="s">
        <v>177</v>
      </c>
      <c r="C160" s="350"/>
      <c r="D160" s="351"/>
      <c r="E160" s="349"/>
      <c r="F160" s="358"/>
      <c r="G160" s="298"/>
      <c r="H160" s="299"/>
      <c r="I160" s="299"/>
      <c r="J160" s="299"/>
      <c r="K160" s="300"/>
      <c r="L160" s="352"/>
      <c r="M160" s="353"/>
      <c r="N160" s="354"/>
      <c r="O160" s="355"/>
      <c r="P160" s="359"/>
      <c r="Q160" s="357"/>
    </row>
    <row r="161" spans="1:17" s="24" customFormat="1" ht="15.75" customHeight="1" x14ac:dyDescent="0.2">
      <c r="A161" s="1"/>
      <c r="B161" s="349" t="s">
        <v>178</v>
      </c>
      <c r="C161" s="350"/>
      <c r="D161" s="351"/>
      <c r="E161" s="349"/>
      <c r="F161" s="358"/>
      <c r="G161" s="298"/>
      <c r="H161" s="299"/>
      <c r="I161" s="299"/>
      <c r="J161" s="299"/>
      <c r="K161" s="300"/>
      <c r="L161" s="352"/>
      <c r="M161" s="353"/>
      <c r="N161" s="354"/>
      <c r="O161" s="355"/>
      <c r="P161" s="359"/>
      <c r="Q161" s="357"/>
    </row>
    <row r="162" spans="1:17" s="24" customFormat="1" ht="15.75" customHeight="1" x14ac:dyDescent="0.2">
      <c r="A162" s="1"/>
      <c r="B162" s="349" t="s">
        <v>179</v>
      </c>
      <c r="C162" s="350"/>
      <c r="D162" s="351"/>
      <c r="E162" s="349"/>
      <c r="F162" s="358"/>
      <c r="G162" s="298"/>
      <c r="H162" s="299"/>
      <c r="I162" s="299"/>
      <c r="J162" s="299"/>
      <c r="K162" s="300"/>
      <c r="L162" s="352"/>
      <c r="M162" s="353"/>
      <c r="N162" s="354"/>
      <c r="O162" s="355"/>
      <c r="P162" s="359"/>
      <c r="Q162" s="357"/>
    </row>
    <row r="163" spans="1:17" s="24" customFormat="1" ht="15.75" customHeight="1" x14ac:dyDescent="0.2">
      <c r="A163" s="1"/>
      <c r="B163" s="349" t="s">
        <v>180</v>
      </c>
      <c r="C163" s="350"/>
      <c r="D163" s="351"/>
      <c r="E163" s="349"/>
      <c r="F163" s="358"/>
      <c r="G163" s="298"/>
      <c r="H163" s="299"/>
      <c r="I163" s="299"/>
      <c r="J163" s="299"/>
      <c r="K163" s="300"/>
      <c r="L163" s="352"/>
      <c r="M163" s="353"/>
      <c r="N163" s="354"/>
      <c r="O163" s="355"/>
      <c r="P163" s="359"/>
      <c r="Q163" s="357"/>
    </row>
    <row r="164" spans="1:17" s="24" customFormat="1" ht="15.75" customHeight="1" x14ac:dyDescent="0.2">
      <c r="A164" s="1"/>
      <c r="B164" s="349" t="s">
        <v>181</v>
      </c>
      <c r="C164" s="350"/>
      <c r="D164" s="351"/>
      <c r="E164" s="349"/>
      <c r="F164" s="358"/>
      <c r="G164" s="298"/>
      <c r="H164" s="299"/>
      <c r="I164" s="299"/>
      <c r="J164" s="299"/>
      <c r="K164" s="300"/>
      <c r="L164" s="352"/>
      <c r="M164" s="353"/>
      <c r="N164" s="354"/>
      <c r="O164" s="355"/>
      <c r="P164" s="359"/>
      <c r="Q164" s="357"/>
    </row>
    <row r="165" spans="1:17" s="24" customFormat="1" ht="15.75" customHeight="1" x14ac:dyDescent="0.2">
      <c r="A165" s="1"/>
      <c r="B165" s="349" t="s">
        <v>182</v>
      </c>
      <c r="C165" s="350"/>
      <c r="D165" s="351"/>
      <c r="E165" s="349"/>
      <c r="F165" s="358"/>
      <c r="G165" s="298"/>
      <c r="H165" s="299"/>
      <c r="I165" s="299"/>
      <c r="J165" s="299"/>
      <c r="K165" s="300"/>
      <c r="L165" s="352"/>
      <c r="M165" s="353"/>
      <c r="N165" s="354"/>
      <c r="O165" s="355"/>
      <c r="P165" s="359"/>
      <c r="Q165" s="357"/>
    </row>
    <row r="166" spans="1:17" s="24" customFormat="1" ht="15.75" customHeight="1" x14ac:dyDescent="0.2">
      <c r="A166" s="1"/>
      <c r="B166" s="349" t="s">
        <v>183</v>
      </c>
      <c r="C166" s="350"/>
      <c r="D166" s="351"/>
      <c r="E166" s="349"/>
      <c r="F166" s="358"/>
      <c r="G166" s="298"/>
      <c r="H166" s="299"/>
      <c r="I166" s="299"/>
      <c r="J166" s="299"/>
      <c r="K166" s="300"/>
      <c r="L166" s="352"/>
      <c r="M166" s="353"/>
      <c r="N166" s="354"/>
      <c r="O166" s="355"/>
      <c r="P166" s="359"/>
      <c r="Q166" s="357"/>
    </row>
    <row r="167" spans="1:17" s="24" customFormat="1" ht="15.75" customHeight="1" x14ac:dyDescent="0.2">
      <c r="A167" s="1"/>
      <c r="B167" s="349" t="s">
        <v>184</v>
      </c>
      <c r="C167" s="350"/>
      <c r="D167" s="351"/>
      <c r="E167" s="349"/>
      <c r="F167" s="358"/>
      <c r="G167" s="298"/>
      <c r="H167" s="299"/>
      <c r="I167" s="299"/>
      <c r="J167" s="299"/>
      <c r="K167" s="300"/>
      <c r="L167" s="352"/>
      <c r="M167" s="353"/>
      <c r="N167" s="354"/>
      <c r="O167" s="355"/>
      <c r="P167" s="359"/>
      <c r="Q167" s="357"/>
    </row>
    <row r="168" spans="1:17" s="24" customFormat="1" ht="15.75" customHeight="1" x14ac:dyDescent="0.2">
      <c r="A168" s="1"/>
      <c r="B168" s="349" t="s">
        <v>185</v>
      </c>
      <c r="C168" s="350"/>
      <c r="D168" s="351"/>
      <c r="E168" s="349"/>
      <c r="F168" s="358"/>
      <c r="G168" s="298"/>
      <c r="H168" s="299"/>
      <c r="I168" s="299"/>
      <c r="J168" s="299"/>
      <c r="K168" s="300"/>
      <c r="L168" s="352"/>
      <c r="M168" s="353"/>
      <c r="N168" s="354"/>
      <c r="O168" s="355"/>
      <c r="P168" s="359"/>
      <c r="Q168" s="357"/>
    </row>
    <row r="169" spans="1:17" s="24" customFormat="1" ht="15.75" customHeight="1" x14ac:dyDescent="0.2">
      <c r="A169" s="1"/>
      <c r="B169" s="349" t="s">
        <v>186</v>
      </c>
      <c r="C169" s="350"/>
      <c r="D169" s="351"/>
      <c r="E169" s="349"/>
      <c r="F169" s="358"/>
      <c r="G169" s="298"/>
      <c r="H169" s="299"/>
      <c r="I169" s="299"/>
      <c r="J169" s="299"/>
      <c r="K169" s="300"/>
      <c r="L169" s="352"/>
      <c r="M169" s="353"/>
      <c r="N169" s="354"/>
      <c r="O169" s="355"/>
      <c r="P169" s="359"/>
      <c r="Q169" s="357"/>
    </row>
    <row r="170" spans="1:17" s="24" customFormat="1" ht="15.75" customHeight="1" x14ac:dyDescent="0.2">
      <c r="A170" s="1"/>
      <c r="B170" s="349" t="s">
        <v>187</v>
      </c>
      <c r="C170" s="350"/>
      <c r="D170" s="351"/>
      <c r="E170" s="349"/>
      <c r="F170" s="358"/>
      <c r="G170" s="298"/>
      <c r="H170" s="299"/>
      <c r="I170" s="299"/>
      <c r="J170" s="299"/>
      <c r="K170" s="300"/>
      <c r="L170" s="352"/>
      <c r="M170" s="353"/>
      <c r="N170" s="354"/>
      <c r="O170" s="355"/>
      <c r="P170" s="359"/>
      <c r="Q170" s="357"/>
    </row>
    <row r="171" spans="1:17" s="24" customFormat="1" ht="15.75" customHeight="1" x14ac:dyDescent="0.2">
      <c r="A171" s="1"/>
      <c r="B171" s="349" t="s">
        <v>188</v>
      </c>
      <c r="C171" s="350"/>
      <c r="D171" s="351"/>
      <c r="E171" s="349"/>
      <c r="F171" s="358"/>
      <c r="G171" s="298"/>
      <c r="H171" s="299"/>
      <c r="I171" s="299"/>
      <c r="J171" s="299"/>
      <c r="K171" s="300"/>
      <c r="L171" s="352"/>
      <c r="M171" s="353"/>
      <c r="N171" s="354"/>
      <c r="O171" s="355"/>
      <c r="P171" s="359"/>
      <c r="Q171" s="357"/>
    </row>
    <row r="172" spans="1:17" s="24" customFormat="1" ht="15.75" customHeight="1" x14ac:dyDescent="0.2">
      <c r="A172" s="1"/>
      <c r="B172" s="349" t="s">
        <v>189</v>
      </c>
      <c r="C172" s="350"/>
      <c r="D172" s="351"/>
      <c r="E172" s="349"/>
      <c r="F172" s="358"/>
      <c r="G172" s="298"/>
      <c r="H172" s="299"/>
      <c r="I172" s="299"/>
      <c r="J172" s="299"/>
      <c r="K172" s="300"/>
      <c r="L172" s="352"/>
      <c r="M172" s="353"/>
      <c r="N172" s="354"/>
      <c r="O172" s="355"/>
      <c r="P172" s="359"/>
      <c r="Q172" s="357"/>
    </row>
    <row r="173" spans="1:17" s="24" customFormat="1" ht="15.75" customHeight="1" x14ac:dyDescent="0.2">
      <c r="A173" s="1"/>
      <c r="B173" s="349" t="s">
        <v>190</v>
      </c>
      <c r="C173" s="350"/>
      <c r="D173" s="351"/>
      <c r="E173" s="349"/>
      <c r="F173" s="358"/>
      <c r="G173" s="298"/>
      <c r="H173" s="299"/>
      <c r="I173" s="299"/>
      <c r="J173" s="299"/>
      <c r="K173" s="300"/>
      <c r="L173" s="352"/>
      <c r="M173" s="353"/>
      <c r="N173" s="354"/>
      <c r="O173" s="355"/>
      <c r="P173" s="359"/>
      <c r="Q173" s="357"/>
    </row>
    <row r="174" spans="1:17" s="24" customFormat="1" ht="15.75" customHeight="1" x14ac:dyDescent="0.2">
      <c r="A174" s="1"/>
      <c r="B174" s="349" t="s">
        <v>191</v>
      </c>
      <c r="C174" s="350"/>
      <c r="D174" s="351"/>
      <c r="E174" s="349"/>
      <c r="F174" s="358"/>
      <c r="G174" s="298"/>
      <c r="H174" s="299"/>
      <c r="I174" s="299"/>
      <c r="J174" s="299"/>
      <c r="K174" s="300"/>
      <c r="L174" s="352"/>
      <c r="M174" s="353"/>
      <c r="N174" s="354"/>
      <c r="O174" s="355"/>
      <c r="P174" s="359"/>
      <c r="Q174" s="357"/>
    </row>
    <row r="175" spans="1:17" s="24" customFormat="1" ht="15.75" customHeight="1" x14ac:dyDescent="0.2">
      <c r="A175" s="1"/>
      <c r="B175" s="349" t="s">
        <v>192</v>
      </c>
      <c r="C175" s="350"/>
      <c r="D175" s="351"/>
      <c r="E175" s="349"/>
      <c r="F175" s="358"/>
      <c r="G175" s="298"/>
      <c r="H175" s="299"/>
      <c r="I175" s="299"/>
      <c r="J175" s="299"/>
      <c r="K175" s="300"/>
      <c r="L175" s="352"/>
      <c r="M175" s="353"/>
      <c r="N175" s="354"/>
      <c r="O175" s="355"/>
      <c r="P175" s="359"/>
      <c r="Q175" s="357"/>
    </row>
    <row r="176" spans="1:17" s="24" customFormat="1" ht="15.75" customHeight="1" x14ac:dyDescent="0.2">
      <c r="A176" s="1"/>
      <c r="B176" s="349" t="s">
        <v>193</v>
      </c>
      <c r="C176" s="350"/>
      <c r="D176" s="351"/>
      <c r="E176" s="349"/>
      <c r="F176" s="358"/>
      <c r="G176" s="298"/>
      <c r="H176" s="299"/>
      <c r="I176" s="299"/>
      <c r="J176" s="299"/>
      <c r="K176" s="300"/>
      <c r="L176" s="352"/>
      <c r="M176" s="353"/>
      <c r="N176" s="354"/>
      <c r="O176" s="355"/>
      <c r="P176" s="359"/>
      <c r="Q176" s="357"/>
    </row>
    <row r="177" spans="1:21" s="24" customFormat="1" ht="15.75" customHeight="1" x14ac:dyDescent="0.2">
      <c r="A177" s="1"/>
      <c r="B177" s="349" t="s">
        <v>194</v>
      </c>
      <c r="C177" s="350"/>
      <c r="D177" s="351"/>
      <c r="E177" s="349"/>
      <c r="F177" s="358"/>
      <c r="G177" s="298"/>
      <c r="H177" s="299"/>
      <c r="I177" s="299"/>
      <c r="J177" s="299"/>
      <c r="K177" s="300"/>
      <c r="L177" s="352"/>
      <c r="M177" s="353"/>
      <c r="N177" s="354"/>
      <c r="O177" s="355"/>
      <c r="P177" s="359"/>
      <c r="Q177" s="357"/>
    </row>
    <row r="178" spans="1:21" s="24" customFormat="1" ht="15.75" customHeight="1" x14ac:dyDescent="0.2">
      <c r="A178" s="1"/>
      <c r="B178" s="349" t="s">
        <v>195</v>
      </c>
      <c r="C178" s="350"/>
      <c r="D178" s="351"/>
      <c r="E178" s="349"/>
      <c r="F178" s="358"/>
      <c r="G178" s="298"/>
      <c r="H178" s="299"/>
      <c r="I178" s="299"/>
      <c r="J178" s="299"/>
      <c r="K178" s="300"/>
      <c r="L178" s="352"/>
      <c r="M178" s="353"/>
      <c r="N178" s="354"/>
      <c r="O178" s="355"/>
      <c r="P178" s="359"/>
      <c r="Q178" s="357"/>
    </row>
    <row r="179" spans="1:21" s="24" customFormat="1" ht="15.75" customHeight="1" x14ac:dyDescent="0.2">
      <c r="A179" s="1"/>
      <c r="B179" s="349" t="s">
        <v>196</v>
      </c>
      <c r="C179" s="350"/>
      <c r="D179" s="351"/>
      <c r="E179" s="349"/>
      <c r="F179" s="358"/>
      <c r="G179" s="298"/>
      <c r="H179" s="299"/>
      <c r="I179" s="299"/>
      <c r="J179" s="299"/>
      <c r="K179" s="300"/>
      <c r="L179" s="352"/>
      <c r="M179" s="353"/>
      <c r="N179" s="354"/>
      <c r="O179" s="355"/>
      <c r="P179" s="359"/>
      <c r="Q179" s="357"/>
    </row>
    <row r="180" spans="1:21" s="24" customFormat="1" ht="15.75" customHeight="1" x14ac:dyDescent="0.2">
      <c r="A180" s="1"/>
      <c r="B180" s="13" t="s">
        <v>197</v>
      </c>
      <c r="C180" s="101"/>
      <c r="D180" s="42"/>
      <c r="E180" s="13"/>
      <c r="F180" s="43"/>
      <c r="G180" s="209"/>
      <c r="H180" s="46"/>
      <c r="I180" s="46"/>
      <c r="J180" s="46"/>
      <c r="K180" s="80"/>
      <c r="L180" s="81"/>
      <c r="M180" s="49"/>
      <c r="N180" s="50"/>
      <c r="O180" s="82"/>
      <c r="P180" s="181"/>
      <c r="Q180" s="219"/>
      <c r="U180" s="28"/>
    </row>
    <row r="181" spans="1:21" s="24" customFormat="1" ht="15.75" customHeight="1" x14ac:dyDescent="0.2">
      <c r="A181" s="1"/>
      <c r="B181" s="13" t="s">
        <v>198</v>
      </c>
      <c r="C181" s="101"/>
      <c r="D181" s="42"/>
      <c r="E181" s="13"/>
      <c r="F181" s="43"/>
      <c r="G181" s="209"/>
      <c r="H181" s="46"/>
      <c r="I181" s="46"/>
      <c r="J181" s="46"/>
      <c r="K181" s="80"/>
      <c r="L181" s="81"/>
      <c r="M181" s="49"/>
      <c r="N181" s="50"/>
      <c r="O181" s="82"/>
      <c r="P181" s="181"/>
      <c r="Q181" s="219"/>
    </row>
    <row r="182" spans="1:21" s="24" customFormat="1" ht="15.75" customHeight="1" x14ac:dyDescent="0.2">
      <c r="A182" s="1"/>
      <c r="B182" s="13" t="s">
        <v>200</v>
      </c>
      <c r="C182" s="101"/>
      <c r="D182" s="42"/>
      <c r="E182" s="13"/>
      <c r="F182" s="43"/>
      <c r="G182" s="209"/>
      <c r="H182" s="46"/>
      <c r="I182" s="46"/>
      <c r="J182" s="46"/>
      <c r="K182" s="80"/>
      <c r="L182" s="81"/>
      <c r="M182" s="49"/>
      <c r="N182" s="50"/>
      <c r="O182" s="82"/>
      <c r="P182" s="181"/>
      <c r="Q182" s="219"/>
      <c r="U182" s="28"/>
    </row>
    <row r="183" spans="1:21" s="24" customFormat="1" ht="15.75" customHeight="1" x14ac:dyDescent="0.2">
      <c r="A183" s="1"/>
      <c r="B183" s="13" t="s">
        <v>201</v>
      </c>
      <c r="C183" s="101"/>
      <c r="D183" s="42"/>
      <c r="E183" s="13"/>
      <c r="F183" s="43"/>
      <c r="G183" s="209"/>
      <c r="H183" s="46"/>
      <c r="I183" s="46"/>
      <c r="J183" s="46"/>
      <c r="K183" s="80"/>
      <c r="L183" s="81"/>
      <c r="M183" s="49"/>
      <c r="N183" s="50"/>
      <c r="O183" s="82"/>
      <c r="P183" s="181"/>
      <c r="Q183" s="219"/>
      <c r="U183" s="28"/>
    </row>
    <row r="184" spans="1:21" s="24" customFormat="1" ht="15.75" customHeight="1" x14ac:dyDescent="0.2">
      <c r="A184" s="1"/>
      <c r="B184" s="13" t="s">
        <v>202</v>
      </c>
      <c r="C184" s="101"/>
      <c r="D184" s="42"/>
      <c r="E184" s="13"/>
      <c r="F184" s="43"/>
      <c r="G184" s="209"/>
      <c r="H184" s="46"/>
      <c r="I184" s="46"/>
      <c r="J184" s="46"/>
      <c r="K184" s="80"/>
      <c r="L184" s="81"/>
      <c r="M184" s="49"/>
      <c r="N184" s="50"/>
      <c r="O184" s="82"/>
      <c r="P184" s="181"/>
      <c r="Q184" s="219"/>
      <c r="U184" s="28"/>
    </row>
    <row r="185" spans="1:21" s="24" customFormat="1" ht="15.75" customHeight="1" x14ac:dyDescent="0.2">
      <c r="A185" s="1"/>
      <c r="B185" s="13" t="s">
        <v>203</v>
      </c>
      <c r="C185" s="101"/>
      <c r="D185" s="42"/>
      <c r="E185" s="13"/>
      <c r="F185" s="43"/>
      <c r="G185" s="209"/>
      <c r="H185" s="46"/>
      <c r="I185" s="46"/>
      <c r="J185" s="46"/>
      <c r="K185" s="80"/>
      <c r="L185" s="81"/>
      <c r="M185" s="49"/>
      <c r="N185" s="50"/>
      <c r="O185" s="82"/>
      <c r="P185" s="181"/>
      <c r="Q185" s="219"/>
    </row>
    <row r="186" spans="1:21" s="24" customFormat="1" ht="15.75" customHeight="1" x14ac:dyDescent="0.2">
      <c r="A186" s="1"/>
      <c r="B186" s="13" t="s">
        <v>204</v>
      </c>
      <c r="C186" s="101"/>
      <c r="D186" s="42"/>
      <c r="E186" s="13"/>
      <c r="F186" s="43"/>
      <c r="G186" s="209"/>
      <c r="H186" s="46"/>
      <c r="I186" s="46"/>
      <c r="J186" s="46"/>
      <c r="K186" s="80"/>
      <c r="L186" s="81"/>
      <c r="M186" s="49"/>
      <c r="N186" s="50"/>
      <c r="O186" s="82"/>
      <c r="P186" s="181"/>
      <c r="Q186" s="219"/>
      <c r="U186" s="28"/>
    </row>
    <row r="187" spans="1:21" s="24" customFormat="1" ht="15.75" customHeight="1" x14ac:dyDescent="0.2">
      <c r="A187" s="1"/>
      <c r="B187" s="13" t="s">
        <v>205</v>
      </c>
      <c r="C187" s="101"/>
      <c r="D187" s="42"/>
      <c r="E187" s="13"/>
      <c r="F187" s="43"/>
      <c r="G187" s="209"/>
      <c r="H187" s="46"/>
      <c r="I187" s="46"/>
      <c r="J187" s="46"/>
      <c r="K187" s="80"/>
      <c r="L187" s="81"/>
      <c r="M187" s="49"/>
      <c r="N187" s="50"/>
      <c r="O187" s="82"/>
      <c r="P187" s="181"/>
      <c r="Q187" s="219"/>
    </row>
    <row r="188" spans="1:21" s="24" customFormat="1" ht="15.75" customHeight="1" thickBot="1" x14ac:dyDescent="0.25">
      <c r="A188" s="1"/>
      <c r="B188" s="228" t="s">
        <v>206</v>
      </c>
      <c r="C188" s="229"/>
      <c r="D188" s="230"/>
      <c r="E188" s="228"/>
      <c r="F188" s="231"/>
      <c r="G188" s="232"/>
      <c r="H188" s="233"/>
      <c r="I188" s="233"/>
      <c r="J188" s="233"/>
      <c r="K188" s="234"/>
      <c r="L188" s="235"/>
      <c r="M188" s="236"/>
      <c r="N188" s="237"/>
      <c r="O188" s="238"/>
      <c r="P188" s="239"/>
      <c r="Q188" s="240"/>
      <c r="U188" s="28"/>
    </row>
    <row r="189" spans="1:21" s="24" customFormat="1" ht="15.75" customHeight="1" thickBot="1" x14ac:dyDescent="0.25">
      <c r="A189" s="1"/>
      <c r="B189" s="171"/>
      <c r="C189" s="241"/>
      <c r="D189" s="242"/>
      <c r="E189" s="171"/>
      <c r="F189" s="243"/>
      <c r="G189" s="244"/>
      <c r="H189" s="245"/>
      <c r="I189" s="245"/>
      <c r="J189" s="245"/>
      <c r="K189" s="246"/>
      <c r="L189" s="190">
        <f>SUM(L149:L188)</f>
        <v>0</v>
      </c>
      <c r="M189" s="191" t="e">
        <f>AVERAGE(M149:M188)</f>
        <v>#DIV/0!</v>
      </c>
      <c r="N189" s="192">
        <f>SUM(N149:N188)</f>
        <v>0</v>
      </c>
      <c r="O189" s="191" t="e">
        <f>AVERAGE(O149:O188)</f>
        <v>#DIV/0!</v>
      </c>
      <c r="P189" s="193" t="e">
        <f>AVERAGE(P149:P188)</f>
        <v>#DIV/0!</v>
      </c>
      <c r="Q189" s="222"/>
    </row>
    <row r="190" spans="1:21" s="24" customFormat="1" ht="15.75" customHeight="1" x14ac:dyDescent="0.2">
      <c r="A190" s="1"/>
      <c r="B190" s="15"/>
      <c r="C190" s="15"/>
      <c r="D190" s="174"/>
      <c r="E190" s="15"/>
      <c r="F190" s="15"/>
      <c r="G190" s="15"/>
      <c r="H190" s="175"/>
      <c r="I190" s="175"/>
      <c r="J190" s="175"/>
      <c r="K190" s="175"/>
      <c r="L190" s="176"/>
      <c r="M190" s="177"/>
      <c r="N190" s="176"/>
      <c r="O190" s="177"/>
      <c r="P190" s="178"/>
      <c r="Q190" s="1"/>
      <c r="U190" s="28"/>
    </row>
    <row r="191" spans="1:21" s="24" customFormat="1" ht="15.75" customHeight="1" x14ac:dyDescent="0.2">
      <c r="A191" s="1"/>
      <c r="B191" s="15"/>
      <c r="C191" s="15"/>
      <c r="D191" s="174"/>
      <c r="E191" s="15"/>
      <c r="F191" s="15"/>
      <c r="G191" s="15"/>
      <c r="H191" s="175"/>
      <c r="I191" s="175"/>
      <c r="J191" s="175"/>
      <c r="K191" s="175"/>
      <c r="L191" s="176"/>
      <c r="M191" s="177"/>
      <c r="N191" s="176"/>
      <c r="O191" s="177"/>
      <c r="P191" s="178"/>
      <c r="Q191" s="1"/>
    </row>
    <row r="192" spans="1:21" s="24" customFormat="1" ht="15.75" customHeight="1" x14ac:dyDescent="0.2">
      <c r="A192" s="1"/>
      <c r="B192" s="3"/>
      <c r="C192" s="3"/>
      <c r="D192" s="3"/>
      <c r="E192" s="15"/>
      <c r="F192" s="3"/>
      <c r="G192" s="3"/>
      <c r="H192" s="175"/>
      <c r="I192" s="175"/>
      <c r="J192" s="175"/>
      <c r="K192" s="175"/>
      <c r="L192" s="176"/>
      <c r="M192" s="177"/>
      <c r="N192" s="176"/>
      <c r="O192" s="177"/>
      <c r="P192" s="179"/>
      <c r="Q192" s="1"/>
      <c r="U192" s="28"/>
    </row>
    <row r="193" spans="2:50" ht="75" customHeight="1" x14ac:dyDescent="0.2"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72"/>
      <c r="N193" s="15"/>
      <c r="O193" s="72"/>
      <c r="P193" s="73"/>
    </row>
    <row r="194" spans="2:50" ht="17.25" customHeight="1" thickBot="1" x14ac:dyDescent="0.25">
      <c r="B194" s="17" t="s">
        <v>37</v>
      </c>
      <c r="C194" s="17"/>
      <c r="M194" s="90"/>
      <c r="N194" s="90"/>
      <c r="O194" s="90"/>
      <c r="U194" s="28"/>
    </row>
    <row r="195" spans="2:50" s="6" customFormat="1" ht="11.25" customHeight="1" thickBot="1" x14ac:dyDescent="0.25">
      <c r="B195" s="385" t="s">
        <v>1</v>
      </c>
      <c r="C195" s="387" t="s">
        <v>77</v>
      </c>
      <c r="D195" s="389" t="s">
        <v>104</v>
      </c>
      <c r="E195" s="385" t="s">
        <v>3</v>
      </c>
      <c r="F195" s="391" t="s">
        <v>101</v>
      </c>
      <c r="G195" s="389" t="s">
        <v>5</v>
      </c>
      <c r="H195" s="406"/>
      <c r="I195" s="406"/>
      <c r="J195" s="406"/>
      <c r="K195" s="406"/>
      <c r="L195" s="247" t="s">
        <v>6</v>
      </c>
      <c r="M195" s="248"/>
      <c r="N195" s="248"/>
      <c r="O195" s="248"/>
      <c r="P195" s="248"/>
      <c r="Q195" s="249"/>
      <c r="R195" s="29"/>
      <c r="S195" s="29"/>
      <c r="T195" s="29"/>
      <c r="U195" s="24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</row>
    <row r="196" spans="2:50" s="6" customFormat="1" ht="31.5" customHeight="1" thickBot="1" x14ac:dyDescent="0.25">
      <c r="B196" s="386"/>
      <c r="C196" s="388"/>
      <c r="D196" s="390"/>
      <c r="E196" s="386"/>
      <c r="F196" s="392"/>
      <c r="G196" s="301" t="s">
        <v>116</v>
      </c>
      <c r="H196" s="153" t="s">
        <v>118</v>
      </c>
      <c r="I196" s="153" t="s">
        <v>120</v>
      </c>
      <c r="J196" s="153" t="s">
        <v>112</v>
      </c>
      <c r="K196" s="154" t="s">
        <v>114</v>
      </c>
      <c r="L196" s="206" t="s">
        <v>18</v>
      </c>
      <c r="M196" s="207" t="s">
        <v>19</v>
      </c>
      <c r="N196" s="207" t="s">
        <v>20</v>
      </c>
      <c r="O196" s="207" t="s">
        <v>21</v>
      </c>
      <c r="P196" s="208" t="s">
        <v>22</v>
      </c>
      <c r="Q196" s="224" t="s">
        <v>106</v>
      </c>
      <c r="R196" s="29"/>
      <c r="S196" s="29"/>
      <c r="T196" s="29"/>
      <c r="U196" s="28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</row>
    <row r="197" spans="2:50" ht="14.25" customHeight="1" x14ac:dyDescent="0.2">
      <c r="B197" s="12" t="s">
        <v>107</v>
      </c>
      <c r="C197" s="100"/>
      <c r="D197" s="31"/>
      <c r="E197" s="12"/>
      <c r="F197" s="32"/>
      <c r="G197" s="298"/>
      <c r="H197" s="299"/>
      <c r="I197" s="299"/>
      <c r="J197" s="299"/>
      <c r="K197" s="300"/>
      <c r="L197" s="77"/>
      <c r="M197" s="38"/>
      <c r="N197" s="39"/>
      <c r="O197" s="78"/>
      <c r="P197" s="180"/>
      <c r="Q197" s="218"/>
    </row>
    <row r="198" spans="2:50" ht="14.25" customHeight="1" x14ac:dyDescent="0.2">
      <c r="B198" s="349" t="s">
        <v>108</v>
      </c>
      <c r="C198" s="350"/>
      <c r="D198" s="351"/>
      <c r="E198" s="349"/>
      <c r="F198" s="358"/>
      <c r="G198" s="298"/>
      <c r="H198" s="299"/>
      <c r="I198" s="299"/>
      <c r="J198" s="299"/>
      <c r="K198" s="300"/>
      <c r="L198" s="352"/>
      <c r="M198" s="353"/>
      <c r="N198" s="354"/>
      <c r="O198" s="355"/>
      <c r="P198" s="359"/>
      <c r="Q198" s="357"/>
    </row>
    <row r="199" spans="2:50" ht="14.25" customHeight="1" x14ac:dyDescent="0.2">
      <c r="B199" s="349" t="s">
        <v>80</v>
      </c>
      <c r="C199" s="350"/>
      <c r="D199" s="351"/>
      <c r="E199" s="349"/>
      <c r="F199" s="358"/>
      <c r="G199" s="298"/>
      <c r="H199" s="299"/>
      <c r="I199" s="299"/>
      <c r="J199" s="299"/>
      <c r="K199" s="300"/>
      <c r="L199" s="352"/>
      <c r="M199" s="353"/>
      <c r="N199" s="354"/>
      <c r="O199" s="355"/>
      <c r="P199" s="359"/>
      <c r="Q199" s="357"/>
    </row>
    <row r="200" spans="2:50" ht="14.25" customHeight="1" x14ac:dyDescent="0.2">
      <c r="B200" s="349" t="s">
        <v>81</v>
      </c>
      <c r="C200" s="350"/>
      <c r="D200" s="351"/>
      <c r="E200" s="349"/>
      <c r="F200" s="358"/>
      <c r="G200" s="298"/>
      <c r="H200" s="299"/>
      <c r="I200" s="299"/>
      <c r="J200" s="299"/>
      <c r="K200" s="300"/>
      <c r="L200" s="352"/>
      <c r="M200" s="353"/>
      <c r="N200" s="354"/>
      <c r="O200" s="355"/>
      <c r="P200" s="359"/>
      <c r="Q200" s="357"/>
    </row>
    <row r="201" spans="2:50" ht="14.25" customHeight="1" x14ac:dyDescent="0.2">
      <c r="B201" s="349" t="s">
        <v>82</v>
      </c>
      <c r="C201" s="350"/>
      <c r="D201" s="351"/>
      <c r="E201" s="349"/>
      <c r="F201" s="358"/>
      <c r="G201" s="298"/>
      <c r="H201" s="299"/>
      <c r="I201" s="299"/>
      <c r="J201" s="299"/>
      <c r="K201" s="300"/>
      <c r="L201" s="352"/>
      <c r="M201" s="353"/>
      <c r="N201" s="354"/>
      <c r="O201" s="355"/>
      <c r="P201" s="359"/>
      <c r="Q201" s="357"/>
    </row>
    <row r="202" spans="2:50" ht="14.25" customHeight="1" x14ac:dyDescent="0.2">
      <c r="B202" s="349" t="s">
        <v>83</v>
      </c>
      <c r="C202" s="350"/>
      <c r="D202" s="351"/>
      <c r="E202" s="349"/>
      <c r="F202" s="358"/>
      <c r="G202" s="298"/>
      <c r="H202" s="299"/>
      <c r="I202" s="299"/>
      <c r="J202" s="299"/>
      <c r="K202" s="300"/>
      <c r="L202" s="352"/>
      <c r="M202" s="353"/>
      <c r="N202" s="354"/>
      <c r="O202" s="355"/>
      <c r="P202" s="359"/>
      <c r="Q202" s="357"/>
    </row>
    <row r="203" spans="2:50" ht="14.25" customHeight="1" x14ac:dyDescent="0.2">
      <c r="B203" s="349" t="s">
        <v>84</v>
      </c>
      <c r="C203" s="350"/>
      <c r="D203" s="351"/>
      <c r="E203" s="349"/>
      <c r="F203" s="358"/>
      <c r="G203" s="298"/>
      <c r="H203" s="299"/>
      <c r="I203" s="299"/>
      <c r="J203" s="299"/>
      <c r="K203" s="300"/>
      <c r="L203" s="352"/>
      <c r="M203" s="353"/>
      <c r="N203" s="354"/>
      <c r="O203" s="355"/>
      <c r="P203" s="359"/>
      <c r="Q203" s="357"/>
    </row>
    <row r="204" spans="2:50" ht="14.25" customHeight="1" x14ac:dyDescent="0.2">
      <c r="B204" s="349" t="s">
        <v>85</v>
      </c>
      <c r="C204" s="350"/>
      <c r="D204" s="351"/>
      <c r="E204" s="349"/>
      <c r="F204" s="358"/>
      <c r="G204" s="298"/>
      <c r="H204" s="299"/>
      <c r="I204" s="299"/>
      <c r="J204" s="299"/>
      <c r="K204" s="300"/>
      <c r="L204" s="352"/>
      <c r="M204" s="353"/>
      <c r="N204" s="354"/>
      <c r="O204" s="355"/>
      <c r="P204" s="359"/>
      <c r="Q204" s="357"/>
    </row>
    <row r="205" spans="2:50" ht="14.25" customHeight="1" x14ac:dyDescent="0.2">
      <c r="B205" s="349" t="s">
        <v>86</v>
      </c>
      <c r="C205" s="350"/>
      <c r="D205" s="351"/>
      <c r="E205" s="349"/>
      <c r="F205" s="358"/>
      <c r="G205" s="298"/>
      <c r="H205" s="299"/>
      <c r="I205" s="299"/>
      <c r="J205" s="299"/>
      <c r="K205" s="300"/>
      <c r="L205" s="352"/>
      <c r="M205" s="353"/>
      <c r="N205" s="354"/>
      <c r="O205" s="355"/>
      <c r="P205" s="359"/>
      <c r="Q205" s="357"/>
    </row>
    <row r="206" spans="2:50" ht="14.25" customHeight="1" x14ac:dyDescent="0.2">
      <c r="B206" s="349" t="s">
        <v>87</v>
      </c>
      <c r="C206" s="350"/>
      <c r="D206" s="351"/>
      <c r="E206" s="349"/>
      <c r="F206" s="358"/>
      <c r="G206" s="298"/>
      <c r="H206" s="299"/>
      <c r="I206" s="299"/>
      <c r="J206" s="299"/>
      <c r="K206" s="300"/>
      <c r="L206" s="352"/>
      <c r="M206" s="353"/>
      <c r="N206" s="354"/>
      <c r="O206" s="355"/>
      <c r="P206" s="359"/>
      <c r="Q206" s="357"/>
    </row>
    <row r="207" spans="2:50" ht="14.25" customHeight="1" x14ac:dyDescent="0.2">
      <c r="B207" s="349" t="s">
        <v>176</v>
      </c>
      <c r="C207" s="350"/>
      <c r="D207" s="351"/>
      <c r="E207" s="349"/>
      <c r="F207" s="358"/>
      <c r="G207" s="298"/>
      <c r="H207" s="299"/>
      <c r="I207" s="299"/>
      <c r="J207" s="299"/>
      <c r="K207" s="300"/>
      <c r="L207" s="352"/>
      <c r="M207" s="353"/>
      <c r="N207" s="354"/>
      <c r="O207" s="355"/>
      <c r="P207" s="359"/>
      <c r="Q207" s="357"/>
    </row>
    <row r="208" spans="2:50" ht="14.25" customHeight="1" x14ac:dyDescent="0.2">
      <c r="B208" s="349" t="s">
        <v>177</v>
      </c>
      <c r="C208" s="350"/>
      <c r="D208" s="351"/>
      <c r="E208" s="349"/>
      <c r="F208" s="358"/>
      <c r="G208" s="298"/>
      <c r="H208" s="299"/>
      <c r="I208" s="299"/>
      <c r="J208" s="299"/>
      <c r="K208" s="300"/>
      <c r="L208" s="352"/>
      <c r="M208" s="353"/>
      <c r="N208" s="354"/>
      <c r="O208" s="355"/>
      <c r="P208" s="359"/>
      <c r="Q208" s="357"/>
    </row>
    <row r="209" spans="2:17" ht="14.25" customHeight="1" x14ac:dyDescent="0.2">
      <c r="B209" s="349" t="s">
        <v>178</v>
      </c>
      <c r="C209" s="350"/>
      <c r="D209" s="351"/>
      <c r="E209" s="349"/>
      <c r="F209" s="358"/>
      <c r="G209" s="298"/>
      <c r="H209" s="299"/>
      <c r="I209" s="299"/>
      <c r="J209" s="299"/>
      <c r="K209" s="300"/>
      <c r="L209" s="352"/>
      <c r="M209" s="353"/>
      <c r="N209" s="354"/>
      <c r="O209" s="355"/>
      <c r="P209" s="359"/>
      <c r="Q209" s="357"/>
    </row>
    <row r="210" spans="2:17" ht="14.25" customHeight="1" x14ac:dyDescent="0.2">
      <c r="B210" s="349" t="s">
        <v>179</v>
      </c>
      <c r="C210" s="350"/>
      <c r="D210" s="351"/>
      <c r="E210" s="349"/>
      <c r="F210" s="358"/>
      <c r="G210" s="298"/>
      <c r="H210" s="299"/>
      <c r="I210" s="299"/>
      <c r="J210" s="299"/>
      <c r="K210" s="300"/>
      <c r="L210" s="352"/>
      <c r="M210" s="353"/>
      <c r="N210" s="354"/>
      <c r="O210" s="355"/>
      <c r="P210" s="359"/>
      <c r="Q210" s="357"/>
    </row>
    <row r="211" spans="2:17" ht="14.25" customHeight="1" x14ac:dyDescent="0.2">
      <c r="B211" s="349" t="s">
        <v>180</v>
      </c>
      <c r="C211" s="350"/>
      <c r="D211" s="351"/>
      <c r="E211" s="349"/>
      <c r="F211" s="358"/>
      <c r="G211" s="298"/>
      <c r="H211" s="299"/>
      <c r="I211" s="299"/>
      <c r="J211" s="299"/>
      <c r="K211" s="300"/>
      <c r="L211" s="352"/>
      <c r="M211" s="353"/>
      <c r="N211" s="354"/>
      <c r="O211" s="355"/>
      <c r="P211" s="359"/>
      <c r="Q211" s="357"/>
    </row>
    <row r="212" spans="2:17" ht="14.25" customHeight="1" x14ac:dyDescent="0.2">
      <c r="B212" s="349" t="s">
        <v>181</v>
      </c>
      <c r="C212" s="350"/>
      <c r="D212" s="351"/>
      <c r="E212" s="349"/>
      <c r="F212" s="358"/>
      <c r="G212" s="298"/>
      <c r="H212" s="299"/>
      <c r="I212" s="299"/>
      <c r="J212" s="299"/>
      <c r="K212" s="300"/>
      <c r="L212" s="352"/>
      <c r="M212" s="353"/>
      <c r="N212" s="354"/>
      <c r="O212" s="355"/>
      <c r="P212" s="359"/>
      <c r="Q212" s="357"/>
    </row>
    <row r="213" spans="2:17" ht="14.25" customHeight="1" x14ac:dyDescent="0.2">
      <c r="B213" s="349" t="s">
        <v>182</v>
      </c>
      <c r="C213" s="350"/>
      <c r="D213" s="351"/>
      <c r="E213" s="349"/>
      <c r="F213" s="358"/>
      <c r="G213" s="298"/>
      <c r="H213" s="299"/>
      <c r="I213" s="299"/>
      <c r="J213" s="299"/>
      <c r="K213" s="300"/>
      <c r="L213" s="352"/>
      <c r="M213" s="353"/>
      <c r="N213" s="354"/>
      <c r="O213" s="355"/>
      <c r="P213" s="359"/>
      <c r="Q213" s="357"/>
    </row>
    <row r="214" spans="2:17" ht="14.25" customHeight="1" x14ac:dyDescent="0.2">
      <c r="B214" s="349" t="s">
        <v>183</v>
      </c>
      <c r="C214" s="350"/>
      <c r="D214" s="351"/>
      <c r="E214" s="349"/>
      <c r="F214" s="358"/>
      <c r="G214" s="298"/>
      <c r="H214" s="299"/>
      <c r="I214" s="299"/>
      <c r="J214" s="299"/>
      <c r="K214" s="300"/>
      <c r="L214" s="352"/>
      <c r="M214" s="353"/>
      <c r="N214" s="354"/>
      <c r="O214" s="355"/>
      <c r="P214" s="359"/>
      <c r="Q214" s="357"/>
    </row>
    <row r="215" spans="2:17" ht="14.25" customHeight="1" x14ac:dyDescent="0.2">
      <c r="B215" s="349" t="s">
        <v>184</v>
      </c>
      <c r="C215" s="350"/>
      <c r="D215" s="351"/>
      <c r="E215" s="349"/>
      <c r="F215" s="358"/>
      <c r="G215" s="298"/>
      <c r="H215" s="299"/>
      <c r="I215" s="299"/>
      <c r="J215" s="299"/>
      <c r="K215" s="300"/>
      <c r="L215" s="352"/>
      <c r="M215" s="353"/>
      <c r="N215" s="354"/>
      <c r="O215" s="355"/>
      <c r="P215" s="359"/>
      <c r="Q215" s="357"/>
    </row>
    <row r="216" spans="2:17" ht="14.25" customHeight="1" x14ac:dyDescent="0.2">
      <c r="B216" s="349" t="s">
        <v>185</v>
      </c>
      <c r="C216" s="350"/>
      <c r="D216" s="351"/>
      <c r="E216" s="349"/>
      <c r="F216" s="358"/>
      <c r="G216" s="298"/>
      <c r="H216" s="299"/>
      <c r="I216" s="299"/>
      <c r="J216" s="299"/>
      <c r="K216" s="300"/>
      <c r="L216" s="352"/>
      <c r="M216" s="353"/>
      <c r="N216" s="354"/>
      <c r="O216" s="355"/>
      <c r="P216" s="359"/>
      <c r="Q216" s="357"/>
    </row>
    <row r="217" spans="2:17" ht="14.25" customHeight="1" x14ac:dyDescent="0.2">
      <c r="B217" s="349" t="s">
        <v>186</v>
      </c>
      <c r="C217" s="350"/>
      <c r="D217" s="351"/>
      <c r="E217" s="349"/>
      <c r="F217" s="358"/>
      <c r="G217" s="298"/>
      <c r="H217" s="299"/>
      <c r="I217" s="299"/>
      <c r="J217" s="299"/>
      <c r="K217" s="300"/>
      <c r="L217" s="352"/>
      <c r="M217" s="353"/>
      <c r="N217" s="354"/>
      <c r="O217" s="355"/>
      <c r="P217" s="359"/>
      <c r="Q217" s="357"/>
    </row>
    <row r="218" spans="2:17" ht="14.25" customHeight="1" x14ac:dyDescent="0.2">
      <c r="B218" s="349" t="s">
        <v>187</v>
      </c>
      <c r="C218" s="350"/>
      <c r="D218" s="351"/>
      <c r="E218" s="349"/>
      <c r="F218" s="358"/>
      <c r="G218" s="298"/>
      <c r="H218" s="299"/>
      <c r="I218" s="299"/>
      <c r="J218" s="299"/>
      <c r="K218" s="300"/>
      <c r="L218" s="352"/>
      <c r="M218" s="353"/>
      <c r="N218" s="354"/>
      <c r="O218" s="355"/>
      <c r="P218" s="359"/>
      <c r="Q218" s="357"/>
    </row>
    <row r="219" spans="2:17" ht="14.25" customHeight="1" x14ac:dyDescent="0.2">
      <c r="B219" s="349" t="s">
        <v>188</v>
      </c>
      <c r="C219" s="350"/>
      <c r="D219" s="351"/>
      <c r="E219" s="349"/>
      <c r="F219" s="358"/>
      <c r="G219" s="298"/>
      <c r="H219" s="299"/>
      <c r="I219" s="299"/>
      <c r="J219" s="299"/>
      <c r="K219" s="300"/>
      <c r="L219" s="352"/>
      <c r="M219" s="353"/>
      <c r="N219" s="354"/>
      <c r="O219" s="355"/>
      <c r="P219" s="359"/>
      <c r="Q219" s="357"/>
    </row>
    <row r="220" spans="2:17" ht="14.25" customHeight="1" x14ac:dyDescent="0.2">
      <c r="B220" s="349" t="s">
        <v>189</v>
      </c>
      <c r="C220" s="350"/>
      <c r="D220" s="351"/>
      <c r="E220" s="349"/>
      <c r="F220" s="358"/>
      <c r="G220" s="298"/>
      <c r="H220" s="299"/>
      <c r="I220" s="299"/>
      <c r="J220" s="299"/>
      <c r="K220" s="300"/>
      <c r="L220" s="352"/>
      <c r="M220" s="353"/>
      <c r="N220" s="354"/>
      <c r="O220" s="355"/>
      <c r="P220" s="359"/>
      <c r="Q220" s="357"/>
    </row>
    <row r="221" spans="2:17" ht="14.25" customHeight="1" x14ac:dyDescent="0.2">
      <c r="B221" s="349" t="s">
        <v>190</v>
      </c>
      <c r="C221" s="350"/>
      <c r="D221" s="351"/>
      <c r="E221" s="349"/>
      <c r="F221" s="358"/>
      <c r="G221" s="298"/>
      <c r="H221" s="299"/>
      <c r="I221" s="299"/>
      <c r="J221" s="299"/>
      <c r="K221" s="300"/>
      <c r="L221" s="352"/>
      <c r="M221" s="353"/>
      <c r="N221" s="354"/>
      <c r="O221" s="355"/>
      <c r="P221" s="359"/>
      <c r="Q221" s="357"/>
    </row>
    <row r="222" spans="2:17" ht="14.25" customHeight="1" x14ac:dyDescent="0.2">
      <c r="B222" s="349" t="s">
        <v>191</v>
      </c>
      <c r="C222" s="350"/>
      <c r="D222" s="351"/>
      <c r="E222" s="349"/>
      <c r="F222" s="358"/>
      <c r="G222" s="298"/>
      <c r="H222" s="299"/>
      <c r="I222" s="299"/>
      <c r="J222" s="299"/>
      <c r="K222" s="300"/>
      <c r="L222" s="352"/>
      <c r="M222" s="353"/>
      <c r="N222" s="354"/>
      <c r="O222" s="355"/>
      <c r="P222" s="359"/>
      <c r="Q222" s="357"/>
    </row>
    <row r="223" spans="2:17" ht="14.25" customHeight="1" x14ac:dyDescent="0.2">
      <c r="B223" s="349" t="s">
        <v>192</v>
      </c>
      <c r="C223" s="350"/>
      <c r="D223" s="351"/>
      <c r="E223" s="349"/>
      <c r="F223" s="358"/>
      <c r="G223" s="298"/>
      <c r="H223" s="299"/>
      <c r="I223" s="299"/>
      <c r="J223" s="299"/>
      <c r="K223" s="300"/>
      <c r="L223" s="352"/>
      <c r="M223" s="353"/>
      <c r="N223" s="354"/>
      <c r="O223" s="355"/>
      <c r="P223" s="359"/>
      <c r="Q223" s="357"/>
    </row>
    <row r="224" spans="2:17" ht="14.25" customHeight="1" x14ac:dyDescent="0.2">
      <c r="B224" s="349" t="s">
        <v>193</v>
      </c>
      <c r="C224" s="350"/>
      <c r="D224" s="351"/>
      <c r="E224" s="349"/>
      <c r="F224" s="358"/>
      <c r="G224" s="298"/>
      <c r="H224" s="299"/>
      <c r="I224" s="299"/>
      <c r="J224" s="299"/>
      <c r="K224" s="300"/>
      <c r="L224" s="352"/>
      <c r="M224" s="353"/>
      <c r="N224" s="354"/>
      <c r="O224" s="355"/>
      <c r="P224" s="359"/>
      <c r="Q224" s="357"/>
    </row>
    <row r="225" spans="2:21" ht="14.25" customHeight="1" x14ac:dyDescent="0.2">
      <c r="B225" s="349" t="s">
        <v>194</v>
      </c>
      <c r="C225" s="350"/>
      <c r="D225" s="351"/>
      <c r="E225" s="349"/>
      <c r="F225" s="358"/>
      <c r="G225" s="298"/>
      <c r="H225" s="299"/>
      <c r="I225" s="299"/>
      <c r="J225" s="299"/>
      <c r="K225" s="300"/>
      <c r="L225" s="352"/>
      <c r="M225" s="353"/>
      <c r="N225" s="354"/>
      <c r="O225" s="355"/>
      <c r="P225" s="359"/>
      <c r="Q225" s="357"/>
    </row>
    <row r="226" spans="2:21" ht="14.25" customHeight="1" x14ac:dyDescent="0.2">
      <c r="B226" s="349" t="s">
        <v>195</v>
      </c>
      <c r="C226" s="350"/>
      <c r="D226" s="351"/>
      <c r="E226" s="349"/>
      <c r="F226" s="358"/>
      <c r="G226" s="298"/>
      <c r="H226" s="299"/>
      <c r="I226" s="299"/>
      <c r="J226" s="299"/>
      <c r="K226" s="300"/>
      <c r="L226" s="352"/>
      <c r="M226" s="353"/>
      <c r="N226" s="354"/>
      <c r="O226" s="355"/>
      <c r="P226" s="359"/>
      <c r="Q226" s="357"/>
    </row>
    <row r="227" spans="2:21" ht="14.25" customHeight="1" x14ac:dyDescent="0.2">
      <c r="B227" s="349" t="s">
        <v>196</v>
      </c>
      <c r="C227" s="350"/>
      <c r="D227" s="351"/>
      <c r="E227" s="349"/>
      <c r="F227" s="358"/>
      <c r="G227" s="298"/>
      <c r="H227" s="299"/>
      <c r="I227" s="299"/>
      <c r="J227" s="299"/>
      <c r="K227" s="300"/>
      <c r="L227" s="352"/>
      <c r="M227" s="353"/>
      <c r="N227" s="354"/>
      <c r="O227" s="355"/>
      <c r="P227" s="359"/>
      <c r="Q227" s="357"/>
    </row>
    <row r="228" spans="2:21" ht="14.25" customHeight="1" x14ac:dyDescent="0.2">
      <c r="B228" s="13" t="s">
        <v>197</v>
      </c>
      <c r="C228" s="101"/>
      <c r="D228" s="42"/>
      <c r="E228" s="13"/>
      <c r="F228" s="43"/>
      <c r="G228" s="209"/>
      <c r="H228" s="46"/>
      <c r="I228" s="46"/>
      <c r="J228" s="46"/>
      <c r="K228" s="80"/>
      <c r="L228" s="81"/>
      <c r="M228" s="49"/>
      <c r="N228" s="50"/>
      <c r="O228" s="82"/>
      <c r="P228" s="181"/>
      <c r="Q228" s="219"/>
      <c r="U228" s="28"/>
    </row>
    <row r="229" spans="2:21" ht="14.25" customHeight="1" x14ac:dyDescent="0.2">
      <c r="B229" s="13" t="s">
        <v>198</v>
      </c>
      <c r="C229" s="101"/>
      <c r="D229" s="42"/>
      <c r="E229" s="13"/>
      <c r="F229" s="43"/>
      <c r="G229" s="209"/>
      <c r="H229" s="46"/>
      <c r="I229" s="46"/>
      <c r="J229" s="46"/>
      <c r="K229" s="80"/>
      <c r="L229" s="81"/>
      <c r="M229" s="49"/>
      <c r="N229" s="50"/>
      <c r="O229" s="82"/>
      <c r="P229" s="181"/>
      <c r="Q229" s="219"/>
      <c r="U229" s="28"/>
    </row>
    <row r="230" spans="2:21" ht="14.25" customHeight="1" x14ac:dyDescent="0.2">
      <c r="B230" s="13" t="s">
        <v>200</v>
      </c>
      <c r="C230" s="101"/>
      <c r="D230" s="42"/>
      <c r="E230" s="13"/>
      <c r="F230" s="43"/>
      <c r="G230" s="209"/>
      <c r="H230" s="46"/>
      <c r="I230" s="46"/>
      <c r="J230" s="46"/>
      <c r="K230" s="80"/>
      <c r="L230" s="81"/>
      <c r="M230" s="49"/>
      <c r="N230" s="50"/>
      <c r="O230" s="82"/>
      <c r="P230" s="181"/>
      <c r="Q230" s="219"/>
      <c r="U230" s="28"/>
    </row>
    <row r="231" spans="2:21" ht="14.25" customHeight="1" x14ac:dyDescent="0.2">
      <c r="B231" s="13" t="s">
        <v>201</v>
      </c>
      <c r="C231" s="101"/>
      <c r="D231" s="42"/>
      <c r="E231" s="13"/>
      <c r="F231" s="43"/>
      <c r="G231" s="209"/>
      <c r="H231" s="46"/>
      <c r="I231" s="46"/>
      <c r="J231" s="46"/>
      <c r="K231" s="80"/>
      <c r="L231" s="81"/>
      <c r="M231" s="49"/>
      <c r="N231" s="50"/>
      <c r="O231" s="82"/>
      <c r="P231" s="181"/>
      <c r="Q231" s="219"/>
    </row>
    <row r="232" spans="2:21" ht="14.25" customHeight="1" x14ac:dyDescent="0.2">
      <c r="B232" s="13" t="s">
        <v>202</v>
      </c>
      <c r="C232" s="101"/>
      <c r="D232" s="42"/>
      <c r="E232" s="13"/>
      <c r="F232" s="43"/>
      <c r="G232" s="209"/>
      <c r="H232" s="46"/>
      <c r="I232" s="46"/>
      <c r="J232" s="46"/>
      <c r="K232" s="80"/>
      <c r="L232" s="81"/>
      <c r="M232" s="49"/>
      <c r="N232" s="50"/>
      <c r="O232" s="82"/>
      <c r="P232" s="181"/>
      <c r="Q232" s="219"/>
      <c r="U232" s="28"/>
    </row>
    <row r="233" spans="2:21" ht="14.25" customHeight="1" x14ac:dyDescent="0.2">
      <c r="B233" s="13" t="s">
        <v>203</v>
      </c>
      <c r="C233" s="101"/>
      <c r="D233" s="42"/>
      <c r="E233" s="13"/>
      <c r="F233" s="43"/>
      <c r="G233" s="209"/>
      <c r="H233" s="46"/>
      <c r="I233" s="46"/>
      <c r="J233" s="46"/>
      <c r="K233" s="80"/>
      <c r="L233" s="81"/>
      <c r="M233" s="49"/>
      <c r="N233" s="50"/>
      <c r="O233" s="82"/>
      <c r="P233" s="181"/>
      <c r="Q233" s="219"/>
    </row>
    <row r="234" spans="2:21" ht="14.25" customHeight="1" x14ac:dyDescent="0.2">
      <c r="B234" s="13" t="s">
        <v>204</v>
      </c>
      <c r="C234" s="101"/>
      <c r="D234" s="42"/>
      <c r="E234" s="13"/>
      <c r="F234" s="43"/>
      <c r="G234" s="209"/>
      <c r="H234" s="46"/>
      <c r="I234" s="46"/>
      <c r="J234" s="46"/>
      <c r="K234" s="80"/>
      <c r="L234" s="81"/>
      <c r="M234" s="49"/>
      <c r="N234" s="50"/>
      <c r="O234" s="82"/>
      <c r="P234" s="181"/>
      <c r="Q234" s="219"/>
      <c r="U234" s="28"/>
    </row>
    <row r="235" spans="2:21" ht="14.25" customHeight="1" x14ac:dyDescent="0.2">
      <c r="B235" s="13" t="s">
        <v>205</v>
      </c>
      <c r="C235" s="101"/>
      <c r="D235" s="42"/>
      <c r="E235" s="13"/>
      <c r="F235" s="43"/>
      <c r="G235" s="209"/>
      <c r="H235" s="46"/>
      <c r="I235" s="46"/>
      <c r="J235" s="46"/>
      <c r="K235" s="80"/>
      <c r="L235" s="81"/>
      <c r="M235" s="49"/>
      <c r="N235" s="50"/>
      <c r="O235" s="82"/>
      <c r="P235" s="181"/>
      <c r="Q235" s="219"/>
    </row>
    <row r="236" spans="2:21" ht="14.25" customHeight="1" thickBot="1" x14ac:dyDescent="0.25">
      <c r="B236" s="228" t="s">
        <v>206</v>
      </c>
      <c r="C236" s="229"/>
      <c r="D236" s="230"/>
      <c r="E236" s="228"/>
      <c r="F236" s="231"/>
      <c r="G236" s="232"/>
      <c r="H236" s="233"/>
      <c r="I236" s="233"/>
      <c r="J236" s="233"/>
      <c r="K236" s="234"/>
      <c r="L236" s="235"/>
      <c r="M236" s="236"/>
      <c r="N236" s="237"/>
      <c r="O236" s="238"/>
      <c r="P236" s="239"/>
      <c r="Q236" s="240"/>
      <c r="U236" s="28"/>
    </row>
    <row r="237" spans="2:21" ht="14.25" customHeight="1" thickBot="1" x14ac:dyDescent="0.25">
      <c r="B237" s="171"/>
      <c r="C237" s="241"/>
      <c r="D237" s="242"/>
      <c r="E237" s="171"/>
      <c r="F237" s="243"/>
      <c r="G237" s="244"/>
      <c r="H237" s="245"/>
      <c r="I237" s="245"/>
      <c r="J237" s="245"/>
      <c r="K237" s="246"/>
      <c r="L237" s="190">
        <f>SUM(L197:L236)</f>
        <v>0</v>
      </c>
      <c r="M237" s="191" t="e">
        <f>AVERAGE(M197:M236)</f>
        <v>#DIV/0!</v>
      </c>
      <c r="N237" s="192">
        <f>SUM(N197:N236)</f>
        <v>0</v>
      </c>
      <c r="O237" s="191" t="e">
        <f>AVERAGE(O197:O236)</f>
        <v>#DIV/0!</v>
      </c>
      <c r="P237" s="193" t="e">
        <f>AVERAGE(P197:P236)</f>
        <v>#DIV/0!</v>
      </c>
      <c r="Q237" s="222"/>
    </row>
    <row r="238" spans="2:21" ht="14.25" customHeight="1" x14ac:dyDescent="0.2">
      <c r="B238" s="15"/>
      <c r="C238" s="15"/>
      <c r="D238" s="174"/>
      <c r="E238" s="15"/>
      <c r="F238" s="15"/>
      <c r="G238" s="15"/>
      <c r="H238" s="175"/>
      <c r="I238" s="175"/>
      <c r="J238" s="175"/>
      <c r="K238" s="175"/>
      <c r="L238" s="176"/>
      <c r="M238" s="177"/>
      <c r="N238" s="176"/>
      <c r="O238" s="177"/>
      <c r="P238" s="178"/>
      <c r="U238" s="28"/>
    </row>
    <row r="239" spans="2:21" ht="14.25" customHeight="1" x14ac:dyDescent="0.2">
      <c r="B239" s="15"/>
      <c r="C239" s="15"/>
      <c r="D239" s="174"/>
      <c r="E239" s="15"/>
      <c r="F239" s="15"/>
      <c r="G239" s="15"/>
      <c r="H239" s="175"/>
      <c r="I239" s="175"/>
      <c r="J239" s="175"/>
      <c r="K239" s="175"/>
      <c r="L239" s="176"/>
      <c r="M239" s="177"/>
      <c r="N239" s="176"/>
      <c r="O239" s="177"/>
      <c r="P239" s="178"/>
    </row>
    <row r="240" spans="2:21" ht="14.25" customHeight="1" x14ac:dyDescent="0.2">
      <c r="B240" s="3"/>
      <c r="C240" s="3"/>
      <c r="D240" s="3"/>
      <c r="E240" s="15"/>
      <c r="F240" s="3"/>
      <c r="G240" s="3"/>
      <c r="H240" s="175"/>
      <c r="I240" s="175"/>
      <c r="J240" s="175"/>
      <c r="K240" s="175"/>
      <c r="L240" s="176"/>
      <c r="M240" s="177"/>
      <c r="N240" s="176"/>
      <c r="O240" s="177"/>
      <c r="P240" s="179"/>
      <c r="U240" s="28"/>
    </row>
    <row r="241" spans="2:50" ht="73.5" customHeight="1" x14ac:dyDescent="0.2">
      <c r="M241" s="90"/>
      <c r="N241" s="90"/>
      <c r="O241" s="90"/>
    </row>
    <row r="242" spans="2:50" ht="13.5" customHeight="1" thickBot="1" x14ac:dyDescent="0.25">
      <c r="B242" s="17" t="s">
        <v>48</v>
      </c>
      <c r="C242" s="17"/>
      <c r="M242" s="90"/>
      <c r="N242" s="90"/>
      <c r="O242" s="90"/>
      <c r="U242" s="28"/>
    </row>
    <row r="243" spans="2:50" s="6" customFormat="1" ht="15" customHeight="1" thickBot="1" x14ac:dyDescent="0.25">
      <c r="B243" s="385" t="s">
        <v>1</v>
      </c>
      <c r="C243" s="387" t="s">
        <v>77</v>
      </c>
      <c r="D243" s="389" t="s">
        <v>104</v>
      </c>
      <c r="E243" s="385" t="s">
        <v>3</v>
      </c>
      <c r="F243" s="391" t="s">
        <v>101</v>
      </c>
      <c r="G243" s="389" t="s">
        <v>5</v>
      </c>
      <c r="H243" s="406"/>
      <c r="I243" s="406"/>
      <c r="J243" s="406"/>
      <c r="K243" s="406"/>
      <c r="L243" s="247" t="s">
        <v>6</v>
      </c>
      <c r="M243" s="248"/>
      <c r="N243" s="248"/>
      <c r="O243" s="248"/>
      <c r="P243" s="248"/>
      <c r="Q243" s="249"/>
      <c r="R243" s="29"/>
      <c r="S243" s="29"/>
      <c r="T243" s="29"/>
      <c r="U243" s="24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</row>
    <row r="244" spans="2:50" s="6" customFormat="1" ht="27.75" customHeight="1" thickBot="1" x14ac:dyDescent="0.25">
      <c r="B244" s="386"/>
      <c r="C244" s="388"/>
      <c r="D244" s="390"/>
      <c r="E244" s="386"/>
      <c r="F244" s="392"/>
      <c r="G244" s="301" t="s">
        <v>116</v>
      </c>
      <c r="H244" s="153" t="s">
        <v>118</v>
      </c>
      <c r="I244" s="153" t="s">
        <v>120</v>
      </c>
      <c r="J244" s="153" t="s">
        <v>112</v>
      </c>
      <c r="K244" s="154" t="s">
        <v>114</v>
      </c>
      <c r="L244" s="206" t="s">
        <v>18</v>
      </c>
      <c r="M244" s="207" t="s">
        <v>19</v>
      </c>
      <c r="N244" s="207" t="s">
        <v>20</v>
      </c>
      <c r="O244" s="207" t="s">
        <v>21</v>
      </c>
      <c r="P244" s="208" t="s">
        <v>22</v>
      </c>
      <c r="Q244" s="224" t="s">
        <v>106</v>
      </c>
      <c r="R244" s="29"/>
      <c r="S244" s="29"/>
      <c r="T244" s="29"/>
      <c r="U244" s="28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</row>
    <row r="245" spans="2:50" ht="15" customHeight="1" x14ac:dyDescent="0.2">
      <c r="B245" s="12" t="s">
        <v>107</v>
      </c>
      <c r="C245" s="100"/>
      <c r="D245" s="31"/>
      <c r="E245" s="12"/>
      <c r="F245" s="32"/>
      <c r="G245" s="298"/>
      <c r="H245" s="299"/>
      <c r="I245" s="299"/>
      <c r="J245" s="299"/>
      <c r="K245" s="300"/>
      <c r="L245" s="77"/>
      <c r="M245" s="38"/>
      <c r="N245" s="39"/>
      <c r="O245" s="78"/>
      <c r="P245" s="180"/>
      <c r="Q245" s="218"/>
    </row>
    <row r="246" spans="2:50" ht="15" customHeight="1" x14ac:dyDescent="0.2">
      <c r="B246" s="349" t="s">
        <v>108</v>
      </c>
      <c r="C246" s="350"/>
      <c r="D246" s="351"/>
      <c r="E246" s="349"/>
      <c r="F246" s="358"/>
      <c r="G246" s="298"/>
      <c r="H246" s="299"/>
      <c r="I246" s="299"/>
      <c r="J246" s="299"/>
      <c r="K246" s="300"/>
      <c r="L246" s="352"/>
      <c r="M246" s="353"/>
      <c r="N246" s="354"/>
      <c r="O246" s="355"/>
      <c r="P246" s="359"/>
      <c r="Q246" s="357"/>
    </row>
    <row r="247" spans="2:50" ht="15" customHeight="1" x14ac:dyDescent="0.2">
      <c r="B247" s="349" t="s">
        <v>80</v>
      </c>
      <c r="C247" s="350"/>
      <c r="D247" s="351"/>
      <c r="E247" s="349"/>
      <c r="F247" s="358"/>
      <c r="G247" s="298"/>
      <c r="H247" s="299"/>
      <c r="I247" s="299"/>
      <c r="J247" s="299"/>
      <c r="K247" s="300"/>
      <c r="L247" s="352"/>
      <c r="M247" s="353"/>
      <c r="N247" s="354"/>
      <c r="O247" s="355"/>
      <c r="P247" s="359"/>
      <c r="Q247" s="357"/>
    </row>
    <row r="248" spans="2:50" ht="15" customHeight="1" x14ac:dyDescent="0.2">
      <c r="B248" s="349" t="s">
        <v>81</v>
      </c>
      <c r="C248" s="350"/>
      <c r="D248" s="351"/>
      <c r="E248" s="349"/>
      <c r="F248" s="358"/>
      <c r="G248" s="298"/>
      <c r="H248" s="299"/>
      <c r="I248" s="299"/>
      <c r="J248" s="299"/>
      <c r="K248" s="300"/>
      <c r="L248" s="352"/>
      <c r="M248" s="353"/>
      <c r="N248" s="354"/>
      <c r="O248" s="355"/>
      <c r="P248" s="359"/>
      <c r="Q248" s="357"/>
    </row>
    <row r="249" spans="2:50" ht="15" customHeight="1" x14ac:dyDescent="0.2">
      <c r="B249" s="349" t="s">
        <v>82</v>
      </c>
      <c r="C249" s="350"/>
      <c r="D249" s="351"/>
      <c r="E249" s="349"/>
      <c r="F249" s="358"/>
      <c r="G249" s="298"/>
      <c r="H249" s="299"/>
      <c r="I249" s="299"/>
      <c r="J249" s="299"/>
      <c r="K249" s="300"/>
      <c r="L249" s="352"/>
      <c r="M249" s="353"/>
      <c r="N249" s="354"/>
      <c r="O249" s="355"/>
      <c r="P249" s="359"/>
      <c r="Q249" s="357"/>
    </row>
    <row r="250" spans="2:50" ht="15" customHeight="1" x14ac:dyDescent="0.2">
      <c r="B250" s="349" t="s">
        <v>83</v>
      </c>
      <c r="C250" s="350"/>
      <c r="D250" s="351"/>
      <c r="E250" s="349"/>
      <c r="F250" s="358"/>
      <c r="G250" s="298"/>
      <c r="H250" s="299"/>
      <c r="I250" s="299"/>
      <c r="J250" s="299"/>
      <c r="K250" s="300"/>
      <c r="L250" s="352"/>
      <c r="M250" s="353"/>
      <c r="N250" s="354"/>
      <c r="O250" s="355"/>
      <c r="P250" s="359"/>
      <c r="Q250" s="357"/>
    </row>
    <row r="251" spans="2:50" ht="15" customHeight="1" x14ac:dyDescent="0.2">
      <c r="B251" s="349" t="s">
        <v>84</v>
      </c>
      <c r="C251" s="350"/>
      <c r="D251" s="351"/>
      <c r="E251" s="349"/>
      <c r="F251" s="358"/>
      <c r="G251" s="298"/>
      <c r="H251" s="299"/>
      <c r="I251" s="299"/>
      <c r="J251" s="299"/>
      <c r="K251" s="300"/>
      <c r="L251" s="352"/>
      <c r="M251" s="353"/>
      <c r="N251" s="354"/>
      <c r="O251" s="355"/>
      <c r="P251" s="359"/>
      <c r="Q251" s="357"/>
    </row>
    <row r="252" spans="2:50" ht="15" customHeight="1" x14ac:dyDescent="0.2">
      <c r="B252" s="349" t="s">
        <v>85</v>
      </c>
      <c r="C252" s="350"/>
      <c r="D252" s="351"/>
      <c r="E252" s="349"/>
      <c r="F252" s="358"/>
      <c r="G252" s="298"/>
      <c r="H252" s="299"/>
      <c r="I252" s="299"/>
      <c r="J252" s="299"/>
      <c r="K252" s="300"/>
      <c r="L252" s="352"/>
      <c r="M252" s="353"/>
      <c r="N252" s="354"/>
      <c r="O252" s="355"/>
      <c r="P252" s="359"/>
      <c r="Q252" s="357"/>
    </row>
    <row r="253" spans="2:50" ht="15" customHeight="1" x14ac:dyDescent="0.2">
      <c r="B253" s="349" t="s">
        <v>86</v>
      </c>
      <c r="C253" s="350"/>
      <c r="D253" s="351"/>
      <c r="E253" s="349"/>
      <c r="F253" s="358"/>
      <c r="G253" s="298"/>
      <c r="H253" s="299"/>
      <c r="I253" s="299"/>
      <c r="J253" s="299"/>
      <c r="K253" s="300"/>
      <c r="L253" s="352"/>
      <c r="M253" s="353"/>
      <c r="N253" s="354"/>
      <c r="O253" s="355"/>
      <c r="P253" s="359"/>
      <c r="Q253" s="357"/>
    </row>
    <row r="254" spans="2:50" ht="15" customHeight="1" x14ac:dyDescent="0.2">
      <c r="B254" s="349" t="s">
        <v>87</v>
      </c>
      <c r="C254" s="350"/>
      <c r="D254" s="351"/>
      <c r="E254" s="349"/>
      <c r="F254" s="358"/>
      <c r="G254" s="298"/>
      <c r="H254" s="299"/>
      <c r="I254" s="299"/>
      <c r="J254" s="299"/>
      <c r="K254" s="300"/>
      <c r="L254" s="352"/>
      <c r="M254" s="353"/>
      <c r="N254" s="354"/>
      <c r="O254" s="355"/>
      <c r="P254" s="359"/>
      <c r="Q254" s="357"/>
    </row>
    <row r="255" spans="2:50" ht="15" customHeight="1" x14ac:dyDescent="0.2">
      <c r="B255" s="349" t="s">
        <v>176</v>
      </c>
      <c r="C255" s="350"/>
      <c r="D255" s="351"/>
      <c r="E255" s="349"/>
      <c r="F255" s="358"/>
      <c r="G255" s="298"/>
      <c r="H255" s="299"/>
      <c r="I255" s="299"/>
      <c r="J255" s="299"/>
      <c r="K255" s="300"/>
      <c r="L255" s="352"/>
      <c r="M255" s="353"/>
      <c r="N255" s="354"/>
      <c r="O255" s="355"/>
      <c r="P255" s="359"/>
      <c r="Q255" s="357"/>
    </row>
    <row r="256" spans="2:50" ht="15" customHeight="1" x14ac:dyDescent="0.2">
      <c r="B256" s="349" t="s">
        <v>177</v>
      </c>
      <c r="C256" s="350"/>
      <c r="D256" s="351"/>
      <c r="E256" s="349"/>
      <c r="F256" s="358"/>
      <c r="G256" s="298"/>
      <c r="H256" s="299"/>
      <c r="I256" s="299"/>
      <c r="J256" s="299"/>
      <c r="K256" s="300"/>
      <c r="L256" s="352"/>
      <c r="M256" s="353"/>
      <c r="N256" s="354"/>
      <c r="O256" s="355"/>
      <c r="P256" s="359"/>
      <c r="Q256" s="357"/>
    </row>
    <row r="257" spans="2:17" ht="15" customHeight="1" x14ac:dyDescent="0.2">
      <c r="B257" s="349" t="s">
        <v>178</v>
      </c>
      <c r="C257" s="350"/>
      <c r="D257" s="351"/>
      <c r="E257" s="349"/>
      <c r="F257" s="358"/>
      <c r="G257" s="298"/>
      <c r="H257" s="299"/>
      <c r="I257" s="299"/>
      <c r="J257" s="299"/>
      <c r="K257" s="300"/>
      <c r="L257" s="352"/>
      <c r="M257" s="353"/>
      <c r="N257" s="354"/>
      <c r="O257" s="355"/>
      <c r="P257" s="359"/>
      <c r="Q257" s="357"/>
    </row>
    <row r="258" spans="2:17" ht="15" customHeight="1" x14ac:dyDescent="0.2">
      <c r="B258" s="349" t="s">
        <v>179</v>
      </c>
      <c r="C258" s="350"/>
      <c r="D258" s="351"/>
      <c r="E258" s="349"/>
      <c r="F258" s="358"/>
      <c r="G258" s="298"/>
      <c r="H258" s="299"/>
      <c r="I258" s="299"/>
      <c r="J258" s="299"/>
      <c r="K258" s="300"/>
      <c r="L258" s="352"/>
      <c r="M258" s="353"/>
      <c r="N258" s="354"/>
      <c r="O258" s="355"/>
      <c r="P258" s="359"/>
      <c r="Q258" s="357"/>
    </row>
    <row r="259" spans="2:17" ht="15" customHeight="1" x14ac:dyDescent="0.2">
      <c r="B259" s="349" t="s">
        <v>180</v>
      </c>
      <c r="C259" s="350"/>
      <c r="D259" s="351"/>
      <c r="E259" s="349"/>
      <c r="F259" s="358"/>
      <c r="G259" s="298"/>
      <c r="H259" s="299"/>
      <c r="I259" s="299"/>
      <c r="J259" s="299"/>
      <c r="K259" s="300"/>
      <c r="L259" s="352"/>
      <c r="M259" s="353"/>
      <c r="N259" s="354"/>
      <c r="O259" s="355"/>
      <c r="P259" s="359"/>
      <c r="Q259" s="357"/>
    </row>
    <row r="260" spans="2:17" ht="15" customHeight="1" x14ac:dyDescent="0.2">
      <c r="B260" s="349" t="s">
        <v>181</v>
      </c>
      <c r="C260" s="350"/>
      <c r="D260" s="351"/>
      <c r="E260" s="349"/>
      <c r="F260" s="358"/>
      <c r="G260" s="298"/>
      <c r="H260" s="299"/>
      <c r="I260" s="299"/>
      <c r="J260" s="299"/>
      <c r="K260" s="300"/>
      <c r="L260" s="352"/>
      <c r="M260" s="353"/>
      <c r="N260" s="354"/>
      <c r="O260" s="355"/>
      <c r="P260" s="359"/>
      <c r="Q260" s="357"/>
    </row>
    <row r="261" spans="2:17" ht="15" customHeight="1" x14ac:dyDescent="0.2">
      <c r="B261" s="349" t="s">
        <v>182</v>
      </c>
      <c r="C261" s="350"/>
      <c r="D261" s="351"/>
      <c r="E261" s="349"/>
      <c r="F261" s="358"/>
      <c r="G261" s="298"/>
      <c r="H261" s="299"/>
      <c r="I261" s="299"/>
      <c r="J261" s="299"/>
      <c r="K261" s="300"/>
      <c r="L261" s="352"/>
      <c r="M261" s="353"/>
      <c r="N261" s="354"/>
      <c r="O261" s="355"/>
      <c r="P261" s="359"/>
      <c r="Q261" s="357"/>
    </row>
    <row r="262" spans="2:17" ht="15" customHeight="1" x14ac:dyDescent="0.2">
      <c r="B262" s="349" t="s">
        <v>183</v>
      </c>
      <c r="C262" s="350"/>
      <c r="D262" s="351"/>
      <c r="E262" s="349"/>
      <c r="F262" s="358"/>
      <c r="G262" s="298"/>
      <c r="H262" s="299"/>
      <c r="I262" s="299"/>
      <c r="J262" s="299"/>
      <c r="K262" s="300"/>
      <c r="L262" s="352"/>
      <c r="M262" s="353"/>
      <c r="N262" s="354"/>
      <c r="O262" s="355"/>
      <c r="P262" s="359"/>
      <c r="Q262" s="357"/>
    </row>
    <row r="263" spans="2:17" ht="15" customHeight="1" x14ac:dyDescent="0.2">
      <c r="B263" s="349" t="s">
        <v>184</v>
      </c>
      <c r="C263" s="350"/>
      <c r="D263" s="351"/>
      <c r="E263" s="349"/>
      <c r="F263" s="358"/>
      <c r="G263" s="298"/>
      <c r="H263" s="299"/>
      <c r="I263" s="299"/>
      <c r="J263" s="299"/>
      <c r="K263" s="300"/>
      <c r="L263" s="352"/>
      <c r="M263" s="353"/>
      <c r="N263" s="354"/>
      <c r="O263" s="355"/>
      <c r="P263" s="359"/>
      <c r="Q263" s="357"/>
    </row>
    <row r="264" spans="2:17" ht="15" customHeight="1" x14ac:dyDescent="0.2">
      <c r="B264" s="349" t="s">
        <v>185</v>
      </c>
      <c r="C264" s="350"/>
      <c r="D264" s="351"/>
      <c r="E264" s="349"/>
      <c r="F264" s="358"/>
      <c r="G264" s="298"/>
      <c r="H264" s="299"/>
      <c r="I264" s="299"/>
      <c r="J264" s="299"/>
      <c r="K264" s="300"/>
      <c r="L264" s="352"/>
      <c r="M264" s="353"/>
      <c r="N264" s="354"/>
      <c r="O264" s="355"/>
      <c r="P264" s="359"/>
      <c r="Q264" s="357"/>
    </row>
    <row r="265" spans="2:17" ht="15" customHeight="1" x14ac:dyDescent="0.2">
      <c r="B265" s="349" t="s">
        <v>186</v>
      </c>
      <c r="C265" s="350"/>
      <c r="D265" s="351"/>
      <c r="E265" s="349"/>
      <c r="F265" s="358"/>
      <c r="G265" s="298"/>
      <c r="H265" s="299"/>
      <c r="I265" s="299"/>
      <c r="J265" s="299"/>
      <c r="K265" s="300"/>
      <c r="L265" s="352"/>
      <c r="M265" s="353"/>
      <c r="N265" s="354"/>
      <c r="O265" s="355"/>
      <c r="P265" s="359"/>
      <c r="Q265" s="357"/>
    </row>
    <row r="266" spans="2:17" ht="15" customHeight="1" x14ac:dyDescent="0.2">
      <c r="B266" s="349" t="s">
        <v>187</v>
      </c>
      <c r="C266" s="350"/>
      <c r="D266" s="351"/>
      <c r="E266" s="349"/>
      <c r="F266" s="358"/>
      <c r="G266" s="298"/>
      <c r="H266" s="299"/>
      <c r="I266" s="299"/>
      <c r="J266" s="299"/>
      <c r="K266" s="300"/>
      <c r="L266" s="352"/>
      <c r="M266" s="353"/>
      <c r="N266" s="354"/>
      <c r="O266" s="355"/>
      <c r="P266" s="359"/>
      <c r="Q266" s="357"/>
    </row>
    <row r="267" spans="2:17" ht="15" customHeight="1" x14ac:dyDescent="0.2">
      <c r="B267" s="349" t="s">
        <v>188</v>
      </c>
      <c r="C267" s="350"/>
      <c r="D267" s="351"/>
      <c r="E267" s="349"/>
      <c r="F267" s="358"/>
      <c r="G267" s="298"/>
      <c r="H267" s="299"/>
      <c r="I267" s="299"/>
      <c r="J267" s="299"/>
      <c r="K267" s="300"/>
      <c r="L267" s="352"/>
      <c r="M267" s="353"/>
      <c r="N267" s="354"/>
      <c r="O267" s="355"/>
      <c r="P267" s="359"/>
      <c r="Q267" s="357"/>
    </row>
    <row r="268" spans="2:17" ht="15" customHeight="1" x14ac:dyDescent="0.2">
      <c r="B268" s="349" t="s">
        <v>189</v>
      </c>
      <c r="C268" s="350"/>
      <c r="D268" s="351"/>
      <c r="E268" s="349"/>
      <c r="F268" s="358"/>
      <c r="G268" s="298"/>
      <c r="H268" s="299"/>
      <c r="I268" s="299"/>
      <c r="J268" s="299"/>
      <c r="K268" s="300"/>
      <c r="L268" s="352"/>
      <c r="M268" s="353"/>
      <c r="N268" s="354"/>
      <c r="O268" s="355"/>
      <c r="P268" s="359"/>
      <c r="Q268" s="357"/>
    </row>
    <row r="269" spans="2:17" ht="15" customHeight="1" x14ac:dyDescent="0.2">
      <c r="B269" s="349" t="s">
        <v>190</v>
      </c>
      <c r="C269" s="350"/>
      <c r="D269" s="351"/>
      <c r="E269" s="349"/>
      <c r="F269" s="358"/>
      <c r="G269" s="298"/>
      <c r="H269" s="299"/>
      <c r="I269" s="299"/>
      <c r="J269" s="299"/>
      <c r="K269" s="300"/>
      <c r="L269" s="352"/>
      <c r="M269" s="353"/>
      <c r="N269" s="354"/>
      <c r="O269" s="355"/>
      <c r="P269" s="359"/>
      <c r="Q269" s="357"/>
    </row>
    <row r="270" spans="2:17" ht="15" customHeight="1" x14ac:dyDescent="0.2">
      <c r="B270" s="349" t="s">
        <v>191</v>
      </c>
      <c r="C270" s="350"/>
      <c r="D270" s="351"/>
      <c r="E270" s="349"/>
      <c r="F270" s="358"/>
      <c r="G270" s="298"/>
      <c r="H270" s="299"/>
      <c r="I270" s="299"/>
      <c r="J270" s="299"/>
      <c r="K270" s="300"/>
      <c r="L270" s="352"/>
      <c r="M270" s="353"/>
      <c r="N270" s="354"/>
      <c r="O270" s="355"/>
      <c r="P270" s="359"/>
      <c r="Q270" s="357"/>
    </row>
    <row r="271" spans="2:17" ht="15" customHeight="1" x14ac:dyDescent="0.2">
      <c r="B271" s="349" t="s">
        <v>192</v>
      </c>
      <c r="C271" s="350"/>
      <c r="D271" s="351"/>
      <c r="E271" s="349"/>
      <c r="F271" s="358"/>
      <c r="G271" s="298"/>
      <c r="H271" s="299"/>
      <c r="I271" s="299"/>
      <c r="J271" s="299"/>
      <c r="K271" s="300"/>
      <c r="L271" s="352"/>
      <c r="M271" s="353"/>
      <c r="N271" s="354"/>
      <c r="O271" s="355"/>
      <c r="P271" s="359"/>
      <c r="Q271" s="357"/>
    </row>
    <row r="272" spans="2:17" ht="15" customHeight="1" x14ac:dyDescent="0.2">
      <c r="B272" s="349" t="s">
        <v>193</v>
      </c>
      <c r="C272" s="350"/>
      <c r="D272" s="351"/>
      <c r="E272" s="349"/>
      <c r="F272" s="358"/>
      <c r="G272" s="298"/>
      <c r="H272" s="299"/>
      <c r="I272" s="299"/>
      <c r="J272" s="299"/>
      <c r="K272" s="300"/>
      <c r="L272" s="352"/>
      <c r="M272" s="353"/>
      <c r="N272" s="354"/>
      <c r="O272" s="355"/>
      <c r="P272" s="359"/>
      <c r="Q272" s="357"/>
    </row>
    <row r="273" spans="2:21" ht="15" customHeight="1" x14ac:dyDescent="0.2">
      <c r="B273" s="349" t="s">
        <v>194</v>
      </c>
      <c r="C273" s="350"/>
      <c r="D273" s="351"/>
      <c r="E273" s="349"/>
      <c r="F273" s="358"/>
      <c r="G273" s="298"/>
      <c r="H273" s="299"/>
      <c r="I273" s="299"/>
      <c r="J273" s="299"/>
      <c r="K273" s="300"/>
      <c r="L273" s="352"/>
      <c r="M273" s="353"/>
      <c r="N273" s="354"/>
      <c r="O273" s="355"/>
      <c r="P273" s="359"/>
      <c r="Q273" s="357"/>
    </row>
    <row r="274" spans="2:21" ht="15" customHeight="1" x14ac:dyDescent="0.2">
      <c r="B274" s="349" t="s">
        <v>195</v>
      </c>
      <c r="C274" s="350"/>
      <c r="D274" s="351"/>
      <c r="E274" s="349"/>
      <c r="F274" s="358"/>
      <c r="G274" s="298"/>
      <c r="H274" s="299"/>
      <c r="I274" s="299"/>
      <c r="J274" s="299"/>
      <c r="K274" s="300"/>
      <c r="L274" s="352"/>
      <c r="M274" s="353"/>
      <c r="N274" s="354"/>
      <c r="O274" s="355"/>
      <c r="P274" s="359"/>
      <c r="Q274" s="357"/>
    </row>
    <row r="275" spans="2:21" ht="15" customHeight="1" x14ac:dyDescent="0.2">
      <c r="B275" s="349" t="s">
        <v>196</v>
      </c>
      <c r="C275" s="350"/>
      <c r="D275" s="351"/>
      <c r="E275" s="349"/>
      <c r="F275" s="358"/>
      <c r="G275" s="298"/>
      <c r="H275" s="299"/>
      <c r="I275" s="299"/>
      <c r="J275" s="299"/>
      <c r="K275" s="300"/>
      <c r="L275" s="352"/>
      <c r="M275" s="353"/>
      <c r="N275" s="354"/>
      <c r="O275" s="355"/>
      <c r="P275" s="359"/>
      <c r="Q275" s="357"/>
    </row>
    <row r="276" spans="2:21" ht="15" customHeight="1" x14ac:dyDescent="0.2">
      <c r="B276" s="13" t="s">
        <v>197</v>
      </c>
      <c r="C276" s="101"/>
      <c r="D276" s="42"/>
      <c r="E276" s="13"/>
      <c r="F276" s="43"/>
      <c r="G276" s="209"/>
      <c r="H276" s="46"/>
      <c r="I276" s="46"/>
      <c r="J276" s="46"/>
      <c r="K276" s="80"/>
      <c r="L276" s="81"/>
      <c r="M276" s="49"/>
      <c r="N276" s="50"/>
      <c r="O276" s="82"/>
      <c r="P276" s="181"/>
      <c r="Q276" s="219"/>
      <c r="U276" s="28"/>
    </row>
    <row r="277" spans="2:21" ht="15" customHeight="1" x14ac:dyDescent="0.2">
      <c r="B277" s="13" t="s">
        <v>198</v>
      </c>
      <c r="C277" s="101"/>
      <c r="D277" s="42"/>
      <c r="E277" s="13"/>
      <c r="F277" s="43"/>
      <c r="G277" s="209"/>
      <c r="H277" s="46"/>
      <c r="I277" s="46"/>
      <c r="J277" s="46"/>
      <c r="K277" s="80"/>
      <c r="L277" s="81"/>
      <c r="M277" s="49"/>
      <c r="N277" s="50"/>
      <c r="O277" s="82"/>
      <c r="P277" s="181"/>
      <c r="Q277" s="219"/>
    </row>
    <row r="278" spans="2:21" ht="15" customHeight="1" x14ac:dyDescent="0.2">
      <c r="B278" s="13" t="s">
        <v>200</v>
      </c>
      <c r="C278" s="101"/>
      <c r="D278" s="42"/>
      <c r="E278" s="13"/>
      <c r="F278" s="43"/>
      <c r="G278" s="209"/>
      <c r="H278" s="46"/>
      <c r="I278" s="46"/>
      <c r="J278" s="46"/>
      <c r="K278" s="80"/>
      <c r="L278" s="81"/>
      <c r="M278" s="49"/>
      <c r="N278" s="50"/>
      <c r="O278" s="82"/>
      <c r="P278" s="181"/>
      <c r="Q278" s="219"/>
    </row>
    <row r="279" spans="2:21" ht="15" customHeight="1" x14ac:dyDescent="0.2">
      <c r="B279" s="13" t="s">
        <v>201</v>
      </c>
      <c r="C279" s="101"/>
      <c r="D279" s="42"/>
      <c r="E279" s="13"/>
      <c r="F279" s="43"/>
      <c r="G279" s="209"/>
      <c r="H279" s="46"/>
      <c r="I279" s="46"/>
      <c r="J279" s="46"/>
      <c r="K279" s="80"/>
      <c r="L279" s="81"/>
      <c r="M279" s="49"/>
      <c r="N279" s="50"/>
      <c r="O279" s="82"/>
      <c r="P279" s="181"/>
      <c r="Q279" s="219"/>
    </row>
    <row r="280" spans="2:21" ht="15" customHeight="1" x14ac:dyDescent="0.2">
      <c r="B280" s="13" t="s">
        <v>202</v>
      </c>
      <c r="C280" s="101"/>
      <c r="D280" s="42"/>
      <c r="E280" s="13"/>
      <c r="F280" s="43"/>
      <c r="G280" s="209"/>
      <c r="H280" s="46"/>
      <c r="I280" s="46"/>
      <c r="J280" s="46"/>
      <c r="K280" s="80"/>
      <c r="L280" s="81"/>
      <c r="M280" s="49"/>
      <c r="N280" s="50"/>
      <c r="O280" s="82"/>
      <c r="P280" s="181"/>
      <c r="Q280" s="219"/>
      <c r="U280" s="28"/>
    </row>
    <row r="281" spans="2:21" ht="15" customHeight="1" x14ac:dyDescent="0.2">
      <c r="B281" s="13" t="s">
        <v>203</v>
      </c>
      <c r="C281" s="101"/>
      <c r="D281" s="42"/>
      <c r="E281" s="13"/>
      <c r="F281" s="43"/>
      <c r="G281" s="209"/>
      <c r="H281" s="46"/>
      <c r="I281" s="46"/>
      <c r="J281" s="46"/>
      <c r="K281" s="80"/>
      <c r="L281" s="81"/>
      <c r="M281" s="49"/>
      <c r="N281" s="50"/>
      <c r="O281" s="82"/>
      <c r="P281" s="181"/>
      <c r="Q281" s="219"/>
    </row>
    <row r="282" spans="2:21" ht="15" customHeight="1" x14ac:dyDescent="0.2">
      <c r="B282" s="13" t="s">
        <v>204</v>
      </c>
      <c r="C282" s="101"/>
      <c r="D282" s="42"/>
      <c r="E282" s="13"/>
      <c r="F282" s="43"/>
      <c r="G282" s="209"/>
      <c r="H282" s="46"/>
      <c r="I282" s="46"/>
      <c r="J282" s="46"/>
      <c r="K282" s="80"/>
      <c r="L282" s="81"/>
      <c r="M282" s="49"/>
      <c r="N282" s="50"/>
      <c r="O282" s="82"/>
      <c r="P282" s="181"/>
      <c r="Q282" s="219"/>
      <c r="U282" s="28"/>
    </row>
    <row r="283" spans="2:21" ht="15" customHeight="1" x14ac:dyDescent="0.2">
      <c r="B283" s="13" t="s">
        <v>205</v>
      </c>
      <c r="C283" s="101"/>
      <c r="D283" s="42"/>
      <c r="E283" s="13"/>
      <c r="F283" s="43"/>
      <c r="G283" s="209"/>
      <c r="H283" s="46"/>
      <c r="I283" s="46"/>
      <c r="J283" s="46"/>
      <c r="K283" s="80"/>
      <c r="L283" s="81"/>
      <c r="M283" s="49"/>
      <c r="N283" s="50"/>
      <c r="O283" s="82"/>
      <c r="P283" s="181"/>
      <c r="Q283" s="219"/>
    </row>
    <row r="284" spans="2:21" ht="15" customHeight="1" thickBot="1" x14ac:dyDescent="0.25">
      <c r="B284" s="13" t="s">
        <v>206</v>
      </c>
      <c r="C284" s="101"/>
      <c r="D284" s="42"/>
      <c r="E284" s="13"/>
      <c r="F284" s="43"/>
      <c r="G284" s="209"/>
      <c r="H284" s="46"/>
      <c r="I284" s="46"/>
      <c r="J284" s="46"/>
      <c r="K284" s="80"/>
      <c r="L284" s="81"/>
      <c r="M284" s="49"/>
      <c r="N284" s="50"/>
      <c r="O284" s="82"/>
      <c r="P284" s="181"/>
      <c r="Q284" s="221"/>
      <c r="U284" s="28"/>
    </row>
    <row r="285" spans="2:21" ht="15" customHeight="1" thickBot="1" x14ac:dyDescent="0.25">
      <c r="B285" s="60"/>
      <c r="C285" s="148"/>
      <c r="D285" s="173"/>
      <c r="E285" s="171"/>
      <c r="F285" s="172"/>
      <c r="G285" s="210"/>
      <c r="H285" s="211"/>
      <c r="I285" s="211"/>
      <c r="J285" s="211"/>
      <c r="K285" s="212"/>
      <c r="L285" s="190">
        <f>SUM(L245:L284)</f>
        <v>0</v>
      </c>
      <c r="M285" s="191" t="e">
        <f>AVERAGE(M245:M284)</f>
        <v>#DIV/0!</v>
      </c>
      <c r="N285" s="192">
        <f>SUM(N245:N284)</f>
        <v>0</v>
      </c>
      <c r="O285" s="191" t="e">
        <f>AVERAGE(O245:O284)</f>
        <v>#DIV/0!</v>
      </c>
      <c r="P285" s="193" t="e">
        <f>AVERAGE(P245:P284)</f>
        <v>#DIV/0!</v>
      </c>
      <c r="Q285" s="225"/>
    </row>
    <row r="286" spans="2:21" ht="15" customHeight="1" x14ac:dyDescent="0.2">
      <c r="B286" s="15"/>
      <c r="C286" s="15"/>
      <c r="D286" s="174"/>
      <c r="E286" s="15"/>
      <c r="F286" s="15"/>
      <c r="G286" s="15"/>
      <c r="H286" s="175"/>
      <c r="I286" s="175"/>
      <c r="J286" s="175"/>
      <c r="K286" s="175"/>
      <c r="L286" s="176"/>
      <c r="M286" s="177"/>
      <c r="N286" s="176"/>
      <c r="O286" s="177"/>
      <c r="P286" s="178"/>
      <c r="U286" s="28"/>
    </row>
    <row r="287" spans="2:21" ht="15" customHeight="1" x14ac:dyDescent="0.2">
      <c r="B287" s="15"/>
      <c r="C287" s="15"/>
      <c r="D287" s="174"/>
      <c r="E287" s="15"/>
      <c r="F287" s="15"/>
      <c r="G287" s="15"/>
      <c r="H287" s="175"/>
      <c r="I287" s="175"/>
      <c r="J287" s="175"/>
      <c r="K287" s="175"/>
      <c r="L287" s="176"/>
      <c r="M287" s="177"/>
      <c r="N287" s="176"/>
      <c r="O287" s="177"/>
      <c r="P287" s="178"/>
    </row>
    <row r="288" spans="2:21" ht="15" customHeight="1" x14ac:dyDescent="0.2">
      <c r="B288" s="3"/>
      <c r="C288" s="3"/>
      <c r="D288" s="3"/>
      <c r="E288" s="15"/>
      <c r="F288" s="3"/>
      <c r="G288" s="3"/>
      <c r="H288" s="3"/>
      <c r="I288" s="3"/>
      <c r="J288" s="3"/>
      <c r="K288" s="3"/>
      <c r="L288" s="176"/>
      <c r="M288" s="177"/>
      <c r="N288" s="176"/>
      <c r="O288" s="177"/>
      <c r="P288" s="179"/>
      <c r="U288" s="28"/>
    </row>
    <row r="289" spans="2:50" ht="66" customHeight="1" x14ac:dyDescent="0.2">
      <c r="B289" s="3"/>
      <c r="C289" s="3"/>
      <c r="D289" s="3"/>
      <c r="E289" s="15"/>
      <c r="F289" s="3"/>
      <c r="G289" s="3"/>
      <c r="H289" s="3"/>
      <c r="I289" s="3"/>
      <c r="J289" s="3"/>
      <c r="K289" s="3"/>
      <c r="L289" s="15"/>
      <c r="M289" s="72"/>
      <c r="N289" s="15"/>
      <c r="O289" s="72"/>
      <c r="P289" s="4"/>
    </row>
    <row r="290" spans="2:50" ht="15" customHeight="1" thickBot="1" x14ac:dyDescent="0.25">
      <c r="B290" s="17" t="s">
        <v>49</v>
      </c>
      <c r="C290" s="17"/>
      <c r="M290" s="90"/>
      <c r="N290" s="90"/>
      <c r="O290" s="90"/>
      <c r="U290" s="28"/>
    </row>
    <row r="291" spans="2:50" ht="13.5" customHeight="1" thickBot="1" x14ac:dyDescent="0.25">
      <c r="B291" s="385" t="s">
        <v>1</v>
      </c>
      <c r="C291" s="387" t="s">
        <v>77</v>
      </c>
      <c r="D291" s="389" t="s">
        <v>104</v>
      </c>
      <c r="E291" s="385" t="s">
        <v>3</v>
      </c>
      <c r="F291" s="391" t="s">
        <v>101</v>
      </c>
      <c r="G291" s="389" t="s">
        <v>5</v>
      </c>
      <c r="H291" s="406"/>
      <c r="I291" s="406"/>
      <c r="J291" s="406"/>
      <c r="K291" s="406"/>
      <c r="L291" s="247" t="s">
        <v>6</v>
      </c>
      <c r="M291" s="248"/>
      <c r="N291" s="248"/>
      <c r="O291" s="248"/>
      <c r="P291" s="248"/>
      <c r="Q291" s="249"/>
    </row>
    <row r="292" spans="2:50" s="6" customFormat="1" ht="30.75" customHeight="1" thickBot="1" x14ac:dyDescent="0.25">
      <c r="B292" s="386"/>
      <c r="C292" s="388"/>
      <c r="D292" s="390"/>
      <c r="E292" s="386"/>
      <c r="F292" s="392"/>
      <c r="G292" s="301" t="s">
        <v>116</v>
      </c>
      <c r="H292" s="153" t="s">
        <v>118</v>
      </c>
      <c r="I292" s="153" t="s">
        <v>120</v>
      </c>
      <c r="J292" s="153" t="s">
        <v>112</v>
      </c>
      <c r="K292" s="154" t="s">
        <v>114</v>
      </c>
      <c r="L292" s="206" t="s">
        <v>18</v>
      </c>
      <c r="M292" s="207" t="s">
        <v>19</v>
      </c>
      <c r="N292" s="207" t="s">
        <v>20</v>
      </c>
      <c r="O292" s="207" t="s">
        <v>21</v>
      </c>
      <c r="P292" s="208" t="s">
        <v>22</v>
      </c>
      <c r="Q292" s="224" t="s">
        <v>106</v>
      </c>
      <c r="R292" s="29"/>
      <c r="S292" s="29"/>
      <c r="T292" s="29"/>
      <c r="U292" s="28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</row>
    <row r="293" spans="2:50" s="6" customFormat="1" ht="15" customHeight="1" x14ac:dyDescent="0.2">
      <c r="B293" s="12" t="s">
        <v>107</v>
      </c>
      <c r="C293" s="100"/>
      <c r="D293" s="31"/>
      <c r="E293" s="12"/>
      <c r="F293" s="32"/>
      <c r="G293" s="298"/>
      <c r="H293" s="299"/>
      <c r="I293" s="299"/>
      <c r="J293" s="299"/>
      <c r="K293" s="300"/>
      <c r="L293" s="77"/>
      <c r="M293" s="38"/>
      <c r="N293" s="39"/>
      <c r="O293" s="78"/>
      <c r="P293" s="180"/>
      <c r="Q293" s="218"/>
      <c r="R293" s="29"/>
      <c r="S293" s="29"/>
      <c r="T293" s="29"/>
      <c r="U293" s="24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</row>
    <row r="294" spans="2:50" s="6" customFormat="1" ht="15" customHeight="1" x14ac:dyDescent="0.2">
      <c r="B294" s="349" t="s">
        <v>108</v>
      </c>
      <c r="C294" s="350"/>
      <c r="D294" s="351"/>
      <c r="E294" s="349"/>
      <c r="F294" s="358"/>
      <c r="G294" s="298"/>
      <c r="H294" s="299"/>
      <c r="I294" s="299"/>
      <c r="J294" s="299"/>
      <c r="K294" s="300"/>
      <c r="L294" s="352"/>
      <c r="M294" s="353"/>
      <c r="N294" s="354"/>
      <c r="O294" s="355"/>
      <c r="P294" s="359"/>
      <c r="Q294" s="357"/>
      <c r="R294" s="29"/>
      <c r="S294" s="29"/>
      <c r="T294" s="29"/>
      <c r="U294" s="24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</row>
    <row r="295" spans="2:50" s="6" customFormat="1" ht="15" customHeight="1" x14ac:dyDescent="0.2">
      <c r="B295" s="349" t="s">
        <v>80</v>
      </c>
      <c r="C295" s="350"/>
      <c r="D295" s="351"/>
      <c r="E295" s="349"/>
      <c r="F295" s="358"/>
      <c r="G295" s="298"/>
      <c r="H295" s="299"/>
      <c r="I295" s="299"/>
      <c r="J295" s="299"/>
      <c r="K295" s="300"/>
      <c r="L295" s="352"/>
      <c r="M295" s="353"/>
      <c r="N295" s="354"/>
      <c r="O295" s="355"/>
      <c r="P295" s="359"/>
      <c r="Q295" s="357"/>
      <c r="R295" s="29"/>
      <c r="S295" s="29"/>
      <c r="T295" s="29"/>
      <c r="U295" s="24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</row>
    <row r="296" spans="2:50" s="6" customFormat="1" ht="15" customHeight="1" x14ac:dyDescent="0.2">
      <c r="B296" s="349" t="s">
        <v>81</v>
      </c>
      <c r="C296" s="350"/>
      <c r="D296" s="351"/>
      <c r="E296" s="349"/>
      <c r="F296" s="358"/>
      <c r="G296" s="298"/>
      <c r="H296" s="299"/>
      <c r="I296" s="299"/>
      <c r="J296" s="299"/>
      <c r="K296" s="300"/>
      <c r="L296" s="352"/>
      <c r="M296" s="353"/>
      <c r="N296" s="354"/>
      <c r="O296" s="355"/>
      <c r="P296" s="359"/>
      <c r="Q296" s="357"/>
      <c r="R296" s="29"/>
      <c r="S296" s="29"/>
      <c r="T296" s="29"/>
      <c r="U296" s="24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</row>
    <row r="297" spans="2:50" s="6" customFormat="1" ht="15" customHeight="1" x14ac:dyDescent="0.2">
      <c r="B297" s="349" t="s">
        <v>82</v>
      </c>
      <c r="C297" s="350"/>
      <c r="D297" s="351"/>
      <c r="E297" s="349"/>
      <c r="F297" s="358"/>
      <c r="G297" s="298"/>
      <c r="H297" s="299"/>
      <c r="I297" s="299"/>
      <c r="J297" s="299"/>
      <c r="K297" s="300"/>
      <c r="L297" s="352"/>
      <c r="M297" s="353"/>
      <c r="N297" s="354"/>
      <c r="O297" s="355"/>
      <c r="P297" s="359"/>
      <c r="Q297" s="357"/>
      <c r="R297" s="29"/>
      <c r="S297" s="29"/>
      <c r="T297" s="29"/>
      <c r="U297" s="24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</row>
    <row r="298" spans="2:50" s="6" customFormat="1" ht="15" customHeight="1" x14ac:dyDescent="0.2">
      <c r="B298" s="349" t="s">
        <v>83</v>
      </c>
      <c r="C298" s="350"/>
      <c r="D298" s="351"/>
      <c r="E298" s="349"/>
      <c r="F298" s="358"/>
      <c r="G298" s="298"/>
      <c r="H298" s="299"/>
      <c r="I298" s="299"/>
      <c r="J298" s="299"/>
      <c r="K298" s="300"/>
      <c r="L298" s="352"/>
      <c r="M298" s="353"/>
      <c r="N298" s="354"/>
      <c r="O298" s="355"/>
      <c r="P298" s="359"/>
      <c r="Q298" s="357"/>
      <c r="R298" s="29"/>
      <c r="S298" s="29"/>
      <c r="T298" s="29"/>
      <c r="U298" s="24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</row>
    <row r="299" spans="2:50" s="6" customFormat="1" ht="15" customHeight="1" x14ac:dyDescent="0.2">
      <c r="B299" s="349" t="s">
        <v>84</v>
      </c>
      <c r="C299" s="350"/>
      <c r="D299" s="351"/>
      <c r="E299" s="349"/>
      <c r="F299" s="358"/>
      <c r="G299" s="298"/>
      <c r="H299" s="299"/>
      <c r="I299" s="299"/>
      <c r="J299" s="299"/>
      <c r="K299" s="300"/>
      <c r="L299" s="352"/>
      <c r="M299" s="353"/>
      <c r="N299" s="354"/>
      <c r="O299" s="355"/>
      <c r="P299" s="359"/>
      <c r="Q299" s="357"/>
      <c r="R299" s="29"/>
      <c r="S299" s="29"/>
      <c r="T299" s="29"/>
      <c r="U299" s="24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</row>
    <row r="300" spans="2:50" s="6" customFormat="1" ht="15" customHeight="1" x14ac:dyDescent="0.2">
      <c r="B300" s="349" t="s">
        <v>85</v>
      </c>
      <c r="C300" s="350"/>
      <c r="D300" s="351"/>
      <c r="E300" s="349"/>
      <c r="F300" s="358"/>
      <c r="G300" s="298"/>
      <c r="H300" s="299"/>
      <c r="I300" s="299"/>
      <c r="J300" s="299"/>
      <c r="K300" s="300"/>
      <c r="L300" s="352"/>
      <c r="M300" s="353"/>
      <c r="N300" s="354"/>
      <c r="O300" s="355"/>
      <c r="P300" s="359"/>
      <c r="Q300" s="357"/>
      <c r="R300" s="29"/>
      <c r="S300" s="29"/>
      <c r="T300" s="29"/>
      <c r="U300" s="24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</row>
    <row r="301" spans="2:50" s="6" customFormat="1" ht="15" customHeight="1" x14ac:dyDescent="0.2">
      <c r="B301" s="349" t="s">
        <v>86</v>
      </c>
      <c r="C301" s="350"/>
      <c r="D301" s="351"/>
      <c r="E301" s="349"/>
      <c r="F301" s="358"/>
      <c r="G301" s="298"/>
      <c r="H301" s="299"/>
      <c r="I301" s="299"/>
      <c r="J301" s="299"/>
      <c r="K301" s="300"/>
      <c r="L301" s="352"/>
      <c r="M301" s="353"/>
      <c r="N301" s="354"/>
      <c r="O301" s="355"/>
      <c r="P301" s="359"/>
      <c r="Q301" s="357"/>
      <c r="R301" s="29"/>
      <c r="S301" s="29"/>
      <c r="T301" s="29"/>
      <c r="U301" s="24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</row>
    <row r="302" spans="2:50" s="6" customFormat="1" ht="15" customHeight="1" x14ac:dyDescent="0.2">
      <c r="B302" s="349" t="s">
        <v>87</v>
      </c>
      <c r="C302" s="350"/>
      <c r="D302" s="351"/>
      <c r="E302" s="349"/>
      <c r="F302" s="358"/>
      <c r="G302" s="298"/>
      <c r="H302" s="299"/>
      <c r="I302" s="299"/>
      <c r="J302" s="299"/>
      <c r="K302" s="300"/>
      <c r="L302" s="352"/>
      <c r="M302" s="353"/>
      <c r="N302" s="354"/>
      <c r="O302" s="355"/>
      <c r="P302" s="359"/>
      <c r="Q302" s="357"/>
      <c r="R302" s="29"/>
      <c r="S302" s="29"/>
      <c r="T302" s="29"/>
      <c r="U302" s="24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</row>
    <row r="303" spans="2:50" s="6" customFormat="1" ht="15" customHeight="1" x14ac:dyDescent="0.2">
      <c r="B303" s="349" t="s">
        <v>176</v>
      </c>
      <c r="C303" s="350"/>
      <c r="D303" s="351"/>
      <c r="E303" s="349"/>
      <c r="F303" s="358"/>
      <c r="G303" s="298"/>
      <c r="H303" s="299"/>
      <c r="I303" s="299"/>
      <c r="J303" s="299"/>
      <c r="K303" s="300"/>
      <c r="L303" s="352"/>
      <c r="M303" s="353"/>
      <c r="N303" s="354"/>
      <c r="O303" s="355"/>
      <c r="P303" s="359"/>
      <c r="Q303" s="357"/>
      <c r="R303" s="29"/>
      <c r="S303" s="29"/>
      <c r="T303" s="29"/>
      <c r="U303" s="24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</row>
    <row r="304" spans="2:50" s="6" customFormat="1" ht="15" customHeight="1" x14ac:dyDescent="0.2">
      <c r="B304" s="349" t="s">
        <v>177</v>
      </c>
      <c r="C304" s="350"/>
      <c r="D304" s="351"/>
      <c r="E304" s="349"/>
      <c r="F304" s="358"/>
      <c r="G304" s="298"/>
      <c r="H304" s="299"/>
      <c r="I304" s="299"/>
      <c r="J304" s="299"/>
      <c r="K304" s="300"/>
      <c r="L304" s="352"/>
      <c r="M304" s="353"/>
      <c r="N304" s="354"/>
      <c r="O304" s="355"/>
      <c r="P304" s="359"/>
      <c r="Q304" s="357"/>
      <c r="R304" s="29"/>
      <c r="S304" s="29"/>
      <c r="T304" s="29"/>
      <c r="U304" s="24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</row>
    <row r="305" spans="2:50" s="6" customFormat="1" ht="15" customHeight="1" x14ac:dyDescent="0.2">
      <c r="B305" s="349" t="s">
        <v>178</v>
      </c>
      <c r="C305" s="350"/>
      <c r="D305" s="351"/>
      <c r="E305" s="349"/>
      <c r="F305" s="358"/>
      <c r="G305" s="298"/>
      <c r="H305" s="299"/>
      <c r="I305" s="299"/>
      <c r="J305" s="299"/>
      <c r="K305" s="300"/>
      <c r="L305" s="352"/>
      <c r="M305" s="353"/>
      <c r="N305" s="354"/>
      <c r="O305" s="355"/>
      <c r="P305" s="359"/>
      <c r="Q305" s="357"/>
      <c r="R305" s="29"/>
      <c r="S305" s="29"/>
      <c r="T305" s="29"/>
      <c r="U305" s="24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</row>
    <row r="306" spans="2:50" s="6" customFormat="1" ht="15" customHeight="1" x14ac:dyDescent="0.2">
      <c r="B306" s="349" t="s">
        <v>179</v>
      </c>
      <c r="C306" s="350"/>
      <c r="D306" s="351"/>
      <c r="E306" s="349"/>
      <c r="F306" s="358"/>
      <c r="G306" s="298"/>
      <c r="H306" s="299"/>
      <c r="I306" s="299"/>
      <c r="J306" s="299"/>
      <c r="K306" s="300"/>
      <c r="L306" s="352"/>
      <c r="M306" s="353"/>
      <c r="N306" s="354"/>
      <c r="O306" s="355"/>
      <c r="P306" s="359"/>
      <c r="Q306" s="357"/>
      <c r="R306" s="29"/>
      <c r="S306" s="29"/>
      <c r="T306" s="29"/>
      <c r="U306" s="24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</row>
    <row r="307" spans="2:50" s="6" customFormat="1" ht="15" customHeight="1" x14ac:dyDescent="0.2">
      <c r="B307" s="349" t="s">
        <v>180</v>
      </c>
      <c r="C307" s="350"/>
      <c r="D307" s="351"/>
      <c r="E307" s="349"/>
      <c r="F307" s="358"/>
      <c r="G307" s="298"/>
      <c r="H307" s="299"/>
      <c r="I307" s="299"/>
      <c r="J307" s="299"/>
      <c r="K307" s="300"/>
      <c r="L307" s="352"/>
      <c r="M307" s="353"/>
      <c r="N307" s="354"/>
      <c r="O307" s="355"/>
      <c r="P307" s="359"/>
      <c r="Q307" s="357"/>
      <c r="R307" s="29"/>
      <c r="S307" s="29"/>
      <c r="T307" s="29"/>
      <c r="U307" s="24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</row>
    <row r="308" spans="2:50" s="6" customFormat="1" ht="15" customHeight="1" x14ac:dyDescent="0.2">
      <c r="B308" s="349" t="s">
        <v>181</v>
      </c>
      <c r="C308" s="350"/>
      <c r="D308" s="351"/>
      <c r="E308" s="349"/>
      <c r="F308" s="358"/>
      <c r="G308" s="298"/>
      <c r="H308" s="299"/>
      <c r="I308" s="299"/>
      <c r="J308" s="299"/>
      <c r="K308" s="300"/>
      <c r="L308" s="352"/>
      <c r="M308" s="353"/>
      <c r="N308" s="354"/>
      <c r="O308" s="355"/>
      <c r="P308" s="359"/>
      <c r="Q308" s="357"/>
      <c r="R308" s="29"/>
      <c r="S308" s="29"/>
      <c r="T308" s="29"/>
      <c r="U308" s="24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</row>
    <row r="309" spans="2:50" s="6" customFormat="1" ht="15" customHeight="1" x14ac:dyDescent="0.2">
      <c r="B309" s="349" t="s">
        <v>182</v>
      </c>
      <c r="C309" s="350"/>
      <c r="D309" s="351"/>
      <c r="E309" s="349"/>
      <c r="F309" s="358"/>
      <c r="G309" s="298"/>
      <c r="H309" s="299"/>
      <c r="I309" s="299"/>
      <c r="J309" s="299"/>
      <c r="K309" s="300"/>
      <c r="L309" s="352"/>
      <c r="M309" s="353"/>
      <c r="N309" s="354"/>
      <c r="O309" s="355"/>
      <c r="P309" s="359"/>
      <c r="Q309" s="357"/>
      <c r="R309" s="29"/>
      <c r="S309" s="29"/>
      <c r="T309" s="29"/>
      <c r="U309" s="24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</row>
    <row r="310" spans="2:50" s="6" customFormat="1" ht="15" customHeight="1" x14ac:dyDescent="0.2">
      <c r="B310" s="349" t="s">
        <v>183</v>
      </c>
      <c r="C310" s="350"/>
      <c r="D310" s="351"/>
      <c r="E310" s="349"/>
      <c r="F310" s="358"/>
      <c r="G310" s="298"/>
      <c r="H310" s="299"/>
      <c r="I310" s="299"/>
      <c r="J310" s="299"/>
      <c r="K310" s="300"/>
      <c r="L310" s="352"/>
      <c r="M310" s="353"/>
      <c r="N310" s="354"/>
      <c r="O310" s="355"/>
      <c r="P310" s="359"/>
      <c r="Q310" s="357"/>
      <c r="R310" s="29"/>
      <c r="S310" s="29"/>
      <c r="T310" s="29"/>
      <c r="U310" s="24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</row>
    <row r="311" spans="2:50" s="6" customFormat="1" ht="15" customHeight="1" x14ac:dyDescent="0.2">
      <c r="B311" s="349" t="s">
        <v>184</v>
      </c>
      <c r="C311" s="350"/>
      <c r="D311" s="351"/>
      <c r="E311" s="349"/>
      <c r="F311" s="358"/>
      <c r="G311" s="298"/>
      <c r="H311" s="299"/>
      <c r="I311" s="299"/>
      <c r="J311" s="299"/>
      <c r="K311" s="300"/>
      <c r="L311" s="352"/>
      <c r="M311" s="353"/>
      <c r="N311" s="354"/>
      <c r="O311" s="355"/>
      <c r="P311" s="359"/>
      <c r="Q311" s="357"/>
      <c r="R311" s="29"/>
      <c r="S311" s="29"/>
      <c r="T311" s="29"/>
      <c r="U311" s="24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</row>
    <row r="312" spans="2:50" s="6" customFormat="1" ht="15" customHeight="1" x14ac:dyDescent="0.2">
      <c r="B312" s="349" t="s">
        <v>185</v>
      </c>
      <c r="C312" s="350"/>
      <c r="D312" s="351"/>
      <c r="E312" s="349"/>
      <c r="F312" s="358"/>
      <c r="G312" s="298"/>
      <c r="H312" s="299"/>
      <c r="I312" s="299"/>
      <c r="J312" s="299"/>
      <c r="K312" s="300"/>
      <c r="L312" s="352"/>
      <c r="M312" s="353"/>
      <c r="N312" s="354"/>
      <c r="O312" s="355"/>
      <c r="P312" s="359"/>
      <c r="Q312" s="357"/>
      <c r="R312" s="29"/>
      <c r="S312" s="29"/>
      <c r="T312" s="29"/>
      <c r="U312" s="24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</row>
    <row r="313" spans="2:50" s="6" customFormat="1" ht="15" customHeight="1" x14ac:dyDescent="0.2">
      <c r="B313" s="349" t="s">
        <v>186</v>
      </c>
      <c r="C313" s="350"/>
      <c r="D313" s="351"/>
      <c r="E313" s="349"/>
      <c r="F313" s="358"/>
      <c r="G313" s="298"/>
      <c r="H313" s="299"/>
      <c r="I313" s="299"/>
      <c r="J313" s="299"/>
      <c r="K313" s="300"/>
      <c r="L313" s="352"/>
      <c r="M313" s="353"/>
      <c r="N313" s="354"/>
      <c r="O313" s="355"/>
      <c r="P313" s="359"/>
      <c r="Q313" s="357"/>
      <c r="R313" s="29"/>
      <c r="S313" s="29"/>
      <c r="T313" s="29"/>
      <c r="U313" s="24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</row>
    <row r="314" spans="2:50" s="6" customFormat="1" ht="15" customHeight="1" x14ac:dyDescent="0.2">
      <c r="B314" s="349" t="s">
        <v>187</v>
      </c>
      <c r="C314" s="350"/>
      <c r="D314" s="351"/>
      <c r="E314" s="349"/>
      <c r="F314" s="358"/>
      <c r="G314" s="298"/>
      <c r="H314" s="299"/>
      <c r="I314" s="299"/>
      <c r="J314" s="299"/>
      <c r="K314" s="300"/>
      <c r="L314" s="352"/>
      <c r="M314" s="353"/>
      <c r="N314" s="354"/>
      <c r="O314" s="355"/>
      <c r="P314" s="359"/>
      <c r="Q314" s="357"/>
      <c r="R314" s="29"/>
      <c r="S314" s="29"/>
      <c r="T314" s="29"/>
      <c r="U314" s="24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</row>
    <row r="315" spans="2:50" s="6" customFormat="1" ht="15" customHeight="1" x14ac:dyDescent="0.2">
      <c r="B315" s="349" t="s">
        <v>188</v>
      </c>
      <c r="C315" s="350"/>
      <c r="D315" s="351"/>
      <c r="E315" s="349"/>
      <c r="F315" s="358"/>
      <c r="G315" s="298"/>
      <c r="H315" s="299"/>
      <c r="I315" s="299"/>
      <c r="J315" s="299"/>
      <c r="K315" s="300"/>
      <c r="L315" s="352"/>
      <c r="M315" s="353"/>
      <c r="N315" s="354"/>
      <c r="O315" s="355"/>
      <c r="P315" s="359"/>
      <c r="Q315" s="357"/>
      <c r="R315" s="29"/>
      <c r="S315" s="29"/>
      <c r="T315" s="29"/>
      <c r="U315" s="24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</row>
    <row r="316" spans="2:50" s="6" customFormat="1" ht="15" customHeight="1" x14ac:dyDescent="0.2">
      <c r="B316" s="349" t="s">
        <v>189</v>
      </c>
      <c r="C316" s="350"/>
      <c r="D316" s="351"/>
      <c r="E316" s="349"/>
      <c r="F316" s="358"/>
      <c r="G316" s="298"/>
      <c r="H316" s="299"/>
      <c r="I316" s="299"/>
      <c r="J316" s="299"/>
      <c r="K316" s="300"/>
      <c r="L316" s="352"/>
      <c r="M316" s="353"/>
      <c r="N316" s="354"/>
      <c r="O316" s="355"/>
      <c r="P316" s="359"/>
      <c r="Q316" s="357"/>
      <c r="R316" s="29"/>
      <c r="S316" s="29"/>
      <c r="T316" s="29"/>
      <c r="U316" s="24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</row>
    <row r="317" spans="2:50" s="6" customFormat="1" ht="15" customHeight="1" x14ac:dyDescent="0.2">
      <c r="B317" s="349" t="s">
        <v>190</v>
      </c>
      <c r="C317" s="350"/>
      <c r="D317" s="351"/>
      <c r="E317" s="349"/>
      <c r="F317" s="358"/>
      <c r="G317" s="298"/>
      <c r="H317" s="299"/>
      <c r="I317" s="299"/>
      <c r="J317" s="299"/>
      <c r="K317" s="300"/>
      <c r="L317" s="352"/>
      <c r="M317" s="353"/>
      <c r="N317" s="354"/>
      <c r="O317" s="355"/>
      <c r="P317" s="359"/>
      <c r="Q317" s="357"/>
      <c r="R317" s="29"/>
      <c r="S317" s="29"/>
      <c r="T317" s="29"/>
      <c r="U317" s="24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</row>
    <row r="318" spans="2:50" s="6" customFormat="1" ht="15" customHeight="1" x14ac:dyDescent="0.2">
      <c r="B318" s="349" t="s">
        <v>191</v>
      </c>
      <c r="C318" s="350"/>
      <c r="D318" s="351"/>
      <c r="E318" s="349"/>
      <c r="F318" s="358"/>
      <c r="G318" s="298"/>
      <c r="H318" s="299"/>
      <c r="I318" s="299"/>
      <c r="J318" s="299"/>
      <c r="K318" s="300"/>
      <c r="L318" s="352"/>
      <c r="M318" s="353"/>
      <c r="N318" s="354"/>
      <c r="O318" s="355"/>
      <c r="P318" s="359"/>
      <c r="Q318" s="357"/>
      <c r="R318" s="29"/>
      <c r="S318" s="29"/>
      <c r="T318" s="29"/>
      <c r="U318" s="24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</row>
    <row r="319" spans="2:50" s="6" customFormat="1" ht="15" customHeight="1" x14ac:dyDescent="0.2">
      <c r="B319" s="349" t="s">
        <v>192</v>
      </c>
      <c r="C319" s="350"/>
      <c r="D319" s="351"/>
      <c r="E319" s="349"/>
      <c r="F319" s="358"/>
      <c r="G319" s="298"/>
      <c r="H319" s="299"/>
      <c r="I319" s="299"/>
      <c r="J319" s="299"/>
      <c r="K319" s="300"/>
      <c r="L319" s="352"/>
      <c r="M319" s="353"/>
      <c r="N319" s="354"/>
      <c r="O319" s="355"/>
      <c r="P319" s="359"/>
      <c r="Q319" s="357"/>
      <c r="R319" s="29"/>
      <c r="S319" s="29"/>
      <c r="T319" s="29"/>
      <c r="U319" s="24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</row>
    <row r="320" spans="2:50" s="6" customFormat="1" ht="15" customHeight="1" x14ac:dyDescent="0.2">
      <c r="B320" s="349" t="s">
        <v>193</v>
      </c>
      <c r="C320" s="350"/>
      <c r="D320" s="351"/>
      <c r="E320" s="349"/>
      <c r="F320" s="358"/>
      <c r="G320" s="298"/>
      <c r="H320" s="299"/>
      <c r="I320" s="299"/>
      <c r="J320" s="299"/>
      <c r="K320" s="300"/>
      <c r="L320" s="352"/>
      <c r="M320" s="353"/>
      <c r="N320" s="354"/>
      <c r="O320" s="355"/>
      <c r="P320" s="359"/>
      <c r="Q320" s="357"/>
      <c r="R320" s="29"/>
      <c r="S320" s="29"/>
      <c r="T320" s="29"/>
      <c r="U320" s="24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</row>
    <row r="321" spans="2:50" s="6" customFormat="1" ht="15" customHeight="1" x14ac:dyDescent="0.2">
      <c r="B321" s="349" t="s">
        <v>194</v>
      </c>
      <c r="C321" s="350"/>
      <c r="D321" s="351"/>
      <c r="E321" s="349"/>
      <c r="F321" s="358"/>
      <c r="G321" s="298"/>
      <c r="H321" s="299"/>
      <c r="I321" s="299"/>
      <c r="J321" s="299"/>
      <c r="K321" s="300"/>
      <c r="L321" s="352"/>
      <c r="M321" s="353"/>
      <c r="N321" s="354"/>
      <c r="O321" s="355"/>
      <c r="P321" s="359"/>
      <c r="Q321" s="357"/>
      <c r="R321" s="29"/>
      <c r="S321" s="29"/>
      <c r="T321" s="29"/>
      <c r="U321" s="24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</row>
    <row r="322" spans="2:50" s="6" customFormat="1" ht="15" customHeight="1" x14ac:dyDescent="0.2">
      <c r="B322" s="349" t="s">
        <v>195</v>
      </c>
      <c r="C322" s="350"/>
      <c r="D322" s="351"/>
      <c r="E322" s="349"/>
      <c r="F322" s="358"/>
      <c r="G322" s="298"/>
      <c r="H322" s="299"/>
      <c r="I322" s="299"/>
      <c r="J322" s="299"/>
      <c r="K322" s="300"/>
      <c r="L322" s="352"/>
      <c r="M322" s="353"/>
      <c r="N322" s="354"/>
      <c r="O322" s="355"/>
      <c r="P322" s="359"/>
      <c r="Q322" s="357"/>
      <c r="R322" s="29"/>
      <c r="S322" s="29"/>
      <c r="T322" s="29"/>
      <c r="U322" s="24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</row>
    <row r="323" spans="2:50" s="6" customFormat="1" ht="15" customHeight="1" x14ac:dyDescent="0.2">
      <c r="B323" s="349" t="s">
        <v>196</v>
      </c>
      <c r="C323" s="350"/>
      <c r="D323" s="351"/>
      <c r="E323" s="349"/>
      <c r="F323" s="358"/>
      <c r="G323" s="298"/>
      <c r="H323" s="299"/>
      <c r="I323" s="299"/>
      <c r="J323" s="299"/>
      <c r="K323" s="300"/>
      <c r="L323" s="352"/>
      <c r="M323" s="353"/>
      <c r="N323" s="354"/>
      <c r="O323" s="355"/>
      <c r="P323" s="359"/>
      <c r="Q323" s="357"/>
      <c r="R323" s="29"/>
      <c r="S323" s="29"/>
      <c r="T323" s="29"/>
      <c r="U323" s="24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</row>
    <row r="324" spans="2:50" s="6" customFormat="1" ht="15" customHeight="1" x14ac:dyDescent="0.2">
      <c r="B324" s="349" t="s">
        <v>197</v>
      </c>
      <c r="C324" s="350"/>
      <c r="D324" s="351"/>
      <c r="E324" s="349"/>
      <c r="F324" s="358"/>
      <c r="G324" s="298"/>
      <c r="H324" s="299"/>
      <c r="I324" s="299"/>
      <c r="J324" s="299"/>
      <c r="K324" s="300"/>
      <c r="L324" s="352"/>
      <c r="M324" s="353"/>
      <c r="N324" s="354"/>
      <c r="O324" s="355"/>
      <c r="P324" s="359"/>
      <c r="Q324" s="357"/>
      <c r="R324" s="29"/>
      <c r="S324" s="29"/>
      <c r="T324" s="29"/>
      <c r="U324" s="24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</row>
    <row r="325" spans="2:50" s="6" customFormat="1" ht="15" customHeight="1" x14ac:dyDescent="0.2">
      <c r="B325" s="349" t="s">
        <v>198</v>
      </c>
      <c r="C325" s="350"/>
      <c r="D325" s="351"/>
      <c r="E325" s="349"/>
      <c r="F325" s="358"/>
      <c r="G325" s="298"/>
      <c r="H325" s="299"/>
      <c r="I325" s="299"/>
      <c r="J325" s="299"/>
      <c r="K325" s="300"/>
      <c r="L325" s="352"/>
      <c r="M325" s="353"/>
      <c r="N325" s="354"/>
      <c r="O325" s="355"/>
      <c r="P325" s="359"/>
      <c r="Q325" s="357"/>
      <c r="R325" s="29"/>
      <c r="S325" s="29"/>
      <c r="T325" s="29"/>
      <c r="U325" s="24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</row>
    <row r="326" spans="2:50" ht="15" customHeight="1" x14ac:dyDescent="0.2">
      <c r="B326" s="13" t="s">
        <v>200</v>
      </c>
      <c r="C326" s="101"/>
      <c r="D326" s="42"/>
      <c r="E326" s="13"/>
      <c r="F326" s="43"/>
      <c r="G326" s="209"/>
      <c r="H326" s="46"/>
      <c r="I326" s="46"/>
      <c r="J326" s="46"/>
      <c r="K326" s="80"/>
      <c r="L326" s="81"/>
      <c r="M326" s="49"/>
      <c r="N326" s="50"/>
      <c r="O326" s="82"/>
      <c r="P326" s="181"/>
      <c r="Q326" s="219"/>
      <c r="U326" s="28"/>
    </row>
    <row r="327" spans="2:50" ht="15" customHeight="1" x14ac:dyDescent="0.2">
      <c r="B327" s="13" t="s">
        <v>201</v>
      </c>
      <c r="C327" s="101"/>
      <c r="D327" s="42"/>
      <c r="E327" s="13"/>
      <c r="F327" s="43"/>
      <c r="G327" s="209"/>
      <c r="H327" s="46"/>
      <c r="I327" s="46"/>
      <c r="J327" s="46"/>
      <c r="K327" s="80"/>
      <c r="L327" s="81"/>
      <c r="M327" s="49"/>
      <c r="N327" s="50"/>
      <c r="O327" s="82"/>
      <c r="P327" s="181"/>
      <c r="Q327" s="219"/>
    </row>
    <row r="328" spans="2:50" ht="15" customHeight="1" x14ac:dyDescent="0.2">
      <c r="B328" s="13" t="s">
        <v>202</v>
      </c>
      <c r="C328" s="101"/>
      <c r="D328" s="42"/>
      <c r="E328" s="13"/>
      <c r="F328" s="43"/>
      <c r="G328" s="209"/>
      <c r="H328" s="46"/>
      <c r="I328" s="46"/>
      <c r="J328" s="46"/>
      <c r="K328" s="80"/>
      <c r="L328" s="81"/>
      <c r="M328" s="49"/>
      <c r="N328" s="50"/>
      <c r="O328" s="82"/>
      <c r="P328" s="181"/>
      <c r="Q328" s="219"/>
      <c r="U328" s="28"/>
    </row>
    <row r="329" spans="2:50" ht="15" customHeight="1" x14ac:dyDescent="0.2">
      <c r="B329" s="13" t="s">
        <v>203</v>
      </c>
      <c r="C329" s="101"/>
      <c r="D329" s="42"/>
      <c r="E329" s="13"/>
      <c r="F329" s="43"/>
      <c r="G329" s="209"/>
      <c r="H329" s="46"/>
      <c r="I329" s="46"/>
      <c r="J329" s="46"/>
      <c r="K329" s="80"/>
      <c r="L329" s="81"/>
      <c r="M329" s="49"/>
      <c r="N329" s="50"/>
      <c r="O329" s="82"/>
      <c r="P329" s="181"/>
      <c r="Q329" s="219"/>
    </row>
    <row r="330" spans="2:50" ht="15" customHeight="1" x14ac:dyDescent="0.2">
      <c r="B330" s="13" t="s">
        <v>204</v>
      </c>
      <c r="C330" s="101"/>
      <c r="D330" s="42"/>
      <c r="E330" s="13"/>
      <c r="F330" s="43"/>
      <c r="G330" s="209"/>
      <c r="H330" s="46"/>
      <c r="I330" s="46"/>
      <c r="J330" s="46"/>
      <c r="K330" s="80"/>
      <c r="L330" s="81"/>
      <c r="M330" s="49"/>
      <c r="N330" s="50"/>
      <c r="O330" s="82"/>
      <c r="P330" s="181"/>
      <c r="Q330" s="219"/>
      <c r="U330" s="28"/>
    </row>
    <row r="331" spans="2:50" ht="15" customHeight="1" x14ac:dyDescent="0.2">
      <c r="B331" s="13" t="s">
        <v>205</v>
      </c>
      <c r="C331" s="101"/>
      <c r="D331" s="42"/>
      <c r="E331" s="13"/>
      <c r="F331" s="43"/>
      <c r="G331" s="209"/>
      <c r="H331" s="46"/>
      <c r="I331" s="46"/>
      <c r="J331" s="46"/>
      <c r="K331" s="80"/>
      <c r="L331" s="81"/>
      <c r="M331" s="49"/>
      <c r="N331" s="50"/>
      <c r="O331" s="82"/>
      <c r="P331" s="181"/>
      <c r="Q331" s="219"/>
    </row>
    <row r="332" spans="2:50" ht="15" customHeight="1" thickBot="1" x14ac:dyDescent="0.25">
      <c r="B332" s="228" t="s">
        <v>206</v>
      </c>
      <c r="C332" s="229"/>
      <c r="D332" s="230"/>
      <c r="E332" s="228"/>
      <c r="F332" s="231"/>
      <c r="G332" s="232"/>
      <c r="H332" s="233"/>
      <c r="I332" s="233"/>
      <c r="J332" s="233"/>
      <c r="K332" s="234"/>
      <c r="L332" s="235"/>
      <c r="M332" s="236"/>
      <c r="N332" s="237"/>
      <c r="O332" s="238"/>
      <c r="P332" s="239"/>
      <c r="Q332" s="240"/>
      <c r="U332" s="28"/>
    </row>
    <row r="333" spans="2:50" ht="15" customHeight="1" thickBot="1" x14ac:dyDescent="0.25">
      <c r="B333" s="171"/>
      <c r="C333" s="241"/>
      <c r="D333" s="242"/>
      <c r="E333" s="171"/>
      <c r="F333" s="243"/>
      <c r="G333" s="244"/>
      <c r="H333" s="245"/>
      <c r="I333" s="245"/>
      <c r="J333" s="245"/>
      <c r="K333" s="246"/>
      <c r="L333" s="190">
        <f>SUM(L293:L332)</f>
        <v>0</v>
      </c>
      <c r="M333" s="191" t="e">
        <f>AVERAGE(M293:M332)</f>
        <v>#DIV/0!</v>
      </c>
      <c r="N333" s="192">
        <f>SUM(N293:N332)</f>
        <v>0</v>
      </c>
      <c r="O333" s="191" t="e">
        <f>AVERAGE(O293:O332)</f>
        <v>#DIV/0!</v>
      </c>
      <c r="P333" s="193" t="e">
        <f>AVERAGE(P293:P332)</f>
        <v>#DIV/0!</v>
      </c>
      <c r="Q333" s="222"/>
    </row>
    <row r="334" spans="2:50" ht="15" customHeight="1" x14ac:dyDescent="0.2">
      <c r="B334" s="15"/>
      <c r="C334" s="15"/>
      <c r="D334" s="174"/>
      <c r="E334" s="15"/>
      <c r="F334" s="15"/>
      <c r="G334" s="15"/>
      <c r="H334" s="175"/>
      <c r="I334" s="175"/>
      <c r="J334" s="175"/>
      <c r="K334" s="175"/>
      <c r="L334" s="176"/>
      <c r="M334" s="177"/>
      <c r="N334" s="176"/>
      <c r="O334" s="177"/>
      <c r="P334" s="178"/>
      <c r="U334" s="28"/>
    </row>
    <row r="335" spans="2:50" ht="15" customHeight="1" x14ac:dyDescent="0.2">
      <c r="B335" s="15"/>
      <c r="C335" s="15"/>
      <c r="D335" s="174"/>
      <c r="E335" s="15"/>
      <c r="F335" s="15"/>
      <c r="G335" s="15"/>
      <c r="H335" s="175"/>
      <c r="I335" s="175"/>
      <c r="J335" s="175"/>
      <c r="K335" s="175"/>
      <c r="L335" s="176"/>
      <c r="M335" s="177"/>
      <c r="N335" s="176"/>
      <c r="O335" s="177"/>
      <c r="P335" s="178"/>
    </row>
    <row r="336" spans="2:50" ht="15" customHeight="1" x14ac:dyDescent="0.2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16"/>
      <c r="N336" s="16"/>
      <c r="O336" s="16"/>
      <c r="P336" s="4"/>
      <c r="U336" s="28"/>
    </row>
    <row r="337" spans="1:21" s="24" customFormat="1" ht="15" customHeight="1" x14ac:dyDescent="0.2">
      <c r="A337" s="1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16"/>
      <c r="N337" s="16"/>
      <c r="O337" s="16"/>
      <c r="P337" s="4"/>
      <c r="Q337" s="1"/>
    </row>
    <row r="338" spans="1:21" s="24" customFormat="1" ht="5.25" hidden="1" customHeight="1" x14ac:dyDescent="0.2">
      <c r="A338" s="1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16"/>
      <c r="N338" s="16"/>
      <c r="O338" s="16"/>
      <c r="P338" s="4"/>
      <c r="Q338" s="1"/>
      <c r="U338" s="28"/>
    </row>
    <row r="339" spans="1:21" s="24" customFormat="1" ht="5.25" hidden="1" customHeight="1" x14ac:dyDescent="0.2">
      <c r="A339" s="1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16"/>
      <c r="N339" s="16"/>
      <c r="O339" s="16"/>
      <c r="P339" s="4"/>
      <c r="Q339" s="1"/>
    </row>
    <row r="340" spans="1:21" s="24" customFormat="1" ht="5.25" hidden="1" customHeight="1" x14ac:dyDescent="0.2">
      <c r="A340" s="1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16"/>
      <c r="N340" s="16"/>
      <c r="O340" s="16"/>
      <c r="P340" s="4"/>
      <c r="Q340" s="1"/>
      <c r="U340" s="28"/>
    </row>
    <row r="341" spans="1:21" s="24" customFormat="1" ht="5.25" hidden="1" customHeight="1" x14ac:dyDescent="0.2">
      <c r="A341" s="1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16"/>
      <c r="N341" s="16"/>
      <c r="O341" s="16"/>
      <c r="P341" s="4"/>
      <c r="Q341" s="1"/>
    </row>
    <row r="342" spans="1:21" s="24" customFormat="1" ht="5.25" hidden="1" customHeight="1" x14ac:dyDescent="0.2">
      <c r="A342" s="1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16"/>
      <c r="N342" s="16"/>
      <c r="O342" s="16"/>
      <c r="P342" s="4"/>
      <c r="Q342" s="1"/>
      <c r="U342" s="28"/>
    </row>
    <row r="343" spans="1:21" s="24" customFormat="1" ht="5.25" hidden="1" customHeight="1" x14ac:dyDescent="0.2">
      <c r="A343" s="1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16"/>
      <c r="N343" s="16"/>
      <c r="O343" s="16"/>
      <c r="P343" s="4"/>
      <c r="Q343" s="1"/>
    </row>
    <row r="344" spans="1:21" s="24" customFormat="1" ht="5.25" hidden="1" customHeight="1" x14ac:dyDescent="0.2">
      <c r="A344" s="1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16"/>
      <c r="N344" s="16"/>
      <c r="O344" s="16"/>
      <c r="P344" s="4"/>
      <c r="Q344" s="1"/>
      <c r="U344" s="28"/>
    </row>
    <row r="345" spans="1:21" s="24" customFormat="1" ht="5.25" hidden="1" customHeight="1" x14ac:dyDescent="0.2">
      <c r="A345" s="1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16"/>
      <c r="N345" s="16"/>
      <c r="O345" s="16"/>
      <c r="P345" s="4"/>
      <c r="Q345" s="1"/>
    </row>
    <row r="346" spans="1:21" s="24" customFormat="1" ht="5.25" hidden="1" customHeight="1" x14ac:dyDescent="0.2">
      <c r="A346" s="1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16"/>
      <c r="N346" s="16"/>
      <c r="O346" s="16"/>
      <c r="P346" s="4"/>
      <c r="Q346" s="1"/>
      <c r="U346" s="28"/>
    </row>
    <row r="347" spans="1:21" s="24" customFormat="1" ht="5.25" hidden="1" customHeight="1" x14ac:dyDescent="0.2">
      <c r="A347" s="1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16"/>
      <c r="N347" s="16"/>
      <c r="O347" s="16"/>
      <c r="P347" s="4"/>
      <c r="Q347" s="1"/>
    </row>
    <row r="348" spans="1:21" s="24" customFormat="1" ht="5.25" hidden="1" customHeight="1" x14ac:dyDescent="0.2">
      <c r="A348" s="1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16"/>
      <c r="N348" s="16"/>
      <c r="O348" s="16"/>
      <c r="P348" s="4"/>
      <c r="Q348" s="1"/>
      <c r="U348" s="28"/>
    </row>
    <row r="349" spans="1:21" s="24" customFormat="1" ht="5.25" hidden="1" customHeight="1" x14ac:dyDescent="0.2">
      <c r="A349" s="1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16"/>
      <c r="N349" s="16"/>
      <c r="O349" s="16"/>
      <c r="P349" s="4"/>
      <c r="Q349" s="1"/>
    </row>
    <row r="350" spans="1:21" s="24" customFormat="1" ht="12" customHeight="1" x14ac:dyDescent="0.2">
      <c r="A350" s="1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16"/>
      <c r="N350" s="16"/>
      <c r="O350" s="16"/>
      <c r="P350" s="4"/>
      <c r="Q350" s="1"/>
      <c r="U350" s="28"/>
    </row>
    <row r="351" spans="1:21" s="24" customFormat="1" ht="12" customHeight="1" x14ac:dyDescent="0.2">
      <c r="A351" s="1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16"/>
      <c r="N351" s="16"/>
      <c r="O351" s="16"/>
      <c r="P351" s="4"/>
      <c r="Q351" s="1"/>
    </row>
    <row r="352" spans="1:21" s="24" customFormat="1" ht="12" customHeight="1" x14ac:dyDescent="0.2">
      <c r="A352" s="1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16"/>
      <c r="N352" s="16"/>
      <c r="O352" s="16"/>
      <c r="P352" s="4"/>
      <c r="Q352" s="1"/>
      <c r="U352" s="28"/>
    </row>
    <row r="353" spans="1:21" s="24" customFormat="1" ht="12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91"/>
      <c r="Q353" s="1"/>
    </row>
    <row r="354" spans="1:21" s="24" customFormat="1" ht="12.95" customHeight="1" thickBot="1" x14ac:dyDescent="0.25">
      <c r="A354" s="1"/>
      <c r="B354" s="17" t="s">
        <v>50</v>
      </c>
      <c r="C354" s="17"/>
      <c r="D354" s="1"/>
      <c r="E354" s="1"/>
      <c r="F354" s="1"/>
      <c r="G354" s="1"/>
      <c r="H354" s="1"/>
      <c r="I354" s="1"/>
      <c r="J354" s="1"/>
      <c r="K354" s="1"/>
      <c r="L354" s="1"/>
      <c r="M354" s="90"/>
      <c r="N354" s="90"/>
      <c r="O354" s="90"/>
      <c r="P354" s="91"/>
      <c r="Q354" s="1"/>
      <c r="U354" s="28"/>
    </row>
    <row r="355" spans="1:21" s="24" customFormat="1" ht="12.95" customHeight="1" x14ac:dyDescent="0.2">
      <c r="A355" s="1"/>
      <c r="B355" s="389" t="s">
        <v>1</v>
      </c>
      <c r="C355" s="387" t="s">
        <v>77</v>
      </c>
      <c r="D355" s="389" t="s">
        <v>104</v>
      </c>
      <c r="E355" s="385" t="s">
        <v>3</v>
      </c>
      <c r="F355" s="406" t="s">
        <v>4</v>
      </c>
      <c r="G355" s="398" t="s">
        <v>52</v>
      </c>
      <c r="H355" s="399"/>
      <c r="I355" s="399"/>
      <c r="J355" s="399"/>
      <c r="K355" s="399"/>
      <c r="L355" s="399"/>
      <c r="M355" s="399"/>
      <c r="N355" s="399"/>
      <c r="O355" s="399"/>
      <c r="P355" s="400"/>
    </row>
    <row r="356" spans="1:21" s="24" customFormat="1" ht="27" customHeight="1" thickBot="1" x14ac:dyDescent="0.25">
      <c r="A356" s="1"/>
      <c r="B356" s="396"/>
      <c r="C356" s="388"/>
      <c r="D356" s="390"/>
      <c r="E356" s="397"/>
      <c r="F356" s="405"/>
      <c r="G356" s="140" t="s">
        <v>147</v>
      </c>
      <c r="H356" s="9" t="s">
        <v>148</v>
      </c>
      <c r="I356" s="9" t="s">
        <v>149</v>
      </c>
      <c r="J356" s="9" t="s">
        <v>150</v>
      </c>
      <c r="K356" s="9" t="s">
        <v>151</v>
      </c>
      <c r="L356" s="9" t="s">
        <v>152</v>
      </c>
      <c r="M356" s="9" t="s">
        <v>153</v>
      </c>
      <c r="N356" s="9" t="s">
        <v>154</v>
      </c>
      <c r="O356" s="141" t="s">
        <v>155</v>
      </c>
      <c r="P356" s="202" t="s">
        <v>156</v>
      </c>
      <c r="Q356" s="28"/>
    </row>
    <row r="357" spans="1:21" s="24" customFormat="1" ht="15" customHeight="1" x14ac:dyDescent="0.2">
      <c r="A357" s="1"/>
      <c r="B357" s="12" t="s">
        <v>107</v>
      </c>
      <c r="C357" s="145"/>
      <c r="D357" s="142"/>
      <c r="E357" s="12"/>
      <c r="F357" s="32"/>
      <c r="G357" s="204"/>
      <c r="H357" s="35"/>
      <c r="I357" s="35"/>
      <c r="J357" s="35"/>
      <c r="K357" s="35"/>
      <c r="L357" s="35"/>
      <c r="M357" s="35"/>
      <c r="N357" s="35"/>
      <c r="O357" s="35"/>
      <c r="P357" s="203"/>
      <c r="Q357" s="24">
        <v>1</v>
      </c>
    </row>
    <row r="358" spans="1:21" s="24" customFormat="1" ht="15" customHeight="1" x14ac:dyDescent="0.2">
      <c r="A358" s="1"/>
      <c r="B358" s="349" t="s">
        <v>108</v>
      </c>
      <c r="C358" s="360"/>
      <c r="D358" s="361"/>
      <c r="E358" s="349"/>
      <c r="F358" s="358"/>
      <c r="G358" s="362"/>
      <c r="H358" s="299"/>
      <c r="I358" s="299"/>
      <c r="J358" s="299"/>
      <c r="K358" s="299"/>
      <c r="L358" s="299"/>
      <c r="M358" s="299"/>
      <c r="N358" s="299"/>
      <c r="O358" s="299"/>
      <c r="P358" s="363"/>
      <c r="Q358" s="24">
        <v>2</v>
      </c>
    </row>
    <row r="359" spans="1:21" s="24" customFormat="1" ht="15" customHeight="1" x14ac:dyDescent="0.2">
      <c r="A359" s="1"/>
      <c r="B359" s="349" t="s">
        <v>80</v>
      </c>
      <c r="C359" s="360"/>
      <c r="D359" s="361"/>
      <c r="E359" s="349"/>
      <c r="F359" s="358"/>
      <c r="G359" s="362"/>
      <c r="H359" s="299"/>
      <c r="I359" s="299"/>
      <c r="J359" s="299"/>
      <c r="K359" s="299"/>
      <c r="L359" s="299"/>
      <c r="M359" s="299"/>
      <c r="N359" s="299"/>
      <c r="O359" s="299"/>
      <c r="P359" s="363"/>
      <c r="Q359" s="24">
        <v>3</v>
      </c>
    </row>
    <row r="360" spans="1:21" s="24" customFormat="1" ht="15" customHeight="1" x14ac:dyDescent="0.2">
      <c r="A360" s="1"/>
      <c r="B360" s="349" t="s">
        <v>81</v>
      </c>
      <c r="C360" s="360"/>
      <c r="D360" s="361"/>
      <c r="E360" s="349"/>
      <c r="F360" s="358"/>
      <c r="G360" s="362"/>
      <c r="H360" s="299"/>
      <c r="I360" s="299"/>
      <c r="J360" s="299"/>
      <c r="K360" s="299"/>
      <c r="L360" s="299"/>
      <c r="M360" s="299"/>
      <c r="N360" s="299"/>
      <c r="O360" s="299"/>
      <c r="P360" s="363"/>
      <c r="Q360" s="24">
        <v>4</v>
      </c>
    </row>
    <row r="361" spans="1:21" s="24" customFormat="1" ht="15" customHeight="1" x14ac:dyDescent="0.2">
      <c r="A361" s="1"/>
      <c r="B361" s="349" t="s">
        <v>82</v>
      </c>
      <c r="C361" s="360"/>
      <c r="D361" s="361"/>
      <c r="E361" s="349"/>
      <c r="F361" s="358"/>
      <c r="G361" s="362"/>
      <c r="H361" s="299"/>
      <c r="I361" s="299"/>
      <c r="J361" s="299"/>
      <c r="K361" s="299"/>
      <c r="L361" s="299"/>
      <c r="M361" s="299"/>
      <c r="N361" s="299"/>
      <c r="O361" s="299"/>
      <c r="P361" s="363"/>
      <c r="Q361" s="24">
        <v>5</v>
      </c>
    </row>
    <row r="362" spans="1:21" s="24" customFormat="1" ht="15" customHeight="1" x14ac:dyDescent="0.2">
      <c r="A362" s="1"/>
      <c r="B362" s="349" t="s">
        <v>83</v>
      </c>
      <c r="C362" s="360"/>
      <c r="D362" s="361"/>
      <c r="E362" s="349"/>
      <c r="F362" s="358"/>
      <c r="G362" s="362"/>
      <c r="H362" s="299"/>
      <c r="I362" s="299"/>
      <c r="J362" s="299"/>
      <c r="K362" s="299"/>
      <c r="L362" s="299"/>
      <c r="M362" s="299"/>
      <c r="N362" s="299"/>
      <c r="O362" s="299"/>
      <c r="P362" s="363"/>
      <c r="Q362" s="24">
        <v>6</v>
      </c>
    </row>
    <row r="363" spans="1:21" s="24" customFormat="1" ht="15" customHeight="1" x14ac:dyDescent="0.2">
      <c r="A363" s="1"/>
      <c r="B363" s="349" t="s">
        <v>84</v>
      </c>
      <c r="C363" s="360"/>
      <c r="D363" s="361"/>
      <c r="E363" s="349"/>
      <c r="F363" s="358"/>
      <c r="G363" s="362"/>
      <c r="H363" s="299"/>
      <c r="I363" s="299"/>
      <c r="J363" s="299"/>
      <c r="K363" s="299"/>
      <c r="L363" s="299"/>
      <c r="M363" s="299"/>
      <c r="N363" s="299"/>
      <c r="O363" s="299"/>
      <c r="P363" s="363"/>
      <c r="Q363" s="24">
        <v>7</v>
      </c>
    </row>
    <row r="364" spans="1:21" s="24" customFormat="1" ht="15" customHeight="1" x14ac:dyDescent="0.2">
      <c r="A364" s="1"/>
      <c r="B364" s="349" t="s">
        <v>85</v>
      </c>
      <c r="C364" s="360"/>
      <c r="D364" s="361"/>
      <c r="E364" s="349"/>
      <c r="F364" s="358"/>
      <c r="G364" s="362"/>
      <c r="H364" s="299"/>
      <c r="I364" s="299"/>
      <c r="J364" s="299"/>
      <c r="K364" s="299"/>
      <c r="L364" s="299"/>
      <c r="M364" s="299"/>
      <c r="N364" s="299"/>
      <c r="O364" s="299"/>
      <c r="P364" s="363"/>
      <c r="Q364" s="24">
        <v>8</v>
      </c>
    </row>
    <row r="365" spans="1:21" s="24" customFormat="1" ht="15" customHeight="1" x14ac:dyDescent="0.2">
      <c r="A365" s="1"/>
      <c r="B365" s="349" t="s">
        <v>86</v>
      </c>
      <c r="C365" s="360"/>
      <c r="D365" s="361"/>
      <c r="E365" s="349"/>
      <c r="F365" s="358"/>
      <c r="G365" s="362"/>
      <c r="H365" s="299"/>
      <c r="I365" s="299"/>
      <c r="J365" s="299"/>
      <c r="K365" s="299"/>
      <c r="L365" s="299"/>
      <c r="M365" s="299"/>
      <c r="N365" s="299"/>
      <c r="O365" s="299"/>
      <c r="P365" s="363"/>
      <c r="Q365" s="24">
        <v>9</v>
      </c>
    </row>
    <row r="366" spans="1:21" s="24" customFormat="1" ht="15" customHeight="1" x14ac:dyDescent="0.2">
      <c r="A366" s="1"/>
      <c r="B366" s="349" t="s">
        <v>87</v>
      </c>
      <c r="C366" s="360"/>
      <c r="D366" s="361"/>
      <c r="E366" s="349"/>
      <c r="F366" s="358"/>
      <c r="G366" s="362"/>
      <c r="H366" s="299"/>
      <c r="I366" s="299"/>
      <c r="J366" s="299"/>
      <c r="K366" s="299"/>
      <c r="L366" s="299"/>
      <c r="M366" s="299"/>
      <c r="N366" s="299"/>
      <c r="O366" s="299"/>
      <c r="P366" s="363"/>
      <c r="Q366" s="24">
        <v>10</v>
      </c>
    </row>
    <row r="367" spans="1:21" s="24" customFormat="1" ht="15" customHeight="1" x14ac:dyDescent="0.2">
      <c r="A367" s="1"/>
      <c r="B367" s="349" t="s">
        <v>176</v>
      </c>
      <c r="C367" s="360"/>
      <c r="D367" s="361"/>
      <c r="E367" s="349"/>
      <c r="F367" s="358"/>
      <c r="G367" s="362"/>
      <c r="H367" s="299"/>
      <c r="I367" s="299"/>
      <c r="J367" s="299"/>
      <c r="K367" s="299"/>
      <c r="L367" s="299"/>
      <c r="M367" s="299"/>
      <c r="N367" s="299"/>
      <c r="O367" s="299"/>
      <c r="P367" s="363"/>
      <c r="Q367" s="24">
        <v>11</v>
      </c>
    </row>
    <row r="368" spans="1:21" s="24" customFormat="1" ht="15" customHeight="1" x14ac:dyDescent="0.2">
      <c r="A368" s="1"/>
      <c r="B368" s="349" t="s">
        <v>177</v>
      </c>
      <c r="C368" s="360"/>
      <c r="D368" s="361"/>
      <c r="E368" s="349"/>
      <c r="F368" s="358"/>
      <c r="G368" s="362"/>
      <c r="H368" s="299"/>
      <c r="I368" s="299"/>
      <c r="J368" s="299"/>
      <c r="K368" s="299"/>
      <c r="L368" s="299"/>
      <c r="M368" s="299"/>
      <c r="N368" s="299"/>
      <c r="O368" s="299"/>
      <c r="P368" s="363"/>
      <c r="Q368" s="24">
        <v>12</v>
      </c>
    </row>
    <row r="369" spans="1:17" s="24" customFormat="1" ht="15" customHeight="1" x14ac:dyDescent="0.2">
      <c r="A369" s="1"/>
      <c r="B369" s="349" t="s">
        <v>178</v>
      </c>
      <c r="C369" s="360"/>
      <c r="D369" s="361"/>
      <c r="E369" s="349"/>
      <c r="F369" s="358"/>
      <c r="G369" s="362"/>
      <c r="H369" s="299"/>
      <c r="I369" s="299"/>
      <c r="J369" s="299"/>
      <c r="K369" s="299"/>
      <c r="L369" s="299"/>
      <c r="M369" s="299"/>
      <c r="N369" s="299"/>
      <c r="O369" s="299"/>
      <c r="P369" s="363"/>
      <c r="Q369" s="24">
        <v>13</v>
      </c>
    </row>
    <row r="370" spans="1:17" s="24" customFormat="1" ht="15" customHeight="1" x14ac:dyDescent="0.2">
      <c r="A370" s="1"/>
      <c r="B370" s="349" t="s">
        <v>179</v>
      </c>
      <c r="C370" s="360"/>
      <c r="D370" s="361"/>
      <c r="E370" s="349"/>
      <c r="F370" s="358"/>
      <c r="G370" s="362"/>
      <c r="H370" s="299"/>
      <c r="I370" s="299"/>
      <c r="J370" s="299"/>
      <c r="K370" s="299"/>
      <c r="L370" s="299"/>
      <c r="M370" s="299"/>
      <c r="N370" s="299"/>
      <c r="O370" s="299"/>
      <c r="P370" s="363"/>
      <c r="Q370" s="24">
        <v>14</v>
      </c>
    </row>
    <row r="371" spans="1:17" s="24" customFormat="1" ht="15" customHeight="1" x14ac:dyDescent="0.2">
      <c r="A371" s="1"/>
      <c r="B371" s="349" t="s">
        <v>180</v>
      </c>
      <c r="C371" s="360"/>
      <c r="D371" s="361"/>
      <c r="E371" s="349"/>
      <c r="F371" s="358"/>
      <c r="G371" s="362"/>
      <c r="H371" s="299"/>
      <c r="I371" s="299"/>
      <c r="J371" s="299"/>
      <c r="K371" s="299"/>
      <c r="L371" s="299"/>
      <c r="M371" s="299"/>
      <c r="N371" s="299"/>
      <c r="O371" s="299"/>
      <c r="P371" s="363"/>
      <c r="Q371" s="24">
        <v>15</v>
      </c>
    </row>
    <row r="372" spans="1:17" s="24" customFormat="1" ht="15" customHeight="1" x14ac:dyDescent="0.2">
      <c r="A372" s="1"/>
      <c r="B372" s="349" t="s">
        <v>181</v>
      </c>
      <c r="C372" s="360"/>
      <c r="D372" s="361"/>
      <c r="E372" s="349"/>
      <c r="F372" s="358"/>
      <c r="G372" s="362"/>
      <c r="H372" s="299"/>
      <c r="I372" s="299"/>
      <c r="J372" s="299"/>
      <c r="K372" s="299"/>
      <c r="L372" s="299"/>
      <c r="M372" s="299"/>
      <c r="N372" s="299"/>
      <c r="O372" s="299"/>
      <c r="P372" s="363"/>
      <c r="Q372" s="24">
        <v>16</v>
      </c>
    </row>
    <row r="373" spans="1:17" s="24" customFormat="1" ht="15" customHeight="1" x14ac:dyDescent="0.2">
      <c r="A373" s="1"/>
      <c r="B373" s="349" t="s">
        <v>182</v>
      </c>
      <c r="C373" s="360"/>
      <c r="D373" s="361"/>
      <c r="E373" s="349"/>
      <c r="F373" s="358"/>
      <c r="G373" s="362"/>
      <c r="H373" s="299"/>
      <c r="I373" s="299"/>
      <c r="J373" s="299"/>
      <c r="K373" s="299"/>
      <c r="L373" s="299"/>
      <c r="M373" s="299"/>
      <c r="N373" s="299"/>
      <c r="O373" s="299"/>
      <c r="P373" s="363"/>
      <c r="Q373" s="24">
        <v>17</v>
      </c>
    </row>
    <row r="374" spans="1:17" s="24" customFormat="1" ht="15" customHeight="1" x14ac:dyDescent="0.2">
      <c r="A374" s="1"/>
      <c r="B374" s="349" t="s">
        <v>183</v>
      </c>
      <c r="C374" s="360"/>
      <c r="D374" s="361"/>
      <c r="E374" s="349"/>
      <c r="F374" s="358"/>
      <c r="G374" s="362"/>
      <c r="H374" s="299"/>
      <c r="I374" s="299"/>
      <c r="J374" s="299"/>
      <c r="K374" s="299"/>
      <c r="L374" s="299"/>
      <c r="M374" s="299"/>
      <c r="N374" s="299"/>
      <c r="O374" s="299"/>
      <c r="P374" s="363"/>
      <c r="Q374" s="24">
        <v>18</v>
      </c>
    </row>
    <row r="375" spans="1:17" s="24" customFormat="1" ht="15" customHeight="1" x14ac:dyDescent="0.2">
      <c r="A375" s="1"/>
      <c r="B375" s="349" t="s">
        <v>184</v>
      </c>
      <c r="C375" s="360"/>
      <c r="D375" s="361"/>
      <c r="E375" s="349"/>
      <c r="F375" s="358"/>
      <c r="G375" s="362"/>
      <c r="H375" s="299"/>
      <c r="I375" s="299"/>
      <c r="J375" s="299"/>
      <c r="K375" s="299"/>
      <c r="L375" s="299"/>
      <c r="M375" s="299"/>
      <c r="N375" s="299"/>
      <c r="O375" s="299"/>
      <c r="P375" s="363"/>
      <c r="Q375" s="24">
        <v>19</v>
      </c>
    </row>
    <row r="376" spans="1:17" s="24" customFormat="1" ht="15" customHeight="1" x14ac:dyDescent="0.2">
      <c r="A376" s="1"/>
      <c r="B376" s="349" t="s">
        <v>185</v>
      </c>
      <c r="C376" s="360"/>
      <c r="D376" s="361"/>
      <c r="E376" s="349"/>
      <c r="F376" s="358"/>
      <c r="G376" s="362"/>
      <c r="H376" s="299"/>
      <c r="I376" s="299"/>
      <c r="J376" s="299"/>
      <c r="K376" s="299"/>
      <c r="L376" s="299"/>
      <c r="M376" s="299"/>
      <c r="N376" s="299"/>
      <c r="O376" s="299"/>
      <c r="P376" s="363"/>
      <c r="Q376" s="24">
        <v>20</v>
      </c>
    </row>
    <row r="377" spans="1:17" s="24" customFormat="1" ht="15" customHeight="1" x14ac:dyDescent="0.2">
      <c r="A377" s="1"/>
      <c r="B377" s="349" t="s">
        <v>186</v>
      </c>
      <c r="C377" s="360"/>
      <c r="D377" s="361"/>
      <c r="E377" s="349"/>
      <c r="F377" s="358"/>
      <c r="G377" s="362"/>
      <c r="H377" s="299"/>
      <c r="I377" s="299"/>
      <c r="J377" s="299"/>
      <c r="K377" s="299"/>
      <c r="L377" s="299"/>
      <c r="M377" s="299"/>
      <c r="N377" s="299"/>
      <c r="O377" s="299"/>
      <c r="P377" s="363"/>
      <c r="Q377" s="24">
        <v>21</v>
      </c>
    </row>
    <row r="378" spans="1:17" s="24" customFormat="1" ht="15" customHeight="1" x14ac:dyDescent="0.2">
      <c r="A378" s="1"/>
      <c r="B378" s="349" t="s">
        <v>187</v>
      </c>
      <c r="C378" s="360"/>
      <c r="D378" s="361"/>
      <c r="E378" s="349"/>
      <c r="F378" s="358"/>
      <c r="G378" s="362"/>
      <c r="H378" s="299"/>
      <c r="I378" s="299"/>
      <c r="J378" s="299"/>
      <c r="K378" s="299"/>
      <c r="L378" s="299"/>
      <c r="M378" s="299"/>
      <c r="N378" s="299"/>
      <c r="O378" s="299"/>
      <c r="P378" s="363"/>
      <c r="Q378" s="24">
        <v>22</v>
      </c>
    </row>
    <row r="379" spans="1:17" s="24" customFormat="1" ht="15" customHeight="1" x14ac:dyDescent="0.2">
      <c r="A379" s="1"/>
      <c r="B379" s="349" t="s">
        <v>188</v>
      </c>
      <c r="C379" s="360"/>
      <c r="D379" s="361"/>
      <c r="E379" s="349"/>
      <c r="F379" s="358"/>
      <c r="G379" s="362"/>
      <c r="H379" s="299"/>
      <c r="I379" s="299"/>
      <c r="J379" s="299"/>
      <c r="K379" s="299"/>
      <c r="L379" s="299"/>
      <c r="M379" s="299"/>
      <c r="N379" s="299"/>
      <c r="O379" s="299"/>
      <c r="P379" s="363"/>
      <c r="Q379" s="24">
        <v>23</v>
      </c>
    </row>
    <row r="380" spans="1:17" s="24" customFormat="1" ht="15" customHeight="1" x14ac:dyDescent="0.2">
      <c r="A380" s="1"/>
      <c r="B380" s="349" t="s">
        <v>189</v>
      </c>
      <c r="C380" s="360"/>
      <c r="D380" s="361"/>
      <c r="E380" s="349"/>
      <c r="F380" s="358"/>
      <c r="G380" s="362"/>
      <c r="H380" s="299"/>
      <c r="I380" s="299"/>
      <c r="J380" s="299"/>
      <c r="K380" s="299"/>
      <c r="L380" s="299"/>
      <c r="M380" s="299"/>
      <c r="N380" s="299"/>
      <c r="O380" s="299"/>
      <c r="P380" s="363"/>
      <c r="Q380" s="24">
        <v>24</v>
      </c>
    </row>
    <row r="381" spans="1:17" s="24" customFormat="1" ht="15" customHeight="1" x14ac:dyDescent="0.2">
      <c r="A381" s="1"/>
      <c r="B381" s="349" t="s">
        <v>190</v>
      </c>
      <c r="C381" s="360"/>
      <c r="D381" s="361"/>
      <c r="E381" s="349"/>
      <c r="F381" s="358"/>
      <c r="G381" s="362"/>
      <c r="H381" s="299"/>
      <c r="I381" s="299"/>
      <c r="J381" s="299"/>
      <c r="K381" s="299"/>
      <c r="L381" s="299"/>
      <c r="M381" s="299"/>
      <c r="N381" s="299"/>
      <c r="O381" s="299"/>
      <c r="P381" s="363"/>
      <c r="Q381" s="24">
        <v>25</v>
      </c>
    </row>
    <row r="382" spans="1:17" s="24" customFormat="1" ht="15" customHeight="1" x14ac:dyDescent="0.2">
      <c r="A382" s="1"/>
      <c r="B382" s="349" t="s">
        <v>191</v>
      </c>
      <c r="C382" s="360"/>
      <c r="D382" s="361"/>
      <c r="E382" s="349"/>
      <c r="F382" s="358"/>
      <c r="G382" s="362"/>
      <c r="H382" s="299"/>
      <c r="I382" s="299"/>
      <c r="J382" s="299"/>
      <c r="K382" s="299"/>
      <c r="L382" s="299"/>
      <c r="M382" s="299"/>
      <c r="N382" s="299"/>
      <c r="O382" s="299"/>
      <c r="P382" s="363"/>
      <c r="Q382" s="24">
        <v>26</v>
      </c>
    </row>
    <row r="383" spans="1:17" s="24" customFormat="1" ht="15" customHeight="1" x14ac:dyDescent="0.2">
      <c r="A383" s="1"/>
      <c r="B383" s="349" t="s">
        <v>192</v>
      </c>
      <c r="C383" s="360"/>
      <c r="D383" s="361"/>
      <c r="E383" s="349"/>
      <c r="F383" s="358"/>
      <c r="G383" s="362"/>
      <c r="H383" s="299"/>
      <c r="I383" s="299"/>
      <c r="J383" s="299"/>
      <c r="K383" s="299"/>
      <c r="L383" s="299"/>
      <c r="M383" s="299"/>
      <c r="N383" s="299"/>
      <c r="O383" s="299"/>
      <c r="P383" s="363"/>
      <c r="Q383" s="24">
        <v>27</v>
      </c>
    </row>
    <row r="384" spans="1:17" s="24" customFormat="1" ht="15" customHeight="1" x14ac:dyDescent="0.2">
      <c r="A384" s="1"/>
      <c r="B384" s="349" t="s">
        <v>193</v>
      </c>
      <c r="C384" s="360"/>
      <c r="D384" s="361"/>
      <c r="E384" s="349"/>
      <c r="F384" s="358"/>
      <c r="G384" s="362"/>
      <c r="H384" s="299"/>
      <c r="I384" s="299"/>
      <c r="J384" s="299"/>
      <c r="K384" s="299"/>
      <c r="L384" s="299"/>
      <c r="M384" s="299"/>
      <c r="N384" s="299"/>
      <c r="O384" s="299"/>
      <c r="P384" s="363"/>
      <c r="Q384" s="24">
        <v>28</v>
      </c>
    </row>
    <row r="385" spans="1:17" s="24" customFormat="1" ht="15" customHeight="1" x14ac:dyDescent="0.2">
      <c r="A385" s="1"/>
      <c r="B385" s="349" t="s">
        <v>194</v>
      </c>
      <c r="C385" s="360"/>
      <c r="D385" s="361"/>
      <c r="E385" s="349"/>
      <c r="F385" s="358"/>
      <c r="G385" s="362"/>
      <c r="H385" s="299"/>
      <c r="I385" s="299"/>
      <c r="J385" s="299"/>
      <c r="K385" s="299"/>
      <c r="L385" s="299"/>
      <c r="M385" s="299"/>
      <c r="N385" s="299"/>
      <c r="O385" s="299"/>
      <c r="P385" s="363"/>
      <c r="Q385" s="24">
        <v>29</v>
      </c>
    </row>
    <row r="386" spans="1:17" s="24" customFormat="1" ht="15" customHeight="1" x14ac:dyDescent="0.2">
      <c r="A386" s="1"/>
      <c r="B386" s="349" t="s">
        <v>195</v>
      </c>
      <c r="C386" s="360"/>
      <c r="D386" s="361"/>
      <c r="E386" s="349"/>
      <c r="F386" s="358"/>
      <c r="G386" s="362"/>
      <c r="H386" s="299"/>
      <c r="I386" s="299"/>
      <c r="J386" s="299"/>
      <c r="K386" s="299"/>
      <c r="L386" s="299"/>
      <c r="M386" s="299"/>
      <c r="N386" s="299"/>
      <c r="O386" s="299"/>
      <c r="P386" s="363"/>
      <c r="Q386" s="24">
        <v>30</v>
      </c>
    </row>
    <row r="387" spans="1:17" s="24" customFormat="1" ht="15" customHeight="1" x14ac:dyDescent="0.2">
      <c r="A387" s="1"/>
      <c r="B387" s="349" t="s">
        <v>196</v>
      </c>
      <c r="C387" s="360"/>
      <c r="D387" s="361"/>
      <c r="E387" s="349"/>
      <c r="F387" s="358"/>
      <c r="G387" s="362"/>
      <c r="H387" s="299"/>
      <c r="I387" s="299"/>
      <c r="J387" s="299"/>
      <c r="K387" s="299"/>
      <c r="L387" s="299"/>
      <c r="M387" s="299"/>
      <c r="N387" s="299"/>
      <c r="O387" s="299"/>
      <c r="P387" s="363"/>
      <c r="Q387" s="24">
        <v>31</v>
      </c>
    </row>
    <row r="388" spans="1:17" s="24" customFormat="1" ht="15" customHeight="1" x14ac:dyDescent="0.2">
      <c r="A388" s="1"/>
      <c r="B388" s="349" t="s">
        <v>197</v>
      </c>
      <c r="C388" s="360"/>
      <c r="D388" s="361"/>
      <c r="E388" s="349"/>
      <c r="F388" s="358"/>
      <c r="G388" s="362"/>
      <c r="H388" s="299"/>
      <c r="I388" s="299"/>
      <c r="J388" s="299"/>
      <c r="K388" s="299"/>
      <c r="L388" s="299"/>
      <c r="M388" s="299"/>
      <c r="N388" s="299"/>
      <c r="O388" s="299"/>
      <c r="P388" s="363"/>
      <c r="Q388" s="24">
        <v>32</v>
      </c>
    </row>
    <row r="389" spans="1:17" s="24" customFormat="1" ht="15" customHeight="1" x14ac:dyDescent="0.2">
      <c r="A389" s="1"/>
      <c r="B389" s="349" t="s">
        <v>198</v>
      </c>
      <c r="C389" s="360"/>
      <c r="D389" s="361"/>
      <c r="E389" s="349"/>
      <c r="F389" s="358"/>
      <c r="G389" s="362"/>
      <c r="H389" s="299"/>
      <c r="I389" s="299"/>
      <c r="J389" s="299"/>
      <c r="K389" s="299"/>
      <c r="L389" s="299"/>
      <c r="M389" s="299"/>
      <c r="N389" s="299"/>
      <c r="O389" s="299"/>
      <c r="P389" s="363"/>
      <c r="Q389" s="24">
        <v>33</v>
      </c>
    </row>
    <row r="390" spans="1:17" s="24" customFormat="1" ht="15" customHeight="1" x14ac:dyDescent="0.2">
      <c r="A390" s="1"/>
      <c r="B390" s="349" t="s">
        <v>200</v>
      </c>
      <c r="C390" s="360"/>
      <c r="D390" s="361"/>
      <c r="E390" s="349"/>
      <c r="F390" s="358"/>
      <c r="G390" s="362"/>
      <c r="H390" s="299"/>
      <c r="I390" s="299"/>
      <c r="J390" s="299"/>
      <c r="K390" s="299"/>
      <c r="L390" s="299"/>
      <c r="M390" s="299"/>
      <c r="N390" s="299"/>
      <c r="O390" s="299"/>
      <c r="P390" s="363"/>
      <c r="Q390" s="24">
        <v>34</v>
      </c>
    </row>
    <row r="391" spans="1:17" s="24" customFormat="1" ht="15" customHeight="1" x14ac:dyDescent="0.2">
      <c r="A391" s="1"/>
      <c r="B391" s="349" t="s">
        <v>201</v>
      </c>
      <c r="C391" s="360"/>
      <c r="D391" s="361"/>
      <c r="E391" s="349"/>
      <c r="F391" s="358"/>
      <c r="G391" s="362"/>
      <c r="H391" s="299"/>
      <c r="I391" s="299"/>
      <c r="J391" s="299"/>
      <c r="K391" s="299"/>
      <c r="L391" s="299"/>
      <c r="M391" s="299"/>
      <c r="N391" s="299"/>
      <c r="O391" s="299"/>
      <c r="P391" s="363"/>
      <c r="Q391" s="24">
        <v>35</v>
      </c>
    </row>
    <row r="392" spans="1:17" s="24" customFormat="1" ht="15" customHeight="1" x14ac:dyDescent="0.2">
      <c r="A392" s="1"/>
      <c r="B392" s="349" t="s">
        <v>202</v>
      </c>
      <c r="C392" s="360"/>
      <c r="D392" s="361"/>
      <c r="E392" s="349"/>
      <c r="F392" s="358"/>
      <c r="G392" s="362"/>
      <c r="H392" s="299"/>
      <c r="I392" s="299"/>
      <c r="J392" s="299"/>
      <c r="K392" s="299"/>
      <c r="L392" s="299"/>
      <c r="M392" s="299"/>
      <c r="N392" s="299"/>
      <c r="O392" s="299"/>
      <c r="P392" s="363"/>
      <c r="Q392" s="24">
        <v>36</v>
      </c>
    </row>
    <row r="393" spans="1:17" s="24" customFormat="1" ht="15" customHeight="1" x14ac:dyDescent="0.2">
      <c r="A393" s="1"/>
      <c r="B393" s="349" t="s">
        <v>203</v>
      </c>
      <c r="C393" s="360"/>
      <c r="D393" s="361"/>
      <c r="E393" s="349"/>
      <c r="F393" s="358"/>
      <c r="G393" s="362"/>
      <c r="H393" s="299"/>
      <c r="I393" s="299"/>
      <c r="J393" s="299"/>
      <c r="K393" s="299"/>
      <c r="L393" s="299"/>
      <c r="M393" s="299"/>
      <c r="N393" s="299"/>
      <c r="O393" s="299"/>
      <c r="P393" s="363"/>
      <c r="Q393" s="24">
        <v>37</v>
      </c>
    </row>
    <row r="394" spans="1:17" s="24" customFormat="1" ht="15" customHeight="1" x14ac:dyDescent="0.2">
      <c r="A394" s="1"/>
      <c r="B394" s="349" t="s">
        <v>204</v>
      </c>
      <c r="C394" s="360"/>
      <c r="D394" s="361"/>
      <c r="E394" s="349"/>
      <c r="F394" s="358"/>
      <c r="G394" s="362"/>
      <c r="H394" s="299"/>
      <c r="I394" s="299"/>
      <c r="J394" s="299"/>
      <c r="K394" s="299"/>
      <c r="L394" s="299"/>
      <c r="M394" s="299"/>
      <c r="N394" s="299"/>
      <c r="O394" s="299"/>
      <c r="P394" s="363"/>
      <c r="Q394" s="24">
        <v>38</v>
      </c>
    </row>
    <row r="395" spans="1:17" s="24" customFormat="1" ht="15" customHeight="1" x14ac:dyDescent="0.2">
      <c r="A395" s="1"/>
      <c r="B395" s="349" t="s">
        <v>205</v>
      </c>
      <c r="C395" s="360"/>
      <c r="D395" s="361"/>
      <c r="E395" s="349"/>
      <c r="F395" s="358"/>
      <c r="G395" s="362"/>
      <c r="H395" s="299"/>
      <c r="I395" s="299"/>
      <c r="J395" s="299"/>
      <c r="K395" s="299"/>
      <c r="L395" s="299"/>
      <c r="M395" s="299"/>
      <c r="N395" s="299"/>
      <c r="O395" s="299"/>
      <c r="P395" s="363"/>
      <c r="Q395" s="24">
        <v>39</v>
      </c>
    </row>
    <row r="396" spans="1:17" s="24" customFormat="1" ht="15" customHeight="1" thickBot="1" x14ac:dyDescent="0.25">
      <c r="A396" s="1"/>
      <c r="B396" s="13" t="s">
        <v>206</v>
      </c>
      <c r="C396" s="146"/>
      <c r="D396" s="143"/>
      <c r="E396" s="13"/>
      <c r="F396" s="43"/>
      <c r="G396" s="205"/>
      <c r="H396" s="46"/>
      <c r="I396" s="46"/>
      <c r="J396" s="46"/>
      <c r="K396" s="46"/>
      <c r="L396" s="46"/>
      <c r="M396" s="46"/>
      <c r="N396" s="46"/>
      <c r="O396" s="46"/>
      <c r="P396" s="196"/>
      <c r="Q396" s="24">
        <v>40</v>
      </c>
    </row>
    <row r="397" spans="1:17" s="24" customFormat="1" ht="12.95" customHeight="1" x14ac:dyDescent="0.2">
      <c r="A397" s="1"/>
      <c r="B397" s="389" t="s">
        <v>1</v>
      </c>
      <c r="C397" s="387" t="s">
        <v>77</v>
      </c>
      <c r="D397" s="389" t="s">
        <v>104</v>
      </c>
      <c r="E397" s="385" t="s">
        <v>3</v>
      </c>
      <c r="F397" s="406" t="s">
        <v>4</v>
      </c>
      <c r="G397" s="407" t="s">
        <v>53</v>
      </c>
      <c r="H397" s="408"/>
      <c r="I397" s="408"/>
      <c r="J397" s="408"/>
      <c r="K397" s="408"/>
      <c r="L397" s="408"/>
      <c r="M397" s="408"/>
      <c r="N397" s="408"/>
      <c r="O397" s="408"/>
      <c r="P397" s="409"/>
      <c r="Q397" s="1"/>
    </row>
    <row r="398" spans="1:17" s="24" customFormat="1" ht="12.95" customHeight="1" thickBot="1" x14ac:dyDescent="0.25">
      <c r="A398" s="1"/>
      <c r="B398" s="390"/>
      <c r="C398" s="404"/>
      <c r="D398" s="390"/>
      <c r="E398" s="386"/>
      <c r="F398" s="405"/>
      <c r="G398" s="140" t="s">
        <v>54</v>
      </c>
      <c r="H398" s="9" t="s">
        <v>55</v>
      </c>
      <c r="I398" s="9" t="s">
        <v>56</v>
      </c>
      <c r="J398" s="9" t="s">
        <v>57</v>
      </c>
      <c r="K398" s="9" t="s">
        <v>58</v>
      </c>
      <c r="L398" s="9" t="s">
        <v>146</v>
      </c>
      <c r="M398" s="9" t="s">
        <v>60</v>
      </c>
      <c r="N398" s="9" t="s">
        <v>61</v>
      </c>
      <c r="O398" s="141" t="s">
        <v>62</v>
      </c>
      <c r="P398" s="202" t="s">
        <v>63</v>
      </c>
      <c r="Q398" s="1"/>
    </row>
    <row r="399" spans="1:17" s="24" customFormat="1" ht="12.95" customHeight="1" x14ac:dyDescent="0.2">
      <c r="A399" s="1"/>
      <c r="B399" s="12" t="s">
        <v>107</v>
      </c>
      <c r="C399" s="145"/>
      <c r="D399" s="142"/>
      <c r="E399" s="12"/>
      <c r="F399" s="100"/>
      <c r="G399" s="183"/>
      <c r="H399" s="184"/>
      <c r="I399" s="184"/>
      <c r="J399" s="184"/>
      <c r="K399" s="185"/>
      <c r="L399" s="185"/>
      <c r="M399" s="185"/>
      <c r="N399" s="35"/>
      <c r="O399" s="35"/>
      <c r="P399" s="203"/>
      <c r="Q399" s="1">
        <v>1</v>
      </c>
    </row>
    <row r="400" spans="1:17" s="24" customFormat="1" ht="12.95" customHeight="1" x14ac:dyDescent="0.2">
      <c r="A400" s="1"/>
      <c r="B400" s="349" t="s">
        <v>175</v>
      </c>
      <c r="C400" s="360"/>
      <c r="D400" s="361"/>
      <c r="E400" s="349"/>
      <c r="F400" s="350"/>
      <c r="G400" s="156"/>
      <c r="H400" s="157"/>
      <c r="I400" s="157"/>
      <c r="J400" s="157"/>
      <c r="K400" s="158"/>
      <c r="L400" s="158"/>
      <c r="M400" s="158"/>
      <c r="N400" s="299"/>
      <c r="O400" s="299"/>
      <c r="P400" s="363"/>
      <c r="Q400" s="1">
        <v>2</v>
      </c>
    </row>
    <row r="401" spans="1:17" s="24" customFormat="1" ht="12.95" customHeight="1" x14ac:dyDescent="0.2">
      <c r="A401" s="1"/>
      <c r="B401" s="349" t="s">
        <v>199</v>
      </c>
      <c r="C401" s="360"/>
      <c r="D401" s="361"/>
      <c r="E401" s="349"/>
      <c r="F401" s="350"/>
      <c r="G401" s="156"/>
      <c r="H401" s="157"/>
      <c r="I401" s="157"/>
      <c r="J401" s="157"/>
      <c r="K401" s="158"/>
      <c r="L401" s="158"/>
      <c r="M401" s="158"/>
      <c r="N401" s="299"/>
      <c r="O401" s="299"/>
      <c r="P401" s="363"/>
      <c r="Q401" s="1">
        <v>3</v>
      </c>
    </row>
    <row r="402" spans="1:17" s="24" customFormat="1" ht="12.95" customHeight="1" x14ac:dyDescent="0.2">
      <c r="A402" s="1"/>
      <c r="B402" s="349" t="s">
        <v>81</v>
      </c>
      <c r="C402" s="360"/>
      <c r="D402" s="361"/>
      <c r="E402" s="349"/>
      <c r="F402" s="350"/>
      <c r="G402" s="156"/>
      <c r="H402" s="157"/>
      <c r="I402" s="157"/>
      <c r="J402" s="157"/>
      <c r="K402" s="158"/>
      <c r="L402" s="158"/>
      <c r="M402" s="158"/>
      <c r="N402" s="299"/>
      <c r="O402" s="299"/>
      <c r="P402" s="363"/>
      <c r="Q402" s="1">
        <v>4</v>
      </c>
    </row>
    <row r="403" spans="1:17" s="24" customFormat="1" ht="12.95" customHeight="1" x14ac:dyDescent="0.2">
      <c r="A403" s="1"/>
      <c r="B403" s="349" t="s">
        <v>82</v>
      </c>
      <c r="C403" s="360"/>
      <c r="D403" s="361"/>
      <c r="E403" s="349"/>
      <c r="F403" s="350"/>
      <c r="G403" s="156"/>
      <c r="H403" s="157"/>
      <c r="I403" s="157"/>
      <c r="J403" s="157"/>
      <c r="K403" s="158"/>
      <c r="L403" s="158"/>
      <c r="M403" s="158"/>
      <c r="N403" s="299"/>
      <c r="O403" s="299"/>
      <c r="P403" s="363"/>
      <c r="Q403" s="1">
        <v>5</v>
      </c>
    </row>
    <row r="404" spans="1:17" s="24" customFormat="1" ht="12.95" customHeight="1" x14ac:dyDescent="0.2">
      <c r="A404" s="1"/>
      <c r="B404" s="349" t="s">
        <v>83</v>
      </c>
      <c r="C404" s="360"/>
      <c r="D404" s="361"/>
      <c r="E404" s="349"/>
      <c r="F404" s="350"/>
      <c r="G404" s="156"/>
      <c r="H404" s="157"/>
      <c r="I404" s="157"/>
      <c r="J404" s="157"/>
      <c r="K404" s="158"/>
      <c r="L404" s="158"/>
      <c r="M404" s="158"/>
      <c r="N404" s="299"/>
      <c r="O404" s="299"/>
      <c r="P404" s="363"/>
      <c r="Q404" s="1">
        <v>6</v>
      </c>
    </row>
    <row r="405" spans="1:17" s="24" customFormat="1" ht="12.95" customHeight="1" x14ac:dyDescent="0.2">
      <c r="A405" s="1"/>
      <c r="B405" s="349" t="s">
        <v>84</v>
      </c>
      <c r="C405" s="360"/>
      <c r="D405" s="361"/>
      <c r="E405" s="349"/>
      <c r="F405" s="350"/>
      <c r="G405" s="156"/>
      <c r="H405" s="157"/>
      <c r="I405" s="157"/>
      <c r="J405" s="157"/>
      <c r="K405" s="158"/>
      <c r="L405" s="158"/>
      <c r="M405" s="158"/>
      <c r="N405" s="299"/>
      <c r="O405" s="299"/>
      <c r="P405" s="363"/>
      <c r="Q405" s="1">
        <v>7</v>
      </c>
    </row>
    <row r="406" spans="1:17" s="24" customFormat="1" ht="12.95" customHeight="1" x14ac:dyDescent="0.2">
      <c r="A406" s="1"/>
      <c r="B406" s="349" t="s">
        <v>85</v>
      </c>
      <c r="C406" s="360"/>
      <c r="D406" s="361"/>
      <c r="E406" s="349"/>
      <c r="F406" s="350"/>
      <c r="G406" s="156"/>
      <c r="H406" s="157"/>
      <c r="I406" s="157"/>
      <c r="J406" s="157"/>
      <c r="K406" s="158"/>
      <c r="L406" s="158"/>
      <c r="M406" s="158"/>
      <c r="N406" s="299"/>
      <c r="O406" s="299"/>
      <c r="P406" s="363"/>
      <c r="Q406" s="1">
        <v>8</v>
      </c>
    </row>
    <row r="407" spans="1:17" s="24" customFormat="1" ht="12.95" customHeight="1" x14ac:dyDescent="0.2">
      <c r="A407" s="1"/>
      <c r="B407" s="349" t="s">
        <v>86</v>
      </c>
      <c r="C407" s="360"/>
      <c r="D407" s="361"/>
      <c r="E407" s="349"/>
      <c r="F407" s="350"/>
      <c r="G407" s="156"/>
      <c r="H407" s="157"/>
      <c r="I407" s="157"/>
      <c r="J407" s="157"/>
      <c r="K407" s="158"/>
      <c r="L407" s="158"/>
      <c r="M407" s="158"/>
      <c r="N407" s="299"/>
      <c r="O407" s="299"/>
      <c r="P407" s="363"/>
      <c r="Q407" s="1">
        <v>9</v>
      </c>
    </row>
    <row r="408" spans="1:17" s="24" customFormat="1" ht="12.95" customHeight="1" x14ac:dyDescent="0.2">
      <c r="A408" s="1"/>
      <c r="B408" s="349" t="s">
        <v>87</v>
      </c>
      <c r="C408" s="360"/>
      <c r="D408" s="361"/>
      <c r="E408" s="349"/>
      <c r="F408" s="350"/>
      <c r="G408" s="156"/>
      <c r="H408" s="157"/>
      <c r="I408" s="157"/>
      <c r="J408" s="157"/>
      <c r="K408" s="158"/>
      <c r="L408" s="158"/>
      <c r="M408" s="158"/>
      <c r="N408" s="299"/>
      <c r="O408" s="299"/>
      <c r="P408" s="363"/>
      <c r="Q408" s="1">
        <v>10</v>
      </c>
    </row>
    <row r="409" spans="1:17" s="24" customFormat="1" ht="12.95" customHeight="1" x14ac:dyDescent="0.2">
      <c r="A409" s="1"/>
      <c r="B409" s="349" t="s">
        <v>176</v>
      </c>
      <c r="C409" s="360"/>
      <c r="D409" s="361"/>
      <c r="E409" s="349"/>
      <c r="F409" s="350"/>
      <c r="G409" s="156"/>
      <c r="H409" s="157"/>
      <c r="I409" s="157"/>
      <c r="J409" s="157"/>
      <c r="K409" s="158"/>
      <c r="L409" s="158"/>
      <c r="M409" s="158"/>
      <c r="N409" s="299"/>
      <c r="O409" s="299"/>
      <c r="P409" s="363"/>
      <c r="Q409" s="1">
        <v>11</v>
      </c>
    </row>
    <row r="410" spans="1:17" s="24" customFormat="1" ht="12.95" customHeight="1" x14ac:dyDescent="0.2">
      <c r="A410" s="1"/>
      <c r="B410" s="349" t="s">
        <v>177</v>
      </c>
      <c r="C410" s="360"/>
      <c r="D410" s="361"/>
      <c r="E410" s="349"/>
      <c r="F410" s="350"/>
      <c r="G410" s="156"/>
      <c r="H410" s="157"/>
      <c r="I410" s="157"/>
      <c r="J410" s="157"/>
      <c r="K410" s="158"/>
      <c r="L410" s="158"/>
      <c r="M410" s="158"/>
      <c r="N410" s="299"/>
      <c r="O410" s="299"/>
      <c r="P410" s="363"/>
      <c r="Q410" s="1">
        <v>12</v>
      </c>
    </row>
    <row r="411" spans="1:17" s="24" customFormat="1" ht="12.95" customHeight="1" x14ac:dyDescent="0.2">
      <c r="A411" s="1"/>
      <c r="B411" s="349" t="s">
        <v>178</v>
      </c>
      <c r="C411" s="360"/>
      <c r="D411" s="361"/>
      <c r="E411" s="349"/>
      <c r="F411" s="350"/>
      <c r="G411" s="156"/>
      <c r="H411" s="157"/>
      <c r="I411" s="157"/>
      <c r="J411" s="157"/>
      <c r="K411" s="158"/>
      <c r="L411" s="158"/>
      <c r="M411" s="158"/>
      <c r="N411" s="299"/>
      <c r="O411" s="299"/>
      <c r="P411" s="363"/>
      <c r="Q411" s="1">
        <v>13</v>
      </c>
    </row>
    <row r="412" spans="1:17" s="24" customFormat="1" ht="12.95" customHeight="1" x14ac:dyDescent="0.2">
      <c r="A412" s="1"/>
      <c r="B412" s="349" t="s">
        <v>179</v>
      </c>
      <c r="C412" s="360"/>
      <c r="D412" s="361"/>
      <c r="E412" s="349"/>
      <c r="F412" s="350"/>
      <c r="G412" s="156"/>
      <c r="H412" s="157"/>
      <c r="I412" s="157"/>
      <c r="J412" s="157"/>
      <c r="K412" s="158"/>
      <c r="L412" s="158"/>
      <c r="M412" s="158"/>
      <c r="N412" s="299"/>
      <c r="O412" s="299"/>
      <c r="P412" s="363"/>
      <c r="Q412" s="1">
        <v>14</v>
      </c>
    </row>
    <row r="413" spans="1:17" s="24" customFormat="1" ht="12.95" customHeight="1" x14ac:dyDescent="0.2">
      <c r="A413" s="1"/>
      <c r="B413" s="349" t="s">
        <v>180</v>
      </c>
      <c r="C413" s="360"/>
      <c r="D413" s="361"/>
      <c r="E413" s="349"/>
      <c r="F413" s="350"/>
      <c r="G413" s="156"/>
      <c r="H413" s="157"/>
      <c r="I413" s="157"/>
      <c r="J413" s="157"/>
      <c r="K413" s="158"/>
      <c r="L413" s="158"/>
      <c r="M413" s="158"/>
      <c r="N413" s="299"/>
      <c r="O413" s="299"/>
      <c r="P413" s="363"/>
      <c r="Q413" s="1">
        <v>15</v>
      </c>
    </row>
    <row r="414" spans="1:17" s="24" customFormat="1" ht="12.95" customHeight="1" x14ac:dyDescent="0.2">
      <c r="A414" s="1"/>
      <c r="B414" s="349" t="s">
        <v>181</v>
      </c>
      <c r="C414" s="360"/>
      <c r="D414" s="361"/>
      <c r="E414" s="349"/>
      <c r="F414" s="350"/>
      <c r="G414" s="156"/>
      <c r="H414" s="157"/>
      <c r="I414" s="157"/>
      <c r="J414" s="157"/>
      <c r="K414" s="158"/>
      <c r="L414" s="158"/>
      <c r="M414" s="158"/>
      <c r="N414" s="299"/>
      <c r="O414" s="299"/>
      <c r="P414" s="363"/>
      <c r="Q414" s="1">
        <v>16</v>
      </c>
    </row>
    <row r="415" spans="1:17" s="24" customFormat="1" ht="12.95" customHeight="1" x14ac:dyDescent="0.2">
      <c r="A415" s="1"/>
      <c r="B415" s="349" t="s">
        <v>182</v>
      </c>
      <c r="C415" s="360"/>
      <c r="D415" s="361"/>
      <c r="E415" s="349"/>
      <c r="F415" s="350"/>
      <c r="G415" s="156"/>
      <c r="H415" s="157"/>
      <c r="I415" s="157"/>
      <c r="J415" s="157"/>
      <c r="K415" s="158"/>
      <c r="L415" s="158"/>
      <c r="M415" s="158"/>
      <c r="N415" s="299"/>
      <c r="O415" s="299"/>
      <c r="P415" s="363"/>
      <c r="Q415" s="1">
        <v>17</v>
      </c>
    </row>
    <row r="416" spans="1:17" s="24" customFormat="1" ht="12.95" customHeight="1" x14ac:dyDescent="0.2">
      <c r="A416" s="1"/>
      <c r="B416" s="349" t="s">
        <v>183</v>
      </c>
      <c r="C416" s="360"/>
      <c r="D416" s="361"/>
      <c r="E416" s="349"/>
      <c r="F416" s="350"/>
      <c r="G416" s="156"/>
      <c r="H416" s="157"/>
      <c r="I416" s="157"/>
      <c r="J416" s="157"/>
      <c r="K416" s="158"/>
      <c r="L416" s="158"/>
      <c r="M416" s="158"/>
      <c r="N416" s="299"/>
      <c r="O416" s="299"/>
      <c r="P416" s="363"/>
      <c r="Q416" s="1">
        <v>18</v>
      </c>
    </row>
    <row r="417" spans="1:17" s="24" customFormat="1" ht="12.95" customHeight="1" x14ac:dyDescent="0.2">
      <c r="A417" s="1"/>
      <c r="B417" s="349" t="s">
        <v>184</v>
      </c>
      <c r="C417" s="360"/>
      <c r="D417" s="361"/>
      <c r="E417" s="349"/>
      <c r="F417" s="350"/>
      <c r="G417" s="156"/>
      <c r="H417" s="157"/>
      <c r="I417" s="157"/>
      <c r="J417" s="157"/>
      <c r="K417" s="158"/>
      <c r="L417" s="158"/>
      <c r="M417" s="158"/>
      <c r="N417" s="299"/>
      <c r="O417" s="299"/>
      <c r="P417" s="363"/>
      <c r="Q417" s="1">
        <v>19</v>
      </c>
    </row>
    <row r="418" spans="1:17" s="24" customFormat="1" ht="12.95" customHeight="1" x14ac:dyDescent="0.2">
      <c r="A418" s="1"/>
      <c r="B418" s="349" t="s">
        <v>185</v>
      </c>
      <c r="C418" s="360"/>
      <c r="D418" s="361"/>
      <c r="E418" s="349"/>
      <c r="F418" s="350"/>
      <c r="G418" s="156"/>
      <c r="H418" s="157"/>
      <c r="I418" s="157"/>
      <c r="J418" s="157"/>
      <c r="K418" s="158"/>
      <c r="L418" s="158"/>
      <c r="M418" s="158"/>
      <c r="N418" s="299"/>
      <c r="O418" s="299"/>
      <c r="P418" s="363"/>
      <c r="Q418" s="1">
        <v>20</v>
      </c>
    </row>
    <row r="419" spans="1:17" s="24" customFormat="1" ht="12.95" customHeight="1" x14ac:dyDescent="0.2">
      <c r="A419" s="1"/>
      <c r="B419" s="349" t="s">
        <v>186</v>
      </c>
      <c r="C419" s="360"/>
      <c r="D419" s="361"/>
      <c r="E419" s="349"/>
      <c r="F419" s="350"/>
      <c r="G419" s="156"/>
      <c r="H419" s="157"/>
      <c r="I419" s="157"/>
      <c r="J419" s="157"/>
      <c r="K419" s="158"/>
      <c r="L419" s="158"/>
      <c r="M419" s="158"/>
      <c r="N419" s="299"/>
      <c r="O419" s="299"/>
      <c r="P419" s="363"/>
      <c r="Q419" s="1">
        <v>21</v>
      </c>
    </row>
    <row r="420" spans="1:17" s="24" customFormat="1" ht="12.95" customHeight="1" x14ac:dyDescent="0.2">
      <c r="A420" s="1"/>
      <c r="B420" s="349" t="s">
        <v>187</v>
      </c>
      <c r="C420" s="360"/>
      <c r="D420" s="361"/>
      <c r="E420" s="349"/>
      <c r="F420" s="350"/>
      <c r="G420" s="156"/>
      <c r="H420" s="157"/>
      <c r="I420" s="157"/>
      <c r="J420" s="157"/>
      <c r="K420" s="158"/>
      <c r="L420" s="158"/>
      <c r="M420" s="158"/>
      <c r="N420" s="299"/>
      <c r="O420" s="299"/>
      <c r="P420" s="363"/>
      <c r="Q420" s="1">
        <v>22</v>
      </c>
    </row>
    <row r="421" spans="1:17" s="24" customFormat="1" ht="12.95" customHeight="1" x14ac:dyDescent="0.2">
      <c r="A421" s="1"/>
      <c r="B421" s="349" t="s">
        <v>188</v>
      </c>
      <c r="C421" s="360"/>
      <c r="D421" s="361"/>
      <c r="E421" s="349"/>
      <c r="F421" s="350"/>
      <c r="G421" s="156"/>
      <c r="H421" s="157"/>
      <c r="I421" s="157"/>
      <c r="J421" s="157"/>
      <c r="K421" s="158"/>
      <c r="L421" s="158"/>
      <c r="M421" s="158"/>
      <c r="N421" s="299"/>
      <c r="O421" s="299"/>
      <c r="P421" s="363"/>
      <c r="Q421" s="1">
        <v>23</v>
      </c>
    </row>
    <row r="422" spans="1:17" s="24" customFormat="1" ht="12.95" customHeight="1" x14ac:dyDescent="0.2">
      <c r="A422" s="1"/>
      <c r="B422" s="349" t="s">
        <v>189</v>
      </c>
      <c r="C422" s="360"/>
      <c r="D422" s="361"/>
      <c r="E422" s="349"/>
      <c r="F422" s="350"/>
      <c r="G422" s="156"/>
      <c r="H422" s="157"/>
      <c r="I422" s="157"/>
      <c r="J422" s="157"/>
      <c r="K422" s="158"/>
      <c r="L422" s="158"/>
      <c r="M422" s="158"/>
      <c r="N422" s="299"/>
      <c r="O422" s="299"/>
      <c r="P422" s="363"/>
      <c r="Q422" s="1">
        <v>24</v>
      </c>
    </row>
    <row r="423" spans="1:17" s="24" customFormat="1" ht="12.95" customHeight="1" x14ac:dyDescent="0.2">
      <c r="A423" s="1"/>
      <c r="B423" s="349" t="s">
        <v>190</v>
      </c>
      <c r="C423" s="360"/>
      <c r="D423" s="361"/>
      <c r="E423" s="349"/>
      <c r="F423" s="350"/>
      <c r="G423" s="156"/>
      <c r="H423" s="157"/>
      <c r="I423" s="157"/>
      <c r="J423" s="157"/>
      <c r="K423" s="158"/>
      <c r="L423" s="158"/>
      <c r="M423" s="158"/>
      <c r="N423" s="299"/>
      <c r="O423" s="299"/>
      <c r="P423" s="363"/>
      <c r="Q423" s="1">
        <v>25</v>
      </c>
    </row>
    <row r="424" spans="1:17" s="24" customFormat="1" ht="12.95" customHeight="1" x14ac:dyDescent="0.2">
      <c r="A424" s="1"/>
      <c r="B424" s="349" t="s">
        <v>191</v>
      </c>
      <c r="C424" s="360"/>
      <c r="D424" s="361"/>
      <c r="E424" s="349"/>
      <c r="F424" s="350"/>
      <c r="G424" s="156"/>
      <c r="H424" s="157"/>
      <c r="I424" s="157"/>
      <c r="J424" s="157"/>
      <c r="K424" s="158"/>
      <c r="L424" s="158"/>
      <c r="M424" s="158"/>
      <c r="N424" s="299"/>
      <c r="O424" s="299"/>
      <c r="P424" s="363"/>
      <c r="Q424" s="1">
        <v>26</v>
      </c>
    </row>
    <row r="425" spans="1:17" s="24" customFormat="1" ht="12.95" customHeight="1" x14ac:dyDescent="0.2">
      <c r="A425" s="1"/>
      <c r="B425" s="349" t="s">
        <v>192</v>
      </c>
      <c r="C425" s="360"/>
      <c r="D425" s="361"/>
      <c r="E425" s="349"/>
      <c r="F425" s="350"/>
      <c r="G425" s="156"/>
      <c r="H425" s="157"/>
      <c r="I425" s="157"/>
      <c r="J425" s="157"/>
      <c r="K425" s="158"/>
      <c r="L425" s="158"/>
      <c r="M425" s="158"/>
      <c r="N425" s="299"/>
      <c r="O425" s="299"/>
      <c r="P425" s="363"/>
      <c r="Q425" s="1">
        <v>27</v>
      </c>
    </row>
    <row r="426" spans="1:17" s="24" customFormat="1" ht="12.95" customHeight="1" x14ac:dyDescent="0.2">
      <c r="A426" s="1"/>
      <c r="B426" s="349" t="s">
        <v>193</v>
      </c>
      <c r="C426" s="360"/>
      <c r="D426" s="361"/>
      <c r="E426" s="349"/>
      <c r="F426" s="350"/>
      <c r="G426" s="156"/>
      <c r="H426" s="157"/>
      <c r="I426" s="157"/>
      <c r="J426" s="157"/>
      <c r="K426" s="158"/>
      <c r="L426" s="158"/>
      <c r="M426" s="158"/>
      <c r="N426" s="299"/>
      <c r="O426" s="299"/>
      <c r="P426" s="363"/>
      <c r="Q426" s="1">
        <v>28</v>
      </c>
    </row>
    <row r="427" spans="1:17" s="24" customFormat="1" ht="12.95" customHeight="1" x14ac:dyDescent="0.2">
      <c r="A427" s="1"/>
      <c r="B427" s="349" t="s">
        <v>194</v>
      </c>
      <c r="C427" s="360"/>
      <c r="D427" s="361"/>
      <c r="E427" s="349"/>
      <c r="F427" s="350"/>
      <c r="G427" s="156"/>
      <c r="H427" s="157"/>
      <c r="I427" s="157"/>
      <c r="J427" s="157"/>
      <c r="K427" s="158"/>
      <c r="L427" s="158"/>
      <c r="M427" s="158"/>
      <c r="N427" s="299"/>
      <c r="O427" s="299"/>
      <c r="P427" s="363"/>
      <c r="Q427" s="1">
        <v>29</v>
      </c>
    </row>
    <row r="428" spans="1:17" s="24" customFormat="1" ht="12.95" customHeight="1" x14ac:dyDescent="0.2">
      <c r="A428" s="1"/>
      <c r="B428" s="349" t="s">
        <v>195</v>
      </c>
      <c r="C428" s="360"/>
      <c r="D428" s="361"/>
      <c r="E428" s="349"/>
      <c r="F428" s="350"/>
      <c r="G428" s="156"/>
      <c r="H428" s="157"/>
      <c r="I428" s="157"/>
      <c r="J428" s="157"/>
      <c r="K428" s="158"/>
      <c r="L428" s="158"/>
      <c r="M428" s="158"/>
      <c r="N428" s="299"/>
      <c r="O428" s="299"/>
      <c r="P428" s="363"/>
      <c r="Q428" s="1">
        <v>30</v>
      </c>
    </row>
    <row r="429" spans="1:17" s="24" customFormat="1" ht="12.95" customHeight="1" x14ac:dyDescent="0.2">
      <c r="A429" s="1"/>
      <c r="B429" s="349" t="s">
        <v>196</v>
      </c>
      <c r="C429" s="360"/>
      <c r="D429" s="361"/>
      <c r="E429" s="349"/>
      <c r="F429" s="350"/>
      <c r="G429" s="156"/>
      <c r="H429" s="157"/>
      <c r="I429" s="157"/>
      <c r="J429" s="157"/>
      <c r="K429" s="158"/>
      <c r="L429" s="158"/>
      <c r="M429" s="158"/>
      <c r="N429" s="299"/>
      <c r="O429" s="299"/>
      <c r="P429" s="363"/>
      <c r="Q429" s="1">
        <v>31</v>
      </c>
    </row>
    <row r="430" spans="1:17" s="24" customFormat="1" ht="12.95" customHeight="1" x14ac:dyDescent="0.2">
      <c r="A430" s="1"/>
      <c r="B430" s="349" t="s">
        <v>197</v>
      </c>
      <c r="C430" s="360"/>
      <c r="D430" s="361"/>
      <c r="E430" s="349"/>
      <c r="F430" s="350"/>
      <c r="G430" s="156"/>
      <c r="H430" s="157"/>
      <c r="I430" s="157"/>
      <c r="J430" s="157"/>
      <c r="K430" s="158"/>
      <c r="L430" s="158"/>
      <c r="M430" s="158"/>
      <c r="N430" s="299"/>
      <c r="O430" s="299"/>
      <c r="P430" s="363"/>
      <c r="Q430" s="1">
        <v>32</v>
      </c>
    </row>
    <row r="431" spans="1:17" s="24" customFormat="1" ht="12.95" customHeight="1" x14ac:dyDescent="0.2">
      <c r="A431" s="1"/>
      <c r="B431" s="349" t="s">
        <v>198</v>
      </c>
      <c r="C431" s="360"/>
      <c r="D431" s="361"/>
      <c r="E431" s="349"/>
      <c r="F431" s="350"/>
      <c r="G431" s="156"/>
      <c r="H431" s="157"/>
      <c r="I431" s="157"/>
      <c r="J431" s="157"/>
      <c r="K431" s="158"/>
      <c r="L431" s="158"/>
      <c r="M431" s="158"/>
      <c r="N431" s="299"/>
      <c r="O431" s="299"/>
      <c r="P431" s="363"/>
      <c r="Q431" s="1">
        <v>33</v>
      </c>
    </row>
    <row r="432" spans="1:17" s="24" customFormat="1" ht="12.95" customHeight="1" x14ac:dyDescent="0.2">
      <c r="A432" s="1"/>
      <c r="B432" s="349" t="s">
        <v>200</v>
      </c>
      <c r="C432" s="146"/>
      <c r="D432" s="143"/>
      <c r="E432" s="13"/>
      <c r="F432" s="101"/>
      <c r="G432" s="161"/>
      <c r="H432" s="162"/>
      <c r="I432" s="162"/>
      <c r="J432" s="162"/>
      <c r="K432" s="163"/>
      <c r="L432" s="163"/>
      <c r="M432" s="163"/>
      <c r="N432" s="46"/>
      <c r="O432" s="46"/>
      <c r="P432" s="196"/>
      <c r="Q432" s="1">
        <v>34</v>
      </c>
    </row>
    <row r="433" spans="2:17" ht="12.95" customHeight="1" x14ac:dyDescent="0.2">
      <c r="B433" s="349" t="s">
        <v>201</v>
      </c>
      <c r="C433" s="146"/>
      <c r="D433" s="143"/>
      <c r="E433" s="13"/>
      <c r="F433" s="101"/>
      <c r="G433" s="161"/>
      <c r="H433" s="162"/>
      <c r="I433" s="162"/>
      <c r="J433" s="162"/>
      <c r="K433" s="163"/>
      <c r="L433" s="163"/>
      <c r="M433" s="163"/>
      <c r="N433" s="46"/>
      <c r="O433" s="46"/>
      <c r="P433" s="196"/>
      <c r="Q433" s="1">
        <v>35</v>
      </c>
    </row>
    <row r="434" spans="2:17" ht="12.95" customHeight="1" x14ac:dyDescent="0.2">
      <c r="B434" s="349" t="s">
        <v>202</v>
      </c>
      <c r="C434" s="146"/>
      <c r="D434" s="143"/>
      <c r="E434" s="13"/>
      <c r="F434" s="101"/>
      <c r="G434" s="161"/>
      <c r="H434" s="162"/>
      <c r="I434" s="162"/>
      <c r="J434" s="162"/>
      <c r="K434" s="163"/>
      <c r="L434" s="163"/>
      <c r="M434" s="163"/>
      <c r="N434" s="46"/>
      <c r="O434" s="46"/>
      <c r="P434" s="196"/>
      <c r="Q434" s="1">
        <v>36</v>
      </c>
    </row>
    <row r="435" spans="2:17" ht="12.95" customHeight="1" x14ac:dyDescent="0.2">
      <c r="B435" s="349" t="s">
        <v>203</v>
      </c>
      <c r="C435" s="146"/>
      <c r="D435" s="143"/>
      <c r="E435" s="13"/>
      <c r="F435" s="101"/>
      <c r="G435" s="161"/>
      <c r="H435" s="162"/>
      <c r="I435" s="162"/>
      <c r="J435" s="162"/>
      <c r="K435" s="163"/>
      <c r="L435" s="163"/>
      <c r="M435" s="163"/>
      <c r="N435" s="46"/>
      <c r="O435" s="46"/>
      <c r="P435" s="196"/>
      <c r="Q435" s="1">
        <v>37</v>
      </c>
    </row>
    <row r="436" spans="2:17" ht="12.95" customHeight="1" x14ac:dyDescent="0.2">
      <c r="B436" s="349" t="s">
        <v>204</v>
      </c>
      <c r="C436" s="146"/>
      <c r="D436" s="143"/>
      <c r="E436" s="13"/>
      <c r="F436" s="101"/>
      <c r="G436" s="161"/>
      <c r="H436" s="162"/>
      <c r="I436" s="162"/>
      <c r="J436" s="162"/>
      <c r="K436" s="163"/>
      <c r="L436" s="163"/>
      <c r="M436" s="163"/>
      <c r="N436" s="46"/>
      <c r="O436" s="46"/>
      <c r="P436" s="196"/>
      <c r="Q436" s="1">
        <v>38</v>
      </c>
    </row>
    <row r="437" spans="2:17" ht="12.95" customHeight="1" x14ac:dyDescent="0.2">
      <c r="B437" s="349" t="s">
        <v>205</v>
      </c>
      <c r="C437" s="146"/>
      <c r="D437" s="143"/>
      <c r="E437" s="13"/>
      <c r="F437" s="101"/>
      <c r="G437" s="161"/>
      <c r="H437" s="162"/>
      <c r="I437" s="162"/>
      <c r="J437" s="162"/>
      <c r="K437" s="163"/>
      <c r="L437" s="163"/>
      <c r="M437" s="163"/>
      <c r="N437" s="46"/>
      <c r="O437" s="46"/>
      <c r="P437" s="196"/>
      <c r="Q437" s="1">
        <v>39</v>
      </c>
    </row>
    <row r="438" spans="2:17" ht="12.95" customHeight="1" thickBot="1" x14ac:dyDescent="0.25">
      <c r="B438" s="349" t="s">
        <v>206</v>
      </c>
      <c r="C438" s="147"/>
      <c r="D438" s="144"/>
      <c r="E438" s="14"/>
      <c r="F438" s="102"/>
      <c r="G438" s="166"/>
      <c r="H438" s="167"/>
      <c r="I438" s="167"/>
      <c r="J438" s="167"/>
      <c r="K438" s="168"/>
      <c r="L438" s="168"/>
      <c r="M438" s="168"/>
      <c r="N438" s="57"/>
      <c r="O438" s="57"/>
      <c r="P438" s="197"/>
      <c r="Q438" s="1">
        <v>40</v>
      </c>
    </row>
  </sheetData>
  <sheetProtection autoFilter="0"/>
  <mergeCells count="54">
    <mergeCell ref="G397:P397"/>
    <mergeCell ref="B355:B356"/>
    <mergeCell ref="C355:C356"/>
    <mergeCell ref="D355:D356"/>
    <mergeCell ref="E355:E356"/>
    <mergeCell ref="F355:F356"/>
    <mergeCell ref="G355:P355"/>
    <mergeCell ref="B397:B398"/>
    <mergeCell ref="C397:C398"/>
    <mergeCell ref="D397:D398"/>
    <mergeCell ref="E397:E398"/>
    <mergeCell ref="F397:F398"/>
    <mergeCell ref="G291:K291"/>
    <mergeCell ref="B243:B244"/>
    <mergeCell ref="C243:C244"/>
    <mergeCell ref="D243:D244"/>
    <mergeCell ref="E243:E244"/>
    <mergeCell ref="F243:F244"/>
    <mergeCell ref="G243:K243"/>
    <mergeCell ref="B291:B292"/>
    <mergeCell ref="C291:C292"/>
    <mergeCell ref="D291:D292"/>
    <mergeCell ref="E291:E292"/>
    <mergeCell ref="F291:F292"/>
    <mergeCell ref="G195:K195"/>
    <mergeCell ref="B147:B148"/>
    <mergeCell ref="C147:C148"/>
    <mergeCell ref="D147:D148"/>
    <mergeCell ref="E147:E148"/>
    <mergeCell ref="F147:F148"/>
    <mergeCell ref="G147:K147"/>
    <mergeCell ref="B195:B196"/>
    <mergeCell ref="C195:C196"/>
    <mergeCell ref="D195:D196"/>
    <mergeCell ref="E195:E196"/>
    <mergeCell ref="F195:F196"/>
    <mergeCell ref="G99:K99"/>
    <mergeCell ref="B51:B52"/>
    <mergeCell ref="C51:C52"/>
    <mergeCell ref="D51:D52"/>
    <mergeCell ref="E51:E52"/>
    <mergeCell ref="F51:F52"/>
    <mergeCell ref="G51:K51"/>
    <mergeCell ref="B99:B100"/>
    <mergeCell ref="C99:C100"/>
    <mergeCell ref="D99:D100"/>
    <mergeCell ref="E99:E100"/>
    <mergeCell ref="F99:F100"/>
    <mergeCell ref="G3:K3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145" max="23" man="1"/>
    <brk id="288" max="2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FF12C-F4E1-4984-BA96-27479A734F3D}">
  <sheetPr>
    <tabColor theme="4" tint="-0.249977111117893"/>
  </sheetPr>
  <dimension ref="A1:DD197"/>
  <sheetViews>
    <sheetView topLeftCell="A118" zoomScaleNormal="100" zoomScaleSheetLayoutView="100" workbookViewId="0">
      <selection activeCell="AB130" sqref="AB130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4.75" style="1" customWidth="1"/>
    <col min="7" max="22" width="5.125" style="1" customWidth="1"/>
    <col min="23" max="23" width="5.125" style="327" customWidth="1"/>
    <col min="24" max="24" width="5.125" style="1" customWidth="1"/>
    <col min="25" max="108" width="9" style="24"/>
    <col min="109" max="16384" width="9" style="1"/>
  </cols>
  <sheetData>
    <row r="1" spans="2:108" ht="17.25" customHeight="1" x14ac:dyDescent="0.2">
      <c r="B1" s="384" t="s">
        <v>100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297"/>
    </row>
    <row r="2" spans="2:108" s="5" customFormat="1" ht="15" customHeight="1" thickBot="1" x14ac:dyDescent="0.25">
      <c r="B2" s="2" t="s">
        <v>0</v>
      </c>
      <c r="C2" s="2"/>
      <c r="W2" s="26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</row>
    <row r="3" spans="2:108" s="6" customFormat="1" ht="13.5" customHeight="1" thickBot="1" x14ac:dyDescent="0.25">
      <c r="B3" s="385" t="s">
        <v>1</v>
      </c>
      <c r="C3" s="387" t="s">
        <v>77</v>
      </c>
      <c r="D3" s="389" t="s">
        <v>2</v>
      </c>
      <c r="E3" s="385" t="s">
        <v>3</v>
      </c>
      <c r="F3" s="391" t="s">
        <v>111</v>
      </c>
      <c r="G3" s="213"/>
      <c r="H3" s="254" t="s">
        <v>5</v>
      </c>
      <c r="I3" s="254"/>
      <c r="J3" s="254"/>
      <c r="K3" s="254"/>
      <c r="L3" s="254"/>
      <c r="M3" s="254"/>
      <c r="N3" s="247" t="s">
        <v>6</v>
      </c>
      <c r="O3" s="248"/>
      <c r="P3" s="248"/>
      <c r="Q3" s="248"/>
      <c r="R3" s="248"/>
      <c r="S3" s="248"/>
      <c r="T3" s="248"/>
      <c r="U3" s="248"/>
      <c r="V3" s="248"/>
      <c r="W3" s="248"/>
      <c r="X3" s="249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</row>
    <row r="4" spans="2:108" s="6" customFormat="1" ht="40.5" customHeight="1" thickBot="1" x14ac:dyDescent="0.25">
      <c r="B4" s="386"/>
      <c r="C4" s="388"/>
      <c r="D4" s="390"/>
      <c r="E4" s="386"/>
      <c r="F4" s="392"/>
      <c r="G4" s="256" t="s">
        <v>122</v>
      </c>
      <c r="H4" s="153" t="s">
        <v>124</v>
      </c>
      <c r="I4" s="153" t="s">
        <v>126</v>
      </c>
      <c r="J4" s="153" t="s">
        <v>128</v>
      </c>
      <c r="K4" s="153" t="s">
        <v>157</v>
      </c>
      <c r="L4" s="153" t="s">
        <v>159</v>
      </c>
      <c r="M4" s="258" t="s">
        <v>161</v>
      </c>
      <c r="N4" s="304" t="s">
        <v>106</v>
      </c>
      <c r="O4" s="207" t="s">
        <v>18</v>
      </c>
      <c r="P4" s="207" t="s">
        <v>19</v>
      </c>
      <c r="Q4" s="207" t="s">
        <v>110</v>
      </c>
      <c r="R4" s="207" t="s">
        <v>20</v>
      </c>
      <c r="S4" s="305" t="s">
        <v>21</v>
      </c>
      <c r="T4" s="305" t="s">
        <v>109</v>
      </c>
      <c r="U4" s="306" t="s">
        <v>22</v>
      </c>
      <c r="V4" s="315" t="s">
        <v>110</v>
      </c>
      <c r="W4" s="333" t="s">
        <v>134</v>
      </c>
      <c r="X4" s="337" t="s">
        <v>111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</row>
    <row r="5" spans="2:108" ht="14.25" customHeight="1" x14ac:dyDescent="0.35">
      <c r="B5" s="259" t="s">
        <v>64</v>
      </c>
      <c r="C5" s="260"/>
      <c r="D5" s="261"/>
      <c r="E5" s="262"/>
      <c r="F5" s="263"/>
      <c r="G5" s="264"/>
      <c r="H5" s="265"/>
      <c r="I5" s="265"/>
      <c r="J5" s="265"/>
      <c r="K5" s="265"/>
      <c r="L5" s="265"/>
      <c r="M5" s="266"/>
      <c r="N5" s="308"/>
      <c r="O5" s="309"/>
      <c r="P5" s="310"/>
      <c r="Q5" s="309"/>
      <c r="R5" s="309"/>
      <c r="S5" s="311"/>
      <c r="T5" s="312"/>
      <c r="U5" s="313"/>
      <c r="V5" s="316"/>
      <c r="W5" s="334">
        <f>Q5*-3+T5*-1+V5*-1</f>
        <v>0</v>
      </c>
      <c r="X5" s="338"/>
      <c r="Y5" s="201"/>
      <c r="CZ5" s="1"/>
      <c r="DA5" s="1"/>
      <c r="DB5" s="1"/>
      <c r="DC5" s="1"/>
      <c r="DD5" s="1"/>
    </row>
    <row r="6" spans="2:108" ht="14.25" customHeight="1" x14ac:dyDescent="0.35">
      <c r="B6" s="267" t="s">
        <v>65</v>
      </c>
      <c r="C6" s="268"/>
      <c r="D6" s="269"/>
      <c r="E6" s="270"/>
      <c r="F6" s="271"/>
      <c r="G6" s="272"/>
      <c r="H6" s="273"/>
      <c r="I6" s="273"/>
      <c r="J6" s="273"/>
      <c r="K6" s="273"/>
      <c r="L6" s="273"/>
      <c r="M6" s="274"/>
      <c r="N6" s="275"/>
      <c r="O6" s="276"/>
      <c r="P6" s="277"/>
      <c r="Q6" s="276"/>
      <c r="R6" s="276"/>
      <c r="S6" s="278"/>
      <c r="T6" s="279"/>
      <c r="U6" s="280"/>
      <c r="V6" s="317"/>
      <c r="W6" s="335">
        <f>Q6*-3+T6*-1+V6*-1</f>
        <v>0</v>
      </c>
      <c r="X6" s="339"/>
      <c r="Y6" s="200"/>
      <c r="CZ6" s="1"/>
      <c r="DA6" s="1"/>
      <c r="DB6" s="1"/>
      <c r="DC6" s="1"/>
      <c r="DD6" s="1"/>
    </row>
    <row r="7" spans="2:108" ht="14.25" customHeight="1" x14ac:dyDescent="0.35">
      <c r="B7" s="267" t="s">
        <v>144</v>
      </c>
      <c r="C7" s="268"/>
      <c r="D7" s="269"/>
      <c r="E7" s="270"/>
      <c r="F7" s="271"/>
      <c r="G7" s="272"/>
      <c r="H7" s="273"/>
      <c r="I7" s="273"/>
      <c r="J7" s="273"/>
      <c r="K7" s="273"/>
      <c r="L7" s="273"/>
      <c r="M7" s="274"/>
      <c r="N7" s="275"/>
      <c r="O7" s="276"/>
      <c r="P7" s="277"/>
      <c r="Q7" s="276"/>
      <c r="R7" s="276"/>
      <c r="S7" s="278"/>
      <c r="T7" s="279"/>
      <c r="U7" s="280"/>
      <c r="V7" s="317"/>
      <c r="W7" s="335">
        <f t="shared" ref="W7:W12" si="0">Q7*-3+T7*-1+V7*-1</f>
        <v>0</v>
      </c>
      <c r="X7" s="339"/>
      <c r="Y7" s="201"/>
      <c r="CZ7" s="1"/>
      <c r="DA7" s="1"/>
      <c r="DB7" s="1"/>
      <c r="DC7" s="1"/>
      <c r="DD7" s="1"/>
    </row>
    <row r="8" spans="2:108" ht="14.25" customHeight="1" x14ac:dyDescent="0.35">
      <c r="B8" s="267" t="s">
        <v>67</v>
      </c>
      <c r="C8" s="268"/>
      <c r="D8" s="269"/>
      <c r="E8" s="270"/>
      <c r="F8" s="271"/>
      <c r="G8" s="272"/>
      <c r="H8" s="273"/>
      <c r="I8" s="273"/>
      <c r="J8" s="273"/>
      <c r="K8" s="273"/>
      <c r="L8" s="273"/>
      <c r="M8" s="274"/>
      <c r="N8" s="275"/>
      <c r="O8" s="276"/>
      <c r="P8" s="277"/>
      <c r="Q8" s="276"/>
      <c r="R8" s="276"/>
      <c r="S8" s="278"/>
      <c r="T8" s="279"/>
      <c r="U8" s="280"/>
      <c r="V8" s="317"/>
      <c r="W8" s="335">
        <f t="shared" si="0"/>
        <v>0</v>
      </c>
      <c r="X8" s="339"/>
      <c r="Y8" s="200"/>
      <c r="CZ8" s="1"/>
      <c r="DA8" s="1"/>
      <c r="DB8" s="1"/>
      <c r="DC8" s="1"/>
      <c r="DD8" s="1"/>
    </row>
    <row r="9" spans="2:108" ht="14.25" customHeight="1" x14ac:dyDescent="0.35">
      <c r="B9" s="267" t="s">
        <v>68</v>
      </c>
      <c r="C9" s="268"/>
      <c r="D9" s="269"/>
      <c r="E9" s="270"/>
      <c r="F9" s="271"/>
      <c r="G9" s="272"/>
      <c r="H9" s="273"/>
      <c r="I9" s="273"/>
      <c r="J9" s="273"/>
      <c r="K9" s="273"/>
      <c r="L9" s="273"/>
      <c r="M9" s="274"/>
      <c r="N9" s="275"/>
      <c r="O9" s="276"/>
      <c r="P9" s="277"/>
      <c r="Q9" s="276"/>
      <c r="R9" s="276"/>
      <c r="S9" s="278"/>
      <c r="T9" s="279"/>
      <c r="U9" s="280"/>
      <c r="V9" s="317"/>
      <c r="W9" s="335">
        <f t="shared" si="0"/>
        <v>0</v>
      </c>
      <c r="X9" s="339"/>
      <c r="Y9" s="201"/>
      <c r="CZ9" s="1"/>
      <c r="DA9" s="1"/>
      <c r="DB9" s="1"/>
      <c r="DC9" s="1"/>
      <c r="DD9" s="1"/>
    </row>
    <row r="10" spans="2:108" ht="14.25" customHeight="1" x14ac:dyDescent="0.35">
      <c r="B10" s="267" t="s">
        <v>69</v>
      </c>
      <c r="C10" s="268"/>
      <c r="D10" s="269"/>
      <c r="E10" s="270"/>
      <c r="F10" s="271"/>
      <c r="G10" s="272"/>
      <c r="H10" s="273"/>
      <c r="I10" s="273"/>
      <c r="J10" s="273"/>
      <c r="K10" s="273"/>
      <c r="L10" s="273"/>
      <c r="M10" s="274"/>
      <c r="N10" s="275"/>
      <c r="O10" s="276"/>
      <c r="P10" s="277"/>
      <c r="Q10" s="276"/>
      <c r="R10" s="276"/>
      <c r="S10" s="278"/>
      <c r="T10" s="279"/>
      <c r="U10" s="280"/>
      <c r="V10" s="317"/>
      <c r="W10" s="335">
        <f t="shared" si="0"/>
        <v>0</v>
      </c>
      <c r="X10" s="339"/>
      <c r="Y10" s="200"/>
      <c r="CZ10" s="1"/>
      <c r="DA10" s="1"/>
      <c r="DB10" s="1"/>
      <c r="DC10" s="1"/>
      <c r="DD10" s="1"/>
    </row>
    <row r="11" spans="2:108" ht="14.25" customHeight="1" x14ac:dyDescent="0.35">
      <c r="B11" s="267" t="s">
        <v>70</v>
      </c>
      <c r="C11" s="268"/>
      <c r="D11" s="269"/>
      <c r="E11" s="270"/>
      <c r="F11" s="271"/>
      <c r="G11" s="272"/>
      <c r="H11" s="273"/>
      <c r="I11" s="273"/>
      <c r="J11" s="273"/>
      <c r="K11" s="273"/>
      <c r="L11" s="273"/>
      <c r="M11" s="274"/>
      <c r="N11" s="275"/>
      <c r="O11" s="276"/>
      <c r="P11" s="277"/>
      <c r="Q11" s="276"/>
      <c r="R11" s="276"/>
      <c r="S11" s="278"/>
      <c r="T11" s="279"/>
      <c r="U11" s="280"/>
      <c r="V11" s="317"/>
      <c r="W11" s="335">
        <f t="shared" si="0"/>
        <v>0</v>
      </c>
      <c r="X11" s="339"/>
      <c r="Y11" s="201"/>
      <c r="CZ11" s="1"/>
      <c r="DA11" s="1"/>
      <c r="DB11" s="1"/>
      <c r="DC11" s="1"/>
      <c r="DD11" s="1"/>
    </row>
    <row r="12" spans="2:108" ht="14.25" customHeight="1" thickBot="1" x14ac:dyDescent="0.4">
      <c r="B12" s="282" t="s">
        <v>145</v>
      </c>
      <c r="C12" s="283"/>
      <c r="D12" s="284"/>
      <c r="E12" s="285"/>
      <c r="F12" s="286"/>
      <c r="G12" s="287"/>
      <c r="H12" s="288"/>
      <c r="I12" s="288"/>
      <c r="J12" s="288"/>
      <c r="K12" s="288"/>
      <c r="L12" s="288"/>
      <c r="M12" s="289"/>
      <c r="N12" s="290"/>
      <c r="O12" s="291"/>
      <c r="P12" s="292"/>
      <c r="Q12" s="291"/>
      <c r="R12" s="291"/>
      <c r="S12" s="293"/>
      <c r="T12" s="294"/>
      <c r="U12" s="295"/>
      <c r="V12" s="318"/>
      <c r="W12" s="335">
        <f t="shared" si="0"/>
        <v>0</v>
      </c>
      <c r="X12" s="340"/>
      <c r="Y12" s="200"/>
      <c r="CZ12" s="1"/>
      <c r="DA12" s="1"/>
      <c r="DB12" s="1"/>
      <c r="DC12" s="1"/>
      <c r="DD12" s="1"/>
    </row>
    <row r="13" spans="2:108" ht="14.25" customHeight="1" thickBot="1" x14ac:dyDescent="0.25">
      <c r="B13" s="171"/>
      <c r="C13" s="241"/>
      <c r="D13" s="250"/>
      <c r="E13" s="251"/>
      <c r="F13" s="252"/>
      <c r="G13" s="255"/>
      <c r="H13" s="245"/>
      <c r="I13" s="245"/>
      <c r="J13" s="245"/>
      <c r="K13" s="245"/>
      <c r="L13" s="245"/>
      <c r="M13" s="246"/>
      <c r="N13" s="257"/>
      <c r="O13" s="192">
        <f>SUM(O5:O12)</f>
        <v>0</v>
      </c>
      <c r="P13" s="191" t="e">
        <f>AVERAGE(P5:P12)</f>
        <v>#DIV/0!</v>
      </c>
      <c r="Q13" s="191"/>
      <c r="R13" s="192">
        <f>SUM(R5:R12)</f>
        <v>0</v>
      </c>
      <c r="S13" s="191" t="e">
        <f>AVERAGE(S5:S12)</f>
        <v>#DIV/0!</v>
      </c>
      <c r="T13" s="191"/>
      <c r="U13" s="253" t="e">
        <f>AVERAGE(U5:U12)</f>
        <v>#DIV/0!</v>
      </c>
      <c r="V13" s="303"/>
      <c r="W13" s="336"/>
      <c r="X13" s="341"/>
      <c r="Y13" s="201"/>
      <c r="CZ13" s="1"/>
      <c r="DA13" s="1"/>
      <c r="DB13" s="1"/>
      <c r="DC13" s="1"/>
      <c r="DD13" s="1"/>
    </row>
    <row r="14" spans="2:108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5"/>
      <c r="U14" s="175"/>
      <c r="V14" s="175"/>
      <c r="W14" s="325"/>
      <c r="X14" s="175"/>
    </row>
    <row r="15" spans="2:108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5"/>
      <c r="U15" s="175"/>
      <c r="V15" s="175"/>
      <c r="W15" s="325"/>
      <c r="X15" s="175"/>
    </row>
    <row r="16" spans="2:108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325"/>
      <c r="X16" s="175"/>
    </row>
    <row r="17" spans="1:108" ht="14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326"/>
      <c r="X17" s="15"/>
    </row>
    <row r="18" spans="1:108" ht="50.25" customHeight="1" thickBot="1" x14ac:dyDescent="0.25">
      <c r="B18" s="17" t="s">
        <v>23</v>
      </c>
      <c r="C18" s="17"/>
    </row>
    <row r="19" spans="1:108" ht="18" customHeight="1" thickBot="1" x14ac:dyDescent="0.25">
      <c r="A19" s="6"/>
      <c r="B19" s="385" t="s">
        <v>1</v>
      </c>
      <c r="C19" s="387" t="s">
        <v>77</v>
      </c>
      <c r="D19" s="389" t="s">
        <v>2</v>
      </c>
      <c r="E19" s="385" t="s">
        <v>3</v>
      </c>
      <c r="F19" s="391" t="s">
        <v>111</v>
      </c>
      <c r="G19" s="213"/>
      <c r="H19" s="254" t="s">
        <v>5</v>
      </c>
      <c r="I19" s="254"/>
      <c r="J19" s="254"/>
      <c r="K19" s="254"/>
      <c r="L19" s="254"/>
      <c r="M19" s="254"/>
      <c r="N19" s="247" t="s">
        <v>6</v>
      </c>
      <c r="O19" s="248"/>
      <c r="P19" s="248"/>
      <c r="Q19" s="248"/>
      <c r="R19" s="248"/>
      <c r="S19" s="248"/>
      <c r="T19" s="248"/>
      <c r="U19" s="248"/>
      <c r="V19" s="248"/>
      <c r="W19" s="248"/>
      <c r="X19" s="249"/>
      <c r="CX19" s="1"/>
      <c r="CY19" s="1"/>
      <c r="CZ19" s="1"/>
      <c r="DA19" s="1"/>
      <c r="DB19" s="1"/>
      <c r="DC19" s="1"/>
      <c r="DD19" s="1"/>
    </row>
    <row r="20" spans="1:108" s="6" customFormat="1" ht="36" customHeight="1" thickBot="1" x14ac:dyDescent="0.25">
      <c r="B20" s="386"/>
      <c r="C20" s="388"/>
      <c r="D20" s="390"/>
      <c r="E20" s="386"/>
      <c r="F20" s="392"/>
      <c r="G20" s="256" t="s">
        <v>122</v>
      </c>
      <c r="H20" s="153" t="s">
        <v>124</v>
      </c>
      <c r="I20" s="153" t="s">
        <v>126</v>
      </c>
      <c r="J20" s="153" t="s">
        <v>128</v>
      </c>
      <c r="K20" s="153" t="s">
        <v>157</v>
      </c>
      <c r="L20" s="153" t="s">
        <v>159</v>
      </c>
      <c r="M20" s="258" t="s">
        <v>161</v>
      </c>
      <c r="N20" s="304" t="s">
        <v>106</v>
      </c>
      <c r="O20" s="207" t="s">
        <v>18</v>
      </c>
      <c r="P20" s="207" t="s">
        <v>19</v>
      </c>
      <c r="Q20" s="207" t="s">
        <v>110</v>
      </c>
      <c r="R20" s="207" t="s">
        <v>20</v>
      </c>
      <c r="S20" s="305" t="s">
        <v>21</v>
      </c>
      <c r="T20" s="305" t="s">
        <v>109</v>
      </c>
      <c r="U20" s="306" t="s">
        <v>22</v>
      </c>
      <c r="V20" s="315" t="s">
        <v>110</v>
      </c>
      <c r="W20" s="333" t="s">
        <v>3</v>
      </c>
      <c r="X20" s="337" t="s">
        <v>133</v>
      </c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</row>
    <row r="21" spans="1:108" s="6" customFormat="1" ht="17.25" customHeight="1" x14ac:dyDescent="0.35">
      <c r="A21" s="1"/>
      <c r="B21" s="259" t="s">
        <v>75</v>
      </c>
      <c r="C21" s="260"/>
      <c r="D21" s="261"/>
      <c r="E21" s="262"/>
      <c r="F21" s="263"/>
      <c r="G21" s="264"/>
      <c r="H21" s="265"/>
      <c r="I21" s="265"/>
      <c r="J21" s="265"/>
      <c r="K21" s="265"/>
      <c r="L21" s="265"/>
      <c r="M21" s="266"/>
      <c r="N21" s="308"/>
      <c r="O21" s="309"/>
      <c r="P21" s="310"/>
      <c r="Q21" s="309"/>
      <c r="R21" s="309"/>
      <c r="S21" s="311"/>
      <c r="T21" s="312"/>
      <c r="U21" s="313"/>
      <c r="V21" s="316"/>
      <c r="W21" s="334">
        <f>Q21*-3+T21*-1+V21*-1</f>
        <v>0</v>
      </c>
      <c r="X21" s="338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</row>
    <row r="22" spans="1:108" ht="15.75" customHeight="1" x14ac:dyDescent="0.35">
      <c r="B22" s="267" t="s">
        <v>76</v>
      </c>
      <c r="C22" s="268"/>
      <c r="D22" s="269"/>
      <c r="E22" s="270"/>
      <c r="F22" s="271"/>
      <c r="G22" s="272"/>
      <c r="H22" s="273"/>
      <c r="I22" s="273"/>
      <c r="J22" s="273"/>
      <c r="K22" s="273"/>
      <c r="L22" s="273"/>
      <c r="M22" s="274"/>
      <c r="N22" s="275"/>
      <c r="O22" s="276"/>
      <c r="P22" s="277"/>
      <c r="Q22" s="276"/>
      <c r="R22" s="276"/>
      <c r="S22" s="278"/>
      <c r="T22" s="279"/>
      <c r="U22" s="280"/>
      <c r="V22" s="317"/>
      <c r="W22" s="335">
        <f>Q22*-3+T22*-1+V22*-1</f>
        <v>0</v>
      </c>
      <c r="X22" s="339"/>
      <c r="CX22" s="1"/>
      <c r="CY22" s="1"/>
      <c r="CZ22" s="1"/>
      <c r="DA22" s="1"/>
      <c r="DB22" s="1"/>
      <c r="DC22" s="1"/>
      <c r="DD22" s="1"/>
    </row>
    <row r="23" spans="1:108" ht="15.75" customHeight="1" x14ac:dyDescent="0.35">
      <c r="B23" s="267" t="s">
        <v>66</v>
      </c>
      <c r="C23" s="268"/>
      <c r="D23" s="269"/>
      <c r="E23" s="270"/>
      <c r="F23" s="271"/>
      <c r="G23" s="272"/>
      <c r="H23" s="273"/>
      <c r="I23" s="273"/>
      <c r="J23" s="273"/>
      <c r="K23" s="273"/>
      <c r="L23" s="273"/>
      <c r="M23" s="274"/>
      <c r="N23" s="275"/>
      <c r="O23" s="276"/>
      <c r="P23" s="277"/>
      <c r="Q23" s="276"/>
      <c r="R23" s="276"/>
      <c r="S23" s="278"/>
      <c r="T23" s="279"/>
      <c r="U23" s="280"/>
      <c r="V23" s="317"/>
      <c r="W23" s="335">
        <f t="shared" ref="W23:W28" si="1">Q23*-3+T23*-1+V23*-1</f>
        <v>0</v>
      </c>
      <c r="X23" s="339"/>
      <c r="CX23" s="1"/>
      <c r="CY23" s="1"/>
      <c r="CZ23" s="1"/>
      <c r="DA23" s="1"/>
      <c r="DB23" s="1"/>
      <c r="DC23" s="1"/>
      <c r="DD23" s="1"/>
    </row>
    <row r="24" spans="1:108" ht="15.75" customHeight="1" x14ac:dyDescent="0.35">
      <c r="B24" s="267" t="s">
        <v>67</v>
      </c>
      <c r="C24" s="268"/>
      <c r="D24" s="269"/>
      <c r="E24" s="270"/>
      <c r="F24" s="271"/>
      <c r="G24" s="272"/>
      <c r="H24" s="273"/>
      <c r="I24" s="273"/>
      <c r="J24" s="273"/>
      <c r="K24" s="273"/>
      <c r="L24" s="273"/>
      <c r="M24" s="274"/>
      <c r="N24" s="275"/>
      <c r="O24" s="276"/>
      <c r="P24" s="277"/>
      <c r="Q24" s="276"/>
      <c r="R24" s="276"/>
      <c r="S24" s="278"/>
      <c r="T24" s="279"/>
      <c r="U24" s="280"/>
      <c r="V24" s="317"/>
      <c r="W24" s="335">
        <f t="shared" si="1"/>
        <v>0</v>
      </c>
      <c r="X24" s="339"/>
      <c r="CX24" s="1"/>
      <c r="CY24" s="1"/>
      <c r="CZ24" s="1"/>
      <c r="DA24" s="1"/>
      <c r="DB24" s="1"/>
      <c r="DC24" s="1"/>
      <c r="DD24" s="1"/>
    </row>
    <row r="25" spans="1:108" ht="15.75" customHeight="1" x14ac:dyDescent="0.35">
      <c r="B25" s="267" t="s">
        <v>68</v>
      </c>
      <c r="C25" s="268"/>
      <c r="D25" s="269"/>
      <c r="E25" s="270"/>
      <c r="F25" s="271"/>
      <c r="G25" s="272"/>
      <c r="H25" s="273"/>
      <c r="I25" s="273"/>
      <c r="J25" s="273"/>
      <c r="K25" s="273"/>
      <c r="L25" s="273"/>
      <c r="M25" s="274"/>
      <c r="N25" s="275"/>
      <c r="O25" s="276"/>
      <c r="P25" s="277"/>
      <c r="Q25" s="276"/>
      <c r="R25" s="276"/>
      <c r="S25" s="278"/>
      <c r="T25" s="279"/>
      <c r="U25" s="280"/>
      <c r="V25" s="317"/>
      <c r="W25" s="335">
        <f t="shared" si="1"/>
        <v>0</v>
      </c>
      <c r="X25" s="339"/>
      <c r="CX25" s="1"/>
      <c r="CY25" s="1"/>
      <c r="CZ25" s="1"/>
      <c r="DA25" s="1"/>
      <c r="DB25" s="1"/>
      <c r="DC25" s="1"/>
      <c r="DD25" s="1"/>
    </row>
    <row r="26" spans="1:108" ht="15.75" customHeight="1" x14ac:dyDescent="0.35">
      <c r="B26" s="267" t="s">
        <v>69</v>
      </c>
      <c r="C26" s="268"/>
      <c r="D26" s="269"/>
      <c r="E26" s="270"/>
      <c r="F26" s="271"/>
      <c r="G26" s="272"/>
      <c r="H26" s="273"/>
      <c r="I26" s="273"/>
      <c r="J26" s="273"/>
      <c r="K26" s="273"/>
      <c r="L26" s="273"/>
      <c r="M26" s="274"/>
      <c r="N26" s="275"/>
      <c r="O26" s="276"/>
      <c r="P26" s="277"/>
      <c r="Q26" s="276"/>
      <c r="R26" s="276"/>
      <c r="S26" s="278"/>
      <c r="T26" s="279"/>
      <c r="U26" s="280"/>
      <c r="V26" s="317"/>
      <c r="W26" s="335">
        <f t="shared" si="1"/>
        <v>0</v>
      </c>
      <c r="X26" s="339"/>
      <c r="CX26" s="1"/>
      <c r="CY26" s="1"/>
      <c r="CZ26" s="1"/>
      <c r="DA26" s="1"/>
      <c r="DB26" s="1"/>
      <c r="DC26" s="1"/>
      <c r="DD26" s="1"/>
    </row>
    <row r="27" spans="1:108" ht="15.75" customHeight="1" x14ac:dyDescent="0.35">
      <c r="B27" s="267" t="s">
        <v>70</v>
      </c>
      <c r="C27" s="268"/>
      <c r="D27" s="269"/>
      <c r="E27" s="270"/>
      <c r="F27" s="271"/>
      <c r="G27" s="272"/>
      <c r="H27" s="273"/>
      <c r="I27" s="273"/>
      <c r="J27" s="273"/>
      <c r="K27" s="273"/>
      <c r="L27" s="273"/>
      <c r="M27" s="274"/>
      <c r="N27" s="275"/>
      <c r="O27" s="276"/>
      <c r="P27" s="277"/>
      <c r="Q27" s="276"/>
      <c r="R27" s="276"/>
      <c r="S27" s="278"/>
      <c r="T27" s="279"/>
      <c r="U27" s="280"/>
      <c r="V27" s="317"/>
      <c r="W27" s="335">
        <f t="shared" si="1"/>
        <v>0</v>
      </c>
      <c r="X27" s="339"/>
      <c r="CX27" s="1"/>
      <c r="CY27" s="1"/>
      <c r="CZ27" s="1"/>
      <c r="DA27" s="1"/>
      <c r="DB27" s="1"/>
      <c r="DC27" s="1"/>
      <c r="DD27" s="1"/>
    </row>
    <row r="28" spans="1:108" ht="15.75" customHeight="1" thickBot="1" x14ac:dyDescent="0.4">
      <c r="B28" s="282" t="s">
        <v>71</v>
      </c>
      <c r="C28" s="283"/>
      <c r="D28" s="284"/>
      <c r="E28" s="285"/>
      <c r="F28" s="286"/>
      <c r="G28" s="287"/>
      <c r="H28" s="288"/>
      <c r="I28" s="288"/>
      <c r="J28" s="288"/>
      <c r="K28" s="288"/>
      <c r="L28" s="288"/>
      <c r="M28" s="289"/>
      <c r="N28" s="290"/>
      <c r="O28" s="291"/>
      <c r="P28" s="292"/>
      <c r="Q28" s="291"/>
      <c r="R28" s="291"/>
      <c r="S28" s="293"/>
      <c r="T28" s="294"/>
      <c r="U28" s="295"/>
      <c r="V28" s="318"/>
      <c r="W28" s="335">
        <f t="shared" si="1"/>
        <v>0</v>
      </c>
      <c r="X28" s="340"/>
      <c r="CX28" s="1"/>
      <c r="CY28" s="1"/>
      <c r="CZ28" s="1"/>
      <c r="DA28" s="1"/>
      <c r="DB28" s="1"/>
      <c r="DC28" s="1"/>
      <c r="DD28" s="1"/>
    </row>
    <row r="29" spans="1:108" ht="15.75" customHeight="1" thickBot="1" x14ac:dyDescent="0.25">
      <c r="B29" s="171"/>
      <c r="C29" s="241"/>
      <c r="D29" s="250"/>
      <c r="E29" s="251"/>
      <c r="F29" s="252"/>
      <c r="G29" s="255"/>
      <c r="H29" s="245"/>
      <c r="I29" s="245"/>
      <c r="J29" s="245"/>
      <c r="K29" s="245"/>
      <c r="L29" s="245"/>
      <c r="M29" s="246"/>
      <c r="N29" s="257"/>
      <c r="O29" s="192">
        <f>SUM(O21:O28)</f>
        <v>0</v>
      </c>
      <c r="P29" s="191" t="e">
        <f>AVERAGE(P21:P28)</f>
        <v>#DIV/0!</v>
      </c>
      <c r="Q29" s="191"/>
      <c r="R29" s="192">
        <f>SUM(R21:R28)</f>
        <v>0</v>
      </c>
      <c r="S29" s="191" t="e">
        <f>AVERAGE(S21:S28)</f>
        <v>#DIV/0!</v>
      </c>
      <c r="T29" s="191"/>
      <c r="U29" s="253" t="e">
        <f>AVERAGE(U21:U28)</f>
        <v>#DIV/0!</v>
      </c>
      <c r="V29" s="303"/>
      <c r="W29" s="336"/>
      <c r="X29" s="341"/>
      <c r="CX29" s="1"/>
      <c r="CY29" s="1"/>
      <c r="CZ29" s="1"/>
      <c r="DA29" s="1"/>
      <c r="DB29" s="1"/>
      <c r="DC29" s="1"/>
      <c r="DD29" s="1"/>
    </row>
    <row r="30" spans="1:108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325"/>
      <c r="X30" s="175"/>
    </row>
    <row r="31" spans="1:108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325"/>
      <c r="X31" s="175"/>
    </row>
    <row r="32" spans="1:108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325"/>
      <c r="X32" s="175"/>
    </row>
    <row r="33" spans="1:108" ht="15.7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326"/>
      <c r="X33" s="15"/>
    </row>
    <row r="34" spans="1:108" ht="58.5" customHeight="1" thickBot="1" x14ac:dyDescent="0.25">
      <c r="B34" s="17" t="s">
        <v>25</v>
      </c>
      <c r="C34" s="17"/>
    </row>
    <row r="35" spans="1:108" ht="15" customHeight="1" thickBot="1" x14ac:dyDescent="0.25">
      <c r="A35" s="6"/>
      <c r="B35" s="385" t="s">
        <v>1</v>
      </c>
      <c r="C35" s="387" t="s">
        <v>77</v>
      </c>
      <c r="D35" s="389" t="s">
        <v>2</v>
      </c>
      <c r="E35" s="385" t="s">
        <v>3</v>
      </c>
      <c r="F35" s="391" t="s">
        <v>111</v>
      </c>
      <c r="G35" s="213"/>
      <c r="H35" s="254" t="s">
        <v>5</v>
      </c>
      <c r="I35" s="254"/>
      <c r="J35" s="254"/>
      <c r="K35" s="254"/>
      <c r="L35" s="254"/>
      <c r="M35" s="254"/>
      <c r="N35" s="247" t="s">
        <v>6</v>
      </c>
      <c r="O35" s="248"/>
      <c r="P35" s="248"/>
      <c r="Q35" s="248"/>
      <c r="R35" s="248"/>
      <c r="S35" s="248"/>
      <c r="T35" s="248"/>
      <c r="U35" s="248"/>
      <c r="V35" s="248"/>
      <c r="W35" s="248"/>
      <c r="X35" s="249"/>
      <c r="CX35" s="1"/>
      <c r="CY35" s="1"/>
      <c r="CZ35" s="1"/>
      <c r="DA35" s="1"/>
      <c r="DB35" s="1"/>
      <c r="DC35" s="1"/>
      <c r="DD35" s="1"/>
    </row>
    <row r="36" spans="1:108" s="6" customFormat="1" ht="33.75" customHeight="1" thickBot="1" x14ac:dyDescent="0.25">
      <c r="B36" s="386"/>
      <c r="C36" s="388"/>
      <c r="D36" s="390"/>
      <c r="E36" s="386"/>
      <c r="F36" s="392"/>
      <c r="G36" s="256" t="s">
        <v>122</v>
      </c>
      <c r="H36" s="153" t="s">
        <v>124</v>
      </c>
      <c r="I36" s="153" t="s">
        <v>126</v>
      </c>
      <c r="J36" s="153" t="s">
        <v>128</v>
      </c>
      <c r="K36" s="153" t="s">
        <v>157</v>
      </c>
      <c r="L36" s="153" t="s">
        <v>159</v>
      </c>
      <c r="M36" s="258" t="s">
        <v>161</v>
      </c>
      <c r="N36" s="304" t="s">
        <v>106</v>
      </c>
      <c r="O36" s="207" t="s">
        <v>18</v>
      </c>
      <c r="P36" s="207" t="s">
        <v>19</v>
      </c>
      <c r="Q36" s="207" t="s">
        <v>110</v>
      </c>
      <c r="R36" s="207" t="s">
        <v>20</v>
      </c>
      <c r="S36" s="305" t="s">
        <v>21</v>
      </c>
      <c r="T36" s="305" t="s">
        <v>109</v>
      </c>
      <c r="U36" s="306" t="s">
        <v>22</v>
      </c>
      <c r="V36" s="315" t="s">
        <v>110</v>
      </c>
      <c r="W36" s="333" t="s">
        <v>3</v>
      </c>
      <c r="X36" s="337" t="s">
        <v>133</v>
      </c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</row>
    <row r="37" spans="1:108" s="6" customFormat="1" ht="15" customHeight="1" x14ac:dyDescent="0.35">
      <c r="A37" s="1"/>
      <c r="B37" s="259" t="s">
        <v>75</v>
      </c>
      <c r="C37" s="260"/>
      <c r="D37" s="261"/>
      <c r="E37" s="262"/>
      <c r="F37" s="263"/>
      <c r="G37" s="264"/>
      <c r="H37" s="265"/>
      <c r="I37" s="265"/>
      <c r="J37" s="265"/>
      <c r="K37" s="265"/>
      <c r="L37" s="265"/>
      <c r="M37" s="266"/>
      <c r="N37" s="308"/>
      <c r="O37" s="309"/>
      <c r="P37" s="310"/>
      <c r="Q37" s="309"/>
      <c r="R37" s="309"/>
      <c r="S37" s="311"/>
      <c r="T37" s="312"/>
      <c r="U37" s="313"/>
      <c r="V37" s="316"/>
      <c r="W37" s="334">
        <f>Q37*-3+T37*-1+V37*-1</f>
        <v>0</v>
      </c>
      <c r="X37" s="338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</row>
    <row r="38" spans="1:108" ht="15" customHeight="1" x14ac:dyDescent="0.35">
      <c r="B38" s="267" t="s">
        <v>76</v>
      </c>
      <c r="C38" s="268"/>
      <c r="D38" s="269"/>
      <c r="E38" s="270"/>
      <c r="F38" s="271"/>
      <c r="G38" s="272"/>
      <c r="H38" s="273"/>
      <c r="I38" s="273"/>
      <c r="J38" s="273"/>
      <c r="K38" s="273"/>
      <c r="L38" s="273"/>
      <c r="M38" s="274"/>
      <c r="N38" s="275"/>
      <c r="O38" s="276"/>
      <c r="P38" s="277"/>
      <c r="Q38" s="276"/>
      <c r="R38" s="276"/>
      <c r="S38" s="278"/>
      <c r="T38" s="279"/>
      <c r="U38" s="280"/>
      <c r="V38" s="317"/>
      <c r="W38" s="335">
        <f>Q38*-3+T38*-1+V38*-1</f>
        <v>0</v>
      </c>
      <c r="X38" s="339"/>
      <c r="CX38" s="1"/>
      <c r="CY38" s="1"/>
      <c r="CZ38" s="1"/>
      <c r="DA38" s="1"/>
      <c r="DB38" s="1"/>
      <c r="DC38" s="1"/>
      <c r="DD38" s="1"/>
    </row>
    <row r="39" spans="1:108" ht="15" customHeight="1" x14ac:dyDescent="0.35">
      <c r="B39" s="267" t="s">
        <v>66</v>
      </c>
      <c r="C39" s="268"/>
      <c r="D39" s="269"/>
      <c r="E39" s="270"/>
      <c r="F39" s="271"/>
      <c r="G39" s="272"/>
      <c r="H39" s="273"/>
      <c r="I39" s="273"/>
      <c r="J39" s="273"/>
      <c r="K39" s="273"/>
      <c r="L39" s="273"/>
      <c r="M39" s="274"/>
      <c r="N39" s="275"/>
      <c r="O39" s="276"/>
      <c r="P39" s="277"/>
      <c r="Q39" s="276"/>
      <c r="R39" s="276"/>
      <c r="S39" s="278"/>
      <c r="T39" s="279"/>
      <c r="U39" s="280"/>
      <c r="V39" s="317"/>
      <c r="W39" s="335">
        <f t="shared" ref="W39:W44" si="2">Q39*-3+T39*-1+V39*-1</f>
        <v>0</v>
      </c>
      <c r="X39" s="339"/>
      <c r="CX39" s="1"/>
      <c r="CY39" s="1"/>
      <c r="CZ39" s="1"/>
      <c r="DA39" s="1"/>
      <c r="DB39" s="1"/>
      <c r="DC39" s="1"/>
      <c r="DD39" s="1"/>
    </row>
    <row r="40" spans="1:108" ht="15" customHeight="1" x14ac:dyDescent="0.35">
      <c r="B40" s="267" t="s">
        <v>67</v>
      </c>
      <c r="C40" s="268"/>
      <c r="D40" s="269"/>
      <c r="E40" s="270"/>
      <c r="F40" s="271"/>
      <c r="G40" s="272"/>
      <c r="H40" s="273"/>
      <c r="I40" s="273"/>
      <c r="J40" s="273"/>
      <c r="K40" s="273"/>
      <c r="L40" s="273"/>
      <c r="M40" s="274"/>
      <c r="N40" s="275"/>
      <c r="O40" s="276"/>
      <c r="P40" s="277"/>
      <c r="Q40" s="276"/>
      <c r="R40" s="276"/>
      <c r="S40" s="278"/>
      <c r="T40" s="279"/>
      <c r="U40" s="280"/>
      <c r="V40" s="317"/>
      <c r="W40" s="335">
        <f t="shared" si="2"/>
        <v>0</v>
      </c>
      <c r="X40" s="339"/>
      <c r="CX40" s="1"/>
      <c r="CY40" s="1"/>
      <c r="CZ40" s="1"/>
      <c r="DA40" s="1"/>
      <c r="DB40" s="1"/>
      <c r="DC40" s="1"/>
      <c r="DD40" s="1"/>
    </row>
    <row r="41" spans="1:108" ht="15" customHeight="1" x14ac:dyDescent="0.35">
      <c r="B41" s="267" t="s">
        <v>68</v>
      </c>
      <c r="C41" s="268"/>
      <c r="D41" s="269"/>
      <c r="E41" s="270"/>
      <c r="F41" s="271"/>
      <c r="G41" s="272"/>
      <c r="H41" s="273"/>
      <c r="I41" s="273"/>
      <c r="J41" s="273"/>
      <c r="K41" s="273"/>
      <c r="L41" s="273"/>
      <c r="M41" s="274"/>
      <c r="N41" s="275"/>
      <c r="O41" s="276"/>
      <c r="P41" s="277"/>
      <c r="Q41" s="276"/>
      <c r="R41" s="276"/>
      <c r="S41" s="278"/>
      <c r="T41" s="279"/>
      <c r="U41" s="280"/>
      <c r="V41" s="317"/>
      <c r="W41" s="335">
        <f t="shared" si="2"/>
        <v>0</v>
      </c>
      <c r="X41" s="339"/>
      <c r="CX41" s="1"/>
      <c r="CY41" s="1"/>
      <c r="CZ41" s="1"/>
      <c r="DA41" s="1"/>
      <c r="DB41" s="1"/>
      <c r="DC41" s="1"/>
      <c r="DD41" s="1"/>
    </row>
    <row r="42" spans="1:108" ht="15" customHeight="1" x14ac:dyDescent="0.35">
      <c r="B42" s="267" t="s">
        <v>69</v>
      </c>
      <c r="C42" s="268"/>
      <c r="D42" s="269"/>
      <c r="E42" s="270"/>
      <c r="F42" s="271"/>
      <c r="G42" s="272"/>
      <c r="H42" s="273"/>
      <c r="I42" s="273"/>
      <c r="J42" s="273"/>
      <c r="K42" s="273"/>
      <c r="L42" s="273"/>
      <c r="M42" s="274"/>
      <c r="N42" s="275"/>
      <c r="O42" s="276"/>
      <c r="P42" s="277"/>
      <c r="Q42" s="276"/>
      <c r="R42" s="276"/>
      <c r="S42" s="278"/>
      <c r="T42" s="279"/>
      <c r="U42" s="280"/>
      <c r="V42" s="317"/>
      <c r="W42" s="335">
        <f t="shared" si="2"/>
        <v>0</v>
      </c>
      <c r="X42" s="339"/>
      <c r="CX42" s="1"/>
      <c r="CY42" s="1"/>
      <c r="CZ42" s="1"/>
      <c r="DA42" s="1"/>
      <c r="DB42" s="1"/>
      <c r="DC42" s="1"/>
      <c r="DD42" s="1"/>
    </row>
    <row r="43" spans="1:108" ht="15" customHeight="1" x14ac:dyDescent="0.35">
      <c r="B43" s="267" t="s">
        <v>70</v>
      </c>
      <c r="C43" s="268"/>
      <c r="D43" s="269"/>
      <c r="E43" s="270"/>
      <c r="F43" s="271"/>
      <c r="G43" s="272"/>
      <c r="H43" s="273"/>
      <c r="I43" s="273"/>
      <c r="J43" s="273"/>
      <c r="K43" s="273"/>
      <c r="L43" s="273"/>
      <c r="M43" s="274"/>
      <c r="N43" s="275"/>
      <c r="O43" s="276"/>
      <c r="P43" s="277"/>
      <c r="Q43" s="276"/>
      <c r="R43" s="276"/>
      <c r="S43" s="278"/>
      <c r="T43" s="279"/>
      <c r="U43" s="280"/>
      <c r="V43" s="317"/>
      <c r="W43" s="335">
        <f t="shared" si="2"/>
        <v>0</v>
      </c>
      <c r="X43" s="339"/>
      <c r="CX43" s="1"/>
      <c r="CY43" s="1"/>
      <c r="CZ43" s="1"/>
      <c r="DA43" s="1"/>
      <c r="DB43" s="1"/>
      <c r="DC43" s="1"/>
      <c r="DD43" s="1"/>
    </row>
    <row r="44" spans="1:108" ht="15" customHeight="1" thickBot="1" x14ac:dyDescent="0.4">
      <c r="B44" s="282" t="s">
        <v>71</v>
      </c>
      <c r="C44" s="283"/>
      <c r="D44" s="284"/>
      <c r="E44" s="285"/>
      <c r="F44" s="286"/>
      <c r="G44" s="287"/>
      <c r="H44" s="288"/>
      <c r="I44" s="288"/>
      <c r="J44" s="288"/>
      <c r="K44" s="288"/>
      <c r="L44" s="288"/>
      <c r="M44" s="289"/>
      <c r="N44" s="290"/>
      <c r="O44" s="291"/>
      <c r="P44" s="292"/>
      <c r="Q44" s="291"/>
      <c r="R44" s="291"/>
      <c r="S44" s="293"/>
      <c r="T44" s="294"/>
      <c r="U44" s="295"/>
      <c r="V44" s="318"/>
      <c r="W44" s="335">
        <f t="shared" si="2"/>
        <v>0</v>
      </c>
      <c r="X44" s="340"/>
      <c r="CX44" s="1"/>
      <c r="CY44" s="1"/>
      <c r="CZ44" s="1"/>
      <c r="DA44" s="1"/>
      <c r="DB44" s="1"/>
      <c r="DC44" s="1"/>
      <c r="DD44" s="1"/>
    </row>
    <row r="45" spans="1:108" ht="15" customHeight="1" thickBot="1" x14ac:dyDescent="0.25">
      <c r="B45" s="171"/>
      <c r="C45" s="241"/>
      <c r="D45" s="250"/>
      <c r="E45" s="251"/>
      <c r="F45" s="252"/>
      <c r="G45" s="255"/>
      <c r="H45" s="245"/>
      <c r="I45" s="245"/>
      <c r="J45" s="245"/>
      <c r="K45" s="245"/>
      <c r="L45" s="245"/>
      <c r="M45" s="246"/>
      <c r="N45" s="257"/>
      <c r="O45" s="192">
        <f>SUM(O37:O44)</f>
        <v>0</v>
      </c>
      <c r="P45" s="191" t="e">
        <f>AVERAGE(P37:P44)</f>
        <v>#DIV/0!</v>
      </c>
      <c r="Q45" s="191"/>
      <c r="R45" s="192">
        <f>SUM(R37:R44)</f>
        <v>0</v>
      </c>
      <c r="S45" s="191" t="e">
        <f>AVERAGE(S37:S44)</f>
        <v>#DIV/0!</v>
      </c>
      <c r="T45" s="191"/>
      <c r="U45" s="253" t="e">
        <f>AVERAGE(U37:U44)</f>
        <v>#DIV/0!</v>
      </c>
      <c r="V45" s="303"/>
      <c r="W45" s="336"/>
      <c r="X45" s="341"/>
      <c r="CX45" s="1"/>
      <c r="CY45" s="1"/>
      <c r="CZ45" s="1"/>
      <c r="DA45" s="1"/>
      <c r="DB45" s="1"/>
      <c r="DC45" s="1"/>
      <c r="DD45" s="1"/>
    </row>
    <row r="46" spans="1:108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325"/>
      <c r="X46" s="175"/>
    </row>
    <row r="47" spans="1:108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5"/>
      <c r="U47" s="175"/>
      <c r="V47" s="175"/>
      <c r="W47" s="325"/>
      <c r="X47" s="175"/>
    </row>
    <row r="48" spans="1:108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5"/>
      <c r="U48" s="175"/>
      <c r="V48" s="175"/>
      <c r="W48" s="325"/>
      <c r="X48" s="175"/>
    </row>
    <row r="49" spans="2:24" ht="15" customHeight="1" x14ac:dyDescent="0.2">
      <c r="B49" s="15"/>
      <c r="C49" s="15"/>
      <c r="D49" s="15"/>
      <c r="E49" s="15"/>
      <c r="F49" s="15"/>
      <c r="G49" s="15"/>
      <c r="H49" s="175"/>
      <c r="I49" s="175"/>
      <c r="J49" s="175"/>
      <c r="K49" s="175"/>
      <c r="L49" s="175"/>
      <c r="M49" s="175"/>
      <c r="N49" s="175"/>
      <c r="O49" s="175"/>
      <c r="P49" s="175"/>
      <c r="Q49" s="175"/>
      <c r="R49" s="175"/>
      <c r="S49" s="175"/>
      <c r="T49" s="175"/>
      <c r="U49" s="175"/>
      <c r="V49" s="175"/>
      <c r="W49" s="325"/>
      <c r="X49" s="175"/>
    </row>
    <row r="50" spans="2:24" ht="15" customHeight="1" thickBot="1" x14ac:dyDescent="0.25">
      <c r="B50" s="17" t="s">
        <v>135</v>
      </c>
      <c r="C50" s="17"/>
    </row>
    <row r="51" spans="2:24" ht="15" customHeight="1" thickBot="1" x14ac:dyDescent="0.25">
      <c r="B51" s="385" t="s">
        <v>1</v>
      </c>
      <c r="C51" s="387" t="s">
        <v>77</v>
      </c>
      <c r="D51" s="389" t="s">
        <v>2</v>
      </c>
      <c r="E51" s="385" t="s">
        <v>3</v>
      </c>
      <c r="F51" s="391" t="s">
        <v>111</v>
      </c>
      <c r="G51" s="213"/>
      <c r="H51" s="254" t="s">
        <v>5</v>
      </c>
      <c r="I51" s="254"/>
      <c r="J51" s="254"/>
      <c r="K51" s="254"/>
      <c r="L51" s="254"/>
      <c r="M51" s="254"/>
      <c r="N51" s="247" t="s">
        <v>6</v>
      </c>
      <c r="O51" s="248"/>
      <c r="P51" s="248"/>
      <c r="Q51" s="248"/>
      <c r="R51" s="248"/>
      <c r="S51" s="248"/>
      <c r="T51" s="248"/>
      <c r="U51" s="248"/>
      <c r="V51" s="248"/>
      <c r="W51" s="248"/>
      <c r="X51" s="249"/>
    </row>
    <row r="52" spans="2:24" ht="32.25" customHeight="1" thickBot="1" x14ac:dyDescent="0.25">
      <c r="B52" s="386"/>
      <c r="C52" s="388"/>
      <c r="D52" s="390"/>
      <c r="E52" s="386"/>
      <c r="F52" s="392"/>
      <c r="G52" s="256" t="s">
        <v>136</v>
      </c>
      <c r="H52" s="153" t="s">
        <v>137</v>
      </c>
      <c r="I52" s="153" t="s">
        <v>138</v>
      </c>
      <c r="J52" s="153" t="s">
        <v>139</v>
      </c>
      <c r="K52" s="153" t="s">
        <v>169</v>
      </c>
      <c r="L52" s="153" t="s">
        <v>171</v>
      </c>
      <c r="M52" s="258" t="s">
        <v>173</v>
      </c>
      <c r="N52" s="304" t="s">
        <v>106</v>
      </c>
      <c r="O52" s="207" t="s">
        <v>18</v>
      </c>
      <c r="P52" s="207" t="s">
        <v>19</v>
      </c>
      <c r="Q52" s="207" t="s">
        <v>110</v>
      </c>
      <c r="R52" s="207" t="s">
        <v>20</v>
      </c>
      <c r="S52" s="305" t="s">
        <v>21</v>
      </c>
      <c r="T52" s="305" t="s">
        <v>109</v>
      </c>
      <c r="U52" s="306" t="s">
        <v>22</v>
      </c>
      <c r="V52" s="315" t="s">
        <v>110</v>
      </c>
      <c r="W52" s="333" t="s">
        <v>3</v>
      </c>
      <c r="X52" s="337" t="s">
        <v>133</v>
      </c>
    </row>
    <row r="53" spans="2:24" ht="15" customHeight="1" x14ac:dyDescent="0.35">
      <c r="B53" s="259" t="s">
        <v>75</v>
      </c>
      <c r="C53" s="260"/>
      <c r="D53" s="261"/>
      <c r="E53" s="262"/>
      <c r="F53" s="263"/>
      <c r="G53" s="264"/>
      <c r="H53" s="265"/>
      <c r="I53" s="265"/>
      <c r="J53" s="265"/>
      <c r="K53" s="265"/>
      <c r="L53" s="265"/>
      <c r="M53" s="266"/>
      <c r="N53" s="308"/>
      <c r="O53" s="309"/>
      <c r="P53" s="310"/>
      <c r="Q53" s="309"/>
      <c r="R53" s="309"/>
      <c r="S53" s="311"/>
      <c r="T53" s="312"/>
      <c r="U53" s="313"/>
      <c r="V53" s="316"/>
      <c r="W53" s="334">
        <f>Q53*-3+T53*-1+V53*-1</f>
        <v>0</v>
      </c>
      <c r="X53" s="338"/>
    </row>
    <row r="54" spans="2:24" ht="15" customHeight="1" x14ac:dyDescent="0.35">
      <c r="B54" s="267" t="s">
        <v>76</v>
      </c>
      <c r="C54" s="268"/>
      <c r="D54" s="269"/>
      <c r="E54" s="270"/>
      <c r="F54" s="271"/>
      <c r="G54" s="272"/>
      <c r="H54" s="273"/>
      <c r="I54" s="273"/>
      <c r="J54" s="273"/>
      <c r="K54" s="273"/>
      <c r="L54" s="273"/>
      <c r="M54" s="274"/>
      <c r="N54" s="275"/>
      <c r="O54" s="276"/>
      <c r="P54" s="277"/>
      <c r="Q54" s="276"/>
      <c r="R54" s="276"/>
      <c r="S54" s="278"/>
      <c r="T54" s="279"/>
      <c r="U54" s="280"/>
      <c r="V54" s="317"/>
      <c r="W54" s="335">
        <f>Q54*-3+T54*-1+V54*-1</f>
        <v>0</v>
      </c>
      <c r="X54" s="339"/>
    </row>
    <row r="55" spans="2:24" ht="15" customHeight="1" x14ac:dyDescent="0.35">
      <c r="B55" s="267" t="s">
        <v>66</v>
      </c>
      <c r="C55" s="268"/>
      <c r="D55" s="269"/>
      <c r="E55" s="270"/>
      <c r="F55" s="271"/>
      <c r="G55" s="272"/>
      <c r="H55" s="273"/>
      <c r="I55" s="273"/>
      <c r="J55" s="273"/>
      <c r="K55" s="273"/>
      <c r="L55" s="273"/>
      <c r="M55" s="274"/>
      <c r="N55" s="275"/>
      <c r="O55" s="276"/>
      <c r="P55" s="277"/>
      <c r="Q55" s="276"/>
      <c r="R55" s="276"/>
      <c r="S55" s="278"/>
      <c r="T55" s="279"/>
      <c r="U55" s="280"/>
      <c r="V55" s="317"/>
      <c r="W55" s="335">
        <f t="shared" ref="W55:W60" si="3">Q55*-3+T55*-1+V55*-1</f>
        <v>0</v>
      </c>
      <c r="X55" s="339"/>
    </row>
    <row r="56" spans="2:24" ht="15" customHeight="1" x14ac:dyDescent="0.35">
      <c r="B56" s="267" t="s">
        <v>67</v>
      </c>
      <c r="C56" s="268"/>
      <c r="D56" s="269"/>
      <c r="E56" s="270"/>
      <c r="F56" s="271"/>
      <c r="G56" s="272"/>
      <c r="H56" s="273"/>
      <c r="I56" s="273"/>
      <c r="J56" s="273"/>
      <c r="K56" s="273"/>
      <c r="L56" s="273"/>
      <c r="M56" s="274"/>
      <c r="N56" s="275"/>
      <c r="O56" s="276"/>
      <c r="P56" s="277"/>
      <c r="Q56" s="276"/>
      <c r="R56" s="276"/>
      <c r="S56" s="278"/>
      <c r="T56" s="279"/>
      <c r="U56" s="280"/>
      <c r="V56" s="317"/>
      <c r="W56" s="335">
        <f t="shared" si="3"/>
        <v>0</v>
      </c>
      <c r="X56" s="339"/>
    </row>
    <row r="57" spans="2:24" ht="15" customHeight="1" x14ac:dyDescent="0.35">
      <c r="B57" s="267" t="s">
        <v>68</v>
      </c>
      <c r="C57" s="268"/>
      <c r="D57" s="269"/>
      <c r="E57" s="270"/>
      <c r="F57" s="271"/>
      <c r="G57" s="272"/>
      <c r="H57" s="273"/>
      <c r="I57" s="273"/>
      <c r="J57" s="273"/>
      <c r="K57" s="273"/>
      <c r="L57" s="273"/>
      <c r="M57" s="274"/>
      <c r="N57" s="275"/>
      <c r="O57" s="276"/>
      <c r="P57" s="277"/>
      <c r="Q57" s="276"/>
      <c r="R57" s="276"/>
      <c r="S57" s="278"/>
      <c r="T57" s="279"/>
      <c r="U57" s="280"/>
      <c r="V57" s="317"/>
      <c r="W57" s="335">
        <f t="shared" si="3"/>
        <v>0</v>
      </c>
      <c r="X57" s="339"/>
    </row>
    <row r="58" spans="2:24" ht="15" customHeight="1" x14ac:dyDescent="0.35">
      <c r="B58" s="267" t="s">
        <v>69</v>
      </c>
      <c r="C58" s="268"/>
      <c r="D58" s="269"/>
      <c r="E58" s="270"/>
      <c r="F58" s="271"/>
      <c r="G58" s="272"/>
      <c r="H58" s="273"/>
      <c r="I58" s="273"/>
      <c r="J58" s="273"/>
      <c r="K58" s="273"/>
      <c r="L58" s="273"/>
      <c r="M58" s="274"/>
      <c r="N58" s="275"/>
      <c r="O58" s="276"/>
      <c r="P58" s="277"/>
      <c r="Q58" s="276"/>
      <c r="R58" s="276"/>
      <c r="S58" s="278"/>
      <c r="T58" s="279"/>
      <c r="U58" s="280"/>
      <c r="V58" s="317"/>
      <c r="W58" s="335">
        <f t="shared" si="3"/>
        <v>0</v>
      </c>
      <c r="X58" s="339"/>
    </row>
    <row r="59" spans="2:24" ht="15" customHeight="1" x14ac:dyDescent="0.35">
      <c r="B59" s="267" t="s">
        <v>70</v>
      </c>
      <c r="C59" s="268"/>
      <c r="D59" s="269"/>
      <c r="E59" s="270"/>
      <c r="F59" s="271"/>
      <c r="G59" s="272"/>
      <c r="H59" s="273"/>
      <c r="I59" s="273"/>
      <c r="J59" s="273"/>
      <c r="K59" s="273"/>
      <c r="L59" s="273"/>
      <c r="M59" s="274"/>
      <c r="N59" s="275"/>
      <c r="O59" s="276"/>
      <c r="P59" s="277"/>
      <c r="Q59" s="276"/>
      <c r="R59" s="276"/>
      <c r="S59" s="278"/>
      <c r="T59" s="279"/>
      <c r="U59" s="280"/>
      <c r="V59" s="317"/>
      <c r="W59" s="335">
        <f t="shared" si="3"/>
        <v>0</v>
      </c>
      <c r="X59" s="339"/>
    </row>
    <row r="60" spans="2:24" ht="15" customHeight="1" thickBot="1" x14ac:dyDescent="0.4">
      <c r="B60" s="282" t="s">
        <v>71</v>
      </c>
      <c r="C60" s="283"/>
      <c r="D60" s="284"/>
      <c r="E60" s="285"/>
      <c r="F60" s="286"/>
      <c r="G60" s="287"/>
      <c r="H60" s="288"/>
      <c r="I60" s="288"/>
      <c r="J60" s="288"/>
      <c r="K60" s="288"/>
      <c r="L60" s="288"/>
      <c r="M60" s="289"/>
      <c r="N60" s="290"/>
      <c r="O60" s="291"/>
      <c r="P60" s="292"/>
      <c r="Q60" s="291"/>
      <c r="R60" s="291"/>
      <c r="S60" s="293"/>
      <c r="T60" s="294"/>
      <c r="U60" s="295"/>
      <c r="V60" s="318"/>
      <c r="W60" s="335">
        <f t="shared" si="3"/>
        <v>0</v>
      </c>
      <c r="X60" s="340"/>
    </row>
    <row r="61" spans="2:24" ht="15" customHeight="1" thickBot="1" x14ac:dyDescent="0.25">
      <c r="B61" s="171"/>
      <c r="C61" s="241"/>
      <c r="D61" s="250"/>
      <c r="E61" s="251"/>
      <c r="F61" s="252"/>
      <c r="G61" s="255"/>
      <c r="H61" s="245"/>
      <c r="I61" s="245"/>
      <c r="J61" s="245"/>
      <c r="K61" s="245"/>
      <c r="L61" s="245"/>
      <c r="M61" s="246"/>
      <c r="N61" s="257"/>
      <c r="O61" s="192">
        <f>SUM(O53:O60)</f>
        <v>0</v>
      </c>
      <c r="P61" s="191" t="e">
        <f>AVERAGE(P53:P60)</f>
        <v>#DIV/0!</v>
      </c>
      <c r="Q61" s="191"/>
      <c r="R61" s="192">
        <f>SUM(R53:R60)</f>
        <v>0</v>
      </c>
      <c r="S61" s="191" t="e">
        <f>AVERAGE(S53:S60)</f>
        <v>#DIV/0!</v>
      </c>
      <c r="T61" s="191"/>
      <c r="U61" s="253" t="e">
        <f>AVERAGE(U53:U60)</f>
        <v>#DIV/0!</v>
      </c>
      <c r="V61" s="303"/>
      <c r="W61" s="336"/>
      <c r="X61" s="341"/>
    </row>
    <row r="62" spans="2:24" ht="15" customHeight="1" x14ac:dyDescent="0.2"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326"/>
      <c r="X62" s="15"/>
    </row>
    <row r="63" spans="2:24" ht="15" customHeight="1" x14ac:dyDescent="0.2"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326"/>
      <c r="X63" s="15"/>
    </row>
    <row r="64" spans="2:24" ht="15" customHeight="1" x14ac:dyDescent="0.2"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326"/>
      <c r="X64" s="15"/>
    </row>
    <row r="65" spans="2:108" ht="1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326"/>
      <c r="X65" s="15"/>
    </row>
    <row r="66" spans="2:108" ht="11.25" customHeight="1" thickBot="1" x14ac:dyDescent="0.25">
      <c r="B66" s="17" t="s">
        <v>97</v>
      </c>
      <c r="C66" s="17"/>
    </row>
    <row r="67" spans="2:108" ht="15.75" customHeight="1" thickBot="1" x14ac:dyDescent="0.25">
      <c r="B67" s="385" t="s">
        <v>1</v>
      </c>
      <c r="C67" s="387" t="s">
        <v>77</v>
      </c>
      <c r="D67" s="389" t="s">
        <v>2</v>
      </c>
      <c r="E67" s="385" t="s">
        <v>3</v>
      </c>
      <c r="F67" s="391" t="s">
        <v>111</v>
      </c>
      <c r="G67" s="213"/>
      <c r="H67" s="254" t="s">
        <v>5</v>
      </c>
      <c r="I67" s="254"/>
      <c r="J67" s="254"/>
      <c r="K67" s="254"/>
      <c r="L67" s="254"/>
      <c r="M67" s="254"/>
      <c r="N67" s="247" t="s">
        <v>6</v>
      </c>
      <c r="O67" s="248"/>
      <c r="P67" s="248"/>
      <c r="Q67" s="248"/>
      <c r="R67" s="248"/>
      <c r="S67" s="248"/>
      <c r="T67" s="248"/>
      <c r="U67" s="248"/>
      <c r="V67" s="248"/>
      <c r="W67" s="248"/>
      <c r="X67" s="249"/>
      <c r="CX67" s="1"/>
      <c r="CY67" s="1"/>
      <c r="CZ67" s="1"/>
      <c r="DA67" s="1"/>
      <c r="DB67" s="1"/>
      <c r="DC67" s="1"/>
      <c r="DD67" s="1"/>
    </row>
    <row r="68" spans="2:108" ht="30.75" customHeight="1" thickBot="1" x14ac:dyDescent="0.25">
      <c r="B68" s="386"/>
      <c r="C68" s="388"/>
      <c r="D68" s="390"/>
      <c r="E68" s="386"/>
      <c r="F68" s="392"/>
      <c r="G68" s="256" t="s">
        <v>140</v>
      </c>
      <c r="H68" s="153" t="s">
        <v>141</v>
      </c>
      <c r="I68" s="153" t="s">
        <v>142</v>
      </c>
      <c r="J68" s="153" t="s">
        <v>143</v>
      </c>
      <c r="K68" s="153" t="s">
        <v>163</v>
      </c>
      <c r="L68" s="153" t="s">
        <v>165</v>
      </c>
      <c r="M68" s="258" t="s">
        <v>167</v>
      </c>
      <c r="N68" s="304" t="s">
        <v>106</v>
      </c>
      <c r="O68" s="207" t="s">
        <v>18</v>
      </c>
      <c r="P68" s="207" t="s">
        <v>19</v>
      </c>
      <c r="Q68" s="207" t="s">
        <v>110</v>
      </c>
      <c r="R68" s="207" t="s">
        <v>20</v>
      </c>
      <c r="S68" s="305" t="s">
        <v>21</v>
      </c>
      <c r="T68" s="305" t="s">
        <v>109</v>
      </c>
      <c r="U68" s="306" t="s">
        <v>22</v>
      </c>
      <c r="V68" s="315" t="s">
        <v>110</v>
      </c>
      <c r="W68" s="333" t="s">
        <v>3</v>
      </c>
      <c r="X68" s="337" t="s">
        <v>133</v>
      </c>
      <c r="CX68" s="1"/>
      <c r="CY68" s="1"/>
      <c r="CZ68" s="1"/>
      <c r="DA68" s="1"/>
      <c r="DB68" s="1"/>
      <c r="DC68" s="1"/>
      <c r="DD68" s="1"/>
    </row>
    <row r="69" spans="2:108" ht="14.25" customHeight="1" x14ac:dyDescent="0.35">
      <c r="B69" s="259" t="s">
        <v>75</v>
      </c>
      <c r="C69" s="260"/>
      <c r="D69" s="261"/>
      <c r="E69" s="262"/>
      <c r="F69" s="263"/>
      <c r="G69" s="264"/>
      <c r="H69" s="265"/>
      <c r="I69" s="265"/>
      <c r="J69" s="265"/>
      <c r="K69" s="265"/>
      <c r="L69" s="265"/>
      <c r="M69" s="266"/>
      <c r="N69" s="308"/>
      <c r="O69" s="309"/>
      <c r="P69" s="310"/>
      <c r="Q69" s="309"/>
      <c r="R69" s="309"/>
      <c r="S69" s="311"/>
      <c r="T69" s="312"/>
      <c r="U69" s="313"/>
      <c r="V69" s="316"/>
      <c r="W69" s="334">
        <f>Q69*-3+T69*-1+V69*-1</f>
        <v>0</v>
      </c>
      <c r="X69" s="338"/>
      <c r="CX69" s="1"/>
      <c r="CY69" s="1"/>
      <c r="CZ69" s="1"/>
      <c r="DA69" s="1"/>
      <c r="DB69" s="1"/>
      <c r="DC69" s="1"/>
      <c r="DD69" s="1"/>
    </row>
    <row r="70" spans="2:108" ht="15.75" customHeight="1" x14ac:dyDescent="0.35">
      <c r="B70" s="267" t="s">
        <v>76</v>
      </c>
      <c r="C70" s="268"/>
      <c r="D70" s="269"/>
      <c r="E70" s="270"/>
      <c r="F70" s="271"/>
      <c r="G70" s="272"/>
      <c r="H70" s="273"/>
      <c r="I70" s="273"/>
      <c r="J70" s="273"/>
      <c r="K70" s="273"/>
      <c r="L70" s="273"/>
      <c r="M70" s="274"/>
      <c r="N70" s="275"/>
      <c r="O70" s="276"/>
      <c r="P70" s="277"/>
      <c r="Q70" s="276"/>
      <c r="R70" s="276"/>
      <c r="S70" s="278"/>
      <c r="T70" s="279"/>
      <c r="U70" s="280"/>
      <c r="V70" s="317"/>
      <c r="W70" s="335">
        <f>Q70*-3+T70*-1+V70*-1</f>
        <v>0</v>
      </c>
      <c r="X70" s="339"/>
      <c r="CX70" s="1"/>
      <c r="CY70" s="1"/>
      <c r="CZ70" s="1"/>
      <c r="DA70" s="1"/>
      <c r="DB70" s="1"/>
      <c r="DC70" s="1"/>
      <c r="DD70" s="1"/>
    </row>
    <row r="71" spans="2:108" ht="15.75" customHeight="1" x14ac:dyDescent="0.35">
      <c r="B71" s="267" t="s">
        <v>66</v>
      </c>
      <c r="C71" s="268"/>
      <c r="D71" s="269"/>
      <c r="E71" s="270"/>
      <c r="F71" s="271"/>
      <c r="G71" s="272"/>
      <c r="H71" s="273"/>
      <c r="I71" s="273"/>
      <c r="J71" s="273"/>
      <c r="K71" s="273"/>
      <c r="L71" s="273"/>
      <c r="M71" s="274"/>
      <c r="N71" s="275"/>
      <c r="O71" s="276"/>
      <c r="P71" s="277"/>
      <c r="Q71" s="276"/>
      <c r="R71" s="276"/>
      <c r="S71" s="278"/>
      <c r="T71" s="279"/>
      <c r="U71" s="280"/>
      <c r="V71" s="317"/>
      <c r="W71" s="335">
        <f t="shared" ref="W71:W76" si="4">Q71*-3+T71*-1+V71*-1</f>
        <v>0</v>
      </c>
      <c r="X71" s="339"/>
      <c r="CX71" s="1"/>
      <c r="CY71" s="1"/>
      <c r="CZ71" s="1"/>
      <c r="DA71" s="1"/>
      <c r="DB71" s="1"/>
      <c r="DC71" s="1"/>
      <c r="DD71" s="1"/>
    </row>
    <row r="72" spans="2:108" ht="15.75" customHeight="1" x14ac:dyDescent="0.35">
      <c r="B72" s="267" t="s">
        <v>67</v>
      </c>
      <c r="C72" s="268"/>
      <c r="D72" s="269"/>
      <c r="E72" s="270"/>
      <c r="F72" s="271"/>
      <c r="G72" s="272"/>
      <c r="H72" s="273"/>
      <c r="I72" s="273"/>
      <c r="J72" s="273"/>
      <c r="K72" s="273"/>
      <c r="L72" s="273"/>
      <c r="M72" s="274"/>
      <c r="N72" s="275"/>
      <c r="O72" s="276"/>
      <c r="P72" s="277"/>
      <c r="Q72" s="276"/>
      <c r="R72" s="276"/>
      <c r="S72" s="278"/>
      <c r="T72" s="279"/>
      <c r="U72" s="280"/>
      <c r="V72" s="317"/>
      <c r="W72" s="335">
        <f t="shared" si="4"/>
        <v>0</v>
      </c>
      <c r="X72" s="339"/>
      <c r="CX72" s="1"/>
      <c r="CY72" s="1"/>
      <c r="CZ72" s="1"/>
      <c r="DA72" s="1"/>
      <c r="DB72" s="1"/>
      <c r="DC72" s="1"/>
      <c r="DD72" s="1"/>
    </row>
    <row r="73" spans="2:108" ht="15.75" customHeight="1" x14ac:dyDescent="0.35">
      <c r="B73" s="267" t="s">
        <v>68</v>
      </c>
      <c r="C73" s="268"/>
      <c r="D73" s="269"/>
      <c r="E73" s="270"/>
      <c r="F73" s="271"/>
      <c r="G73" s="272"/>
      <c r="H73" s="273"/>
      <c r="I73" s="273"/>
      <c r="J73" s="273"/>
      <c r="K73" s="273"/>
      <c r="L73" s="273"/>
      <c r="M73" s="274"/>
      <c r="N73" s="275"/>
      <c r="O73" s="276"/>
      <c r="P73" s="277"/>
      <c r="Q73" s="276"/>
      <c r="R73" s="276"/>
      <c r="S73" s="278"/>
      <c r="T73" s="279"/>
      <c r="U73" s="280"/>
      <c r="V73" s="317"/>
      <c r="W73" s="335">
        <f t="shared" si="4"/>
        <v>0</v>
      </c>
      <c r="X73" s="339"/>
      <c r="CX73" s="1"/>
      <c r="CY73" s="1"/>
      <c r="CZ73" s="1"/>
      <c r="DA73" s="1"/>
      <c r="DB73" s="1"/>
      <c r="DC73" s="1"/>
      <c r="DD73" s="1"/>
    </row>
    <row r="74" spans="2:108" ht="15.75" customHeight="1" x14ac:dyDescent="0.35">
      <c r="B74" s="267" t="s">
        <v>69</v>
      </c>
      <c r="C74" s="268"/>
      <c r="D74" s="269"/>
      <c r="E74" s="270"/>
      <c r="F74" s="271"/>
      <c r="G74" s="272"/>
      <c r="H74" s="273"/>
      <c r="I74" s="273"/>
      <c r="J74" s="273"/>
      <c r="K74" s="273"/>
      <c r="L74" s="273"/>
      <c r="M74" s="274"/>
      <c r="N74" s="275"/>
      <c r="O74" s="276"/>
      <c r="P74" s="277"/>
      <c r="Q74" s="276"/>
      <c r="R74" s="276"/>
      <c r="S74" s="278"/>
      <c r="T74" s="279"/>
      <c r="U74" s="280"/>
      <c r="V74" s="317"/>
      <c r="W74" s="335">
        <f t="shared" si="4"/>
        <v>0</v>
      </c>
      <c r="X74" s="339"/>
      <c r="CX74" s="1"/>
      <c r="CY74" s="1"/>
      <c r="CZ74" s="1"/>
      <c r="DA74" s="1"/>
      <c r="DB74" s="1"/>
      <c r="DC74" s="1"/>
      <c r="DD74" s="1"/>
    </row>
    <row r="75" spans="2:108" ht="15.75" customHeight="1" x14ac:dyDescent="0.35">
      <c r="B75" s="267" t="s">
        <v>70</v>
      </c>
      <c r="C75" s="268"/>
      <c r="D75" s="269"/>
      <c r="E75" s="270"/>
      <c r="F75" s="271"/>
      <c r="G75" s="272"/>
      <c r="H75" s="273"/>
      <c r="I75" s="273"/>
      <c r="J75" s="273"/>
      <c r="K75" s="273"/>
      <c r="L75" s="273"/>
      <c r="M75" s="274"/>
      <c r="N75" s="275"/>
      <c r="O75" s="276"/>
      <c r="P75" s="277"/>
      <c r="Q75" s="276"/>
      <c r="R75" s="276"/>
      <c r="S75" s="278"/>
      <c r="T75" s="279"/>
      <c r="U75" s="280"/>
      <c r="V75" s="317"/>
      <c r="W75" s="335">
        <f t="shared" si="4"/>
        <v>0</v>
      </c>
      <c r="X75" s="339"/>
      <c r="CX75" s="1"/>
      <c r="CY75" s="1"/>
      <c r="CZ75" s="1"/>
      <c r="DA75" s="1"/>
      <c r="DB75" s="1"/>
      <c r="DC75" s="1"/>
      <c r="DD75" s="1"/>
    </row>
    <row r="76" spans="2:108" ht="15.75" customHeight="1" thickBot="1" x14ac:dyDescent="0.4">
      <c r="B76" s="282" t="s">
        <v>71</v>
      </c>
      <c r="C76" s="283"/>
      <c r="D76" s="284"/>
      <c r="E76" s="285"/>
      <c r="F76" s="286"/>
      <c r="G76" s="287"/>
      <c r="H76" s="288"/>
      <c r="I76" s="288"/>
      <c r="J76" s="288"/>
      <c r="K76" s="288"/>
      <c r="L76" s="288"/>
      <c r="M76" s="289"/>
      <c r="N76" s="290"/>
      <c r="O76" s="291"/>
      <c r="P76" s="292"/>
      <c r="Q76" s="291"/>
      <c r="R76" s="291"/>
      <c r="S76" s="293"/>
      <c r="T76" s="294"/>
      <c r="U76" s="295"/>
      <c r="V76" s="318"/>
      <c r="W76" s="335">
        <f t="shared" si="4"/>
        <v>0</v>
      </c>
      <c r="X76" s="340"/>
      <c r="CX76" s="1"/>
      <c r="CY76" s="1"/>
      <c r="CZ76" s="1"/>
      <c r="DA76" s="1"/>
      <c r="DB76" s="1"/>
      <c r="DC76" s="1"/>
      <c r="DD76" s="1"/>
    </row>
    <row r="77" spans="2:108" ht="15.75" customHeight="1" thickBot="1" x14ac:dyDescent="0.25">
      <c r="B77" s="171"/>
      <c r="C77" s="241"/>
      <c r="D77" s="250"/>
      <c r="E77" s="251"/>
      <c r="F77" s="252"/>
      <c r="G77" s="255"/>
      <c r="H77" s="245"/>
      <c r="I77" s="245"/>
      <c r="J77" s="245"/>
      <c r="K77" s="245"/>
      <c r="L77" s="245"/>
      <c r="M77" s="246"/>
      <c r="N77" s="257"/>
      <c r="O77" s="192">
        <f>SUM(O69:O76)</f>
        <v>0</v>
      </c>
      <c r="P77" s="191" t="e">
        <f>AVERAGE(P69:P76)</f>
        <v>#DIV/0!</v>
      </c>
      <c r="Q77" s="191"/>
      <c r="R77" s="192">
        <f>SUM(R69:R76)</f>
        <v>0</v>
      </c>
      <c r="S77" s="191" t="e">
        <f>AVERAGE(S69:S76)</f>
        <v>#DIV/0!</v>
      </c>
      <c r="T77" s="191"/>
      <c r="U77" s="253" t="e">
        <f>AVERAGE(U69:U76)</f>
        <v>#DIV/0!</v>
      </c>
      <c r="V77" s="303"/>
      <c r="W77" s="336"/>
      <c r="X77" s="341"/>
      <c r="CX77" s="1"/>
      <c r="CY77" s="1"/>
      <c r="CZ77" s="1"/>
      <c r="DA77" s="1"/>
      <c r="DB77" s="1"/>
      <c r="DC77" s="1"/>
      <c r="DD77" s="1"/>
    </row>
    <row r="78" spans="2:108" ht="15.7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325"/>
      <c r="X78" s="175"/>
    </row>
    <row r="79" spans="2:108" ht="15.7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325"/>
      <c r="X79" s="175"/>
    </row>
    <row r="80" spans="2:108" ht="15.7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5"/>
      <c r="U80" s="175"/>
      <c r="V80" s="175"/>
      <c r="W80" s="325"/>
      <c r="X80" s="175"/>
    </row>
    <row r="81" spans="1:108" ht="15.75" customHeight="1" x14ac:dyDescent="0.2"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326"/>
      <c r="X81" s="15"/>
    </row>
    <row r="82" spans="1:108" ht="75" customHeight="1" thickBot="1" x14ac:dyDescent="0.25">
      <c r="B82" s="17" t="s">
        <v>48</v>
      </c>
      <c r="C82" s="17"/>
    </row>
    <row r="83" spans="1:108" ht="17.25" customHeight="1" thickBot="1" x14ac:dyDescent="0.25">
      <c r="A83" s="6"/>
      <c r="B83" s="385" t="s">
        <v>1</v>
      </c>
      <c r="C83" s="387" t="s">
        <v>77</v>
      </c>
      <c r="D83" s="389" t="s">
        <v>2</v>
      </c>
      <c r="E83" s="385" t="s">
        <v>3</v>
      </c>
      <c r="F83" s="391" t="s">
        <v>111</v>
      </c>
      <c r="G83" s="213"/>
      <c r="H83" s="254" t="s">
        <v>5</v>
      </c>
      <c r="I83" s="254"/>
      <c r="J83" s="254"/>
      <c r="K83" s="254"/>
      <c r="L83" s="254"/>
      <c r="M83" s="254"/>
      <c r="N83" s="247" t="s">
        <v>6</v>
      </c>
      <c r="O83" s="248"/>
      <c r="P83" s="248"/>
      <c r="Q83" s="248"/>
      <c r="R83" s="248"/>
      <c r="S83" s="248"/>
      <c r="T83" s="248"/>
      <c r="U83" s="248"/>
      <c r="V83" s="248"/>
      <c r="W83" s="248"/>
      <c r="X83" s="249"/>
      <c r="CX83" s="1"/>
      <c r="CY83" s="1"/>
      <c r="CZ83" s="1"/>
      <c r="DA83" s="1"/>
      <c r="DB83" s="1"/>
      <c r="DC83" s="1"/>
      <c r="DD83" s="1"/>
    </row>
    <row r="84" spans="1:108" s="6" customFormat="1" ht="30.75" customHeight="1" thickBot="1" x14ac:dyDescent="0.25">
      <c r="B84" s="386"/>
      <c r="C84" s="388"/>
      <c r="D84" s="390"/>
      <c r="E84" s="386"/>
      <c r="F84" s="392"/>
      <c r="G84" s="256" t="s">
        <v>136</v>
      </c>
      <c r="H84" s="153" t="s">
        <v>137</v>
      </c>
      <c r="I84" s="153" t="s">
        <v>138</v>
      </c>
      <c r="J84" s="153" t="s">
        <v>139</v>
      </c>
      <c r="K84" s="153" t="s">
        <v>169</v>
      </c>
      <c r="L84" s="153" t="s">
        <v>171</v>
      </c>
      <c r="M84" s="258" t="s">
        <v>173</v>
      </c>
      <c r="N84" s="304" t="s">
        <v>106</v>
      </c>
      <c r="O84" s="207" t="s">
        <v>18</v>
      </c>
      <c r="P84" s="207" t="s">
        <v>19</v>
      </c>
      <c r="Q84" s="207" t="s">
        <v>110</v>
      </c>
      <c r="R84" s="207" t="s">
        <v>20</v>
      </c>
      <c r="S84" s="305" t="s">
        <v>21</v>
      </c>
      <c r="T84" s="305" t="s">
        <v>109</v>
      </c>
      <c r="U84" s="306" t="s">
        <v>22</v>
      </c>
      <c r="V84" s="315" t="s">
        <v>110</v>
      </c>
      <c r="W84" s="333" t="s">
        <v>3</v>
      </c>
      <c r="X84" s="337" t="s">
        <v>133</v>
      </c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</row>
    <row r="85" spans="1:108" s="6" customFormat="1" ht="17.25" customHeight="1" x14ac:dyDescent="0.35">
      <c r="A85" s="1"/>
      <c r="B85" s="259" t="s">
        <v>75</v>
      </c>
      <c r="C85" s="260"/>
      <c r="D85" s="261"/>
      <c r="E85" s="262"/>
      <c r="F85" s="263"/>
      <c r="G85" s="264"/>
      <c r="H85" s="265"/>
      <c r="I85" s="265"/>
      <c r="J85" s="265"/>
      <c r="K85" s="265"/>
      <c r="L85" s="265"/>
      <c r="M85" s="266"/>
      <c r="N85" s="308"/>
      <c r="O85" s="309"/>
      <c r="P85" s="310"/>
      <c r="Q85" s="309"/>
      <c r="R85" s="309"/>
      <c r="S85" s="311"/>
      <c r="T85" s="312"/>
      <c r="U85" s="313"/>
      <c r="V85" s="316"/>
      <c r="W85" s="334">
        <f>Q85*-3+T85*-1+V85*-1</f>
        <v>0</v>
      </c>
      <c r="X85" s="338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</row>
    <row r="86" spans="1:108" ht="14.25" customHeight="1" x14ac:dyDescent="0.35">
      <c r="B86" s="267" t="s">
        <v>76</v>
      </c>
      <c r="C86" s="268"/>
      <c r="D86" s="269"/>
      <c r="E86" s="270"/>
      <c r="F86" s="271"/>
      <c r="G86" s="272"/>
      <c r="H86" s="273"/>
      <c r="I86" s="273"/>
      <c r="J86" s="273"/>
      <c r="K86" s="273"/>
      <c r="L86" s="273"/>
      <c r="M86" s="274"/>
      <c r="N86" s="275"/>
      <c r="O86" s="276"/>
      <c r="P86" s="277"/>
      <c r="Q86" s="276"/>
      <c r="R86" s="276"/>
      <c r="S86" s="278"/>
      <c r="T86" s="279"/>
      <c r="U86" s="280"/>
      <c r="V86" s="317"/>
      <c r="W86" s="335">
        <f>Q86*-3+T86*-1+V86*-1</f>
        <v>0</v>
      </c>
      <c r="X86" s="339"/>
      <c r="CX86" s="1"/>
      <c r="CY86" s="1"/>
      <c r="CZ86" s="1"/>
      <c r="DA86" s="1"/>
      <c r="DB86" s="1"/>
      <c r="DC86" s="1"/>
      <c r="DD86" s="1"/>
    </row>
    <row r="87" spans="1:108" ht="14.25" customHeight="1" x14ac:dyDescent="0.35">
      <c r="B87" s="267" t="s">
        <v>66</v>
      </c>
      <c r="C87" s="268"/>
      <c r="D87" s="269"/>
      <c r="E87" s="270"/>
      <c r="F87" s="271"/>
      <c r="G87" s="272"/>
      <c r="H87" s="273"/>
      <c r="I87" s="273"/>
      <c r="J87" s="273"/>
      <c r="K87" s="273"/>
      <c r="L87" s="273"/>
      <c r="M87" s="274"/>
      <c r="N87" s="275"/>
      <c r="O87" s="276"/>
      <c r="P87" s="277"/>
      <c r="Q87" s="276"/>
      <c r="R87" s="276"/>
      <c r="S87" s="278"/>
      <c r="T87" s="279"/>
      <c r="U87" s="280"/>
      <c r="V87" s="317"/>
      <c r="W87" s="335">
        <f t="shared" ref="W87:W92" si="5">Q87*-3+T87*-1+V87*-1</f>
        <v>0</v>
      </c>
      <c r="X87" s="339"/>
      <c r="CX87" s="1"/>
      <c r="CY87" s="1"/>
      <c r="CZ87" s="1"/>
      <c r="DA87" s="1"/>
      <c r="DB87" s="1"/>
      <c r="DC87" s="1"/>
      <c r="DD87" s="1"/>
    </row>
    <row r="88" spans="1:108" ht="14.25" customHeight="1" x14ac:dyDescent="0.35">
      <c r="B88" s="267" t="s">
        <v>67</v>
      </c>
      <c r="C88" s="268"/>
      <c r="D88" s="269"/>
      <c r="E88" s="270"/>
      <c r="F88" s="271"/>
      <c r="G88" s="272"/>
      <c r="H88" s="273"/>
      <c r="I88" s="273"/>
      <c r="J88" s="273"/>
      <c r="K88" s="273"/>
      <c r="L88" s="273"/>
      <c r="M88" s="274"/>
      <c r="N88" s="275"/>
      <c r="O88" s="276"/>
      <c r="P88" s="277"/>
      <c r="Q88" s="276"/>
      <c r="R88" s="276"/>
      <c r="S88" s="278"/>
      <c r="T88" s="279"/>
      <c r="U88" s="280"/>
      <c r="V88" s="317"/>
      <c r="W88" s="335">
        <f t="shared" si="5"/>
        <v>0</v>
      </c>
      <c r="X88" s="339"/>
      <c r="CX88" s="1"/>
      <c r="CY88" s="1"/>
      <c r="CZ88" s="1"/>
      <c r="DA88" s="1"/>
      <c r="DB88" s="1"/>
      <c r="DC88" s="1"/>
      <c r="DD88" s="1"/>
    </row>
    <row r="89" spans="1:108" ht="14.25" customHeight="1" x14ac:dyDescent="0.35">
      <c r="B89" s="267" t="s">
        <v>68</v>
      </c>
      <c r="C89" s="268"/>
      <c r="D89" s="269"/>
      <c r="E89" s="270"/>
      <c r="F89" s="271"/>
      <c r="G89" s="272"/>
      <c r="H89" s="273"/>
      <c r="I89" s="273"/>
      <c r="J89" s="273"/>
      <c r="K89" s="273"/>
      <c r="L89" s="273"/>
      <c r="M89" s="274"/>
      <c r="N89" s="275"/>
      <c r="O89" s="276"/>
      <c r="P89" s="277"/>
      <c r="Q89" s="276"/>
      <c r="R89" s="276"/>
      <c r="S89" s="278"/>
      <c r="T89" s="279"/>
      <c r="U89" s="280"/>
      <c r="V89" s="317"/>
      <c r="W89" s="335">
        <f t="shared" si="5"/>
        <v>0</v>
      </c>
      <c r="X89" s="339"/>
      <c r="CX89" s="1"/>
      <c r="CY89" s="1"/>
      <c r="CZ89" s="1"/>
      <c r="DA89" s="1"/>
      <c r="DB89" s="1"/>
      <c r="DC89" s="1"/>
      <c r="DD89" s="1"/>
    </row>
    <row r="90" spans="1:108" ht="14.25" customHeight="1" x14ac:dyDescent="0.35">
      <c r="B90" s="267" t="s">
        <v>69</v>
      </c>
      <c r="C90" s="268"/>
      <c r="D90" s="269"/>
      <c r="E90" s="270"/>
      <c r="F90" s="271"/>
      <c r="G90" s="272"/>
      <c r="H90" s="273"/>
      <c r="I90" s="273"/>
      <c r="J90" s="273"/>
      <c r="K90" s="273"/>
      <c r="L90" s="273"/>
      <c r="M90" s="274"/>
      <c r="N90" s="275"/>
      <c r="O90" s="276"/>
      <c r="P90" s="277"/>
      <c r="Q90" s="276"/>
      <c r="R90" s="276"/>
      <c r="S90" s="278"/>
      <c r="T90" s="279"/>
      <c r="U90" s="280"/>
      <c r="V90" s="317"/>
      <c r="W90" s="335">
        <f t="shared" si="5"/>
        <v>0</v>
      </c>
      <c r="X90" s="339"/>
      <c r="CX90" s="1"/>
      <c r="CY90" s="1"/>
      <c r="CZ90" s="1"/>
      <c r="DA90" s="1"/>
      <c r="DB90" s="1"/>
      <c r="DC90" s="1"/>
      <c r="DD90" s="1"/>
    </row>
    <row r="91" spans="1:108" ht="14.25" customHeight="1" x14ac:dyDescent="0.35">
      <c r="B91" s="267" t="s">
        <v>70</v>
      </c>
      <c r="C91" s="268"/>
      <c r="D91" s="269"/>
      <c r="E91" s="270"/>
      <c r="F91" s="271"/>
      <c r="G91" s="272"/>
      <c r="H91" s="273"/>
      <c r="I91" s="273"/>
      <c r="J91" s="273"/>
      <c r="K91" s="273"/>
      <c r="L91" s="273"/>
      <c r="M91" s="274"/>
      <c r="N91" s="275"/>
      <c r="O91" s="276"/>
      <c r="P91" s="277"/>
      <c r="Q91" s="276"/>
      <c r="R91" s="276"/>
      <c r="S91" s="278"/>
      <c r="T91" s="279"/>
      <c r="U91" s="280"/>
      <c r="V91" s="317"/>
      <c r="W91" s="335">
        <f t="shared" si="5"/>
        <v>0</v>
      </c>
      <c r="X91" s="339"/>
      <c r="CX91" s="1"/>
      <c r="CY91" s="1"/>
      <c r="CZ91" s="1"/>
      <c r="DA91" s="1"/>
      <c r="DB91" s="1"/>
      <c r="DC91" s="1"/>
      <c r="DD91" s="1"/>
    </row>
    <row r="92" spans="1:108" ht="14.25" customHeight="1" thickBot="1" x14ac:dyDescent="0.4">
      <c r="B92" s="282" t="s">
        <v>71</v>
      </c>
      <c r="C92" s="283"/>
      <c r="D92" s="284"/>
      <c r="E92" s="285"/>
      <c r="F92" s="286"/>
      <c r="G92" s="287"/>
      <c r="H92" s="288"/>
      <c r="I92" s="288"/>
      <c r="J92" s="288"/>
      <c r="K92" s="288"/>
      <c r="L92" s="288"/>
      <c r="M92" s="289"/>
      <c r="N92" s="290"/>
      <c r="O92" s="291"/>
      <c r="P92" s="292"/>
      <c r="Q92" s="291"/>
      <c r="R92" s="291"/>
      <c r="S92" s="293"/>
      <c r="T92" s="294"/>
      <c r="U92" s="295"/>
      <c r="V92" s="318"/>
      <c r="W92" s="335">
        <f t="shared" si="5"/>
        <v>0</v>
      </c>
      <c r="X92" s="340"/>
      <c r="CX92" s="1"/>
      <c r="CY92" s="1"/>
      <c r="CZ92" s="1"/>
      <c r="DA92" s="1"/>
      <c r="DB92" s="1"/>
      <c r="DC92" s="1"/>
      <c r="DD92" s="1"/>
    </row>
    <row r="93" spans="1:108" ht="14.25" customHeight="1" thickBot="1" x14ac:dyDescent="0.25">
      <c r="B93" s="171"/>
      <c r="C93" s="241"/>
      <c r="D93" s="250"/>
      <c r="E93" s="251"/>
      <c r="F93" s="252"/>
      <c r="G93" s="255"/>
      <c r="H93" s="245"/>
      <c r="I93" s="245"/>
      <c r="J93" s="245"/>
      <c r="K93" s="245"/>
      <c r="L93" s="245"/>
      <c r="M93" s="246"/>
      <c r="N93" s="257"/>
      <c r="O93" s="192">
        <f>SUM(O85:O92)</f>
        <v>0</v>
      </c>
      <c r="P93" s="191" t="e">
        <f>AVERAGE(P85:P92)</f>
        <v>#DIV/0!</v>
      </c>
      <c r="Q93" s="191"/>
      <c r="R93" s="192">
        <f>SUM(R85:R92)</f>
        <v>0</v>
      </c>
      <c r="S93" s="191" t="e">
        <f>AVERAGE(S85:S92)</f>
        <v>#DIV/0!</v>
      </c>
      <c r="T93" s="191"/>
      <c r="U93" s="253" t="e">
        <f>AVERAGE(U85:U92)</f>
        <v>#DIV/0!</v>
      </c>
      <c r="V93" s="303"/>
      <c r="W93" s="336"/>
      <c r="X93" s="341"/>
      <c r="CX93" s="1"/>
      <c r="CY93" s="1"/>
      <c r="CZ93" s="1"/>
      <c r="DA93" s="1"/>
      <c r="DB93" s="1"/>
      <c r="DC93" s="1"/>
      <c r="DD93" s="1"/>
    </row>
    <row r="94" spans="1:108" ht="14.25" customHeight="1" x14ac:dyDescent="0.2">
      <c r="B94" s="3"/>
      <c r="C94" s="3"/>
      <c r="D94" s="3"/>
      <c r="E94" s="15"/>
      <c r="F94" s="3"/>
      <c r="G94" s="3"/>
      <c r="H94" s="175"/>
      <c r="I94" s="175"/>
      <c r="J94" s="175"/>
      <c r="K94" s="175"/>
      <c r="L94" s="175"/>
      <c r="M94" s="175"/>
      <c r="N94" s="175"/>
      <c r="O94" s="175"/>
      <c r="P94" s="175"/>
      <c r="Q94" s="175"/>
      <c r="R94" s="175"/>
      <c r="S94" s="175"/>
      <c r="T94" s="175"/>
      <c r="U94" s="175"/>
      <c r="V94" s="175"/>
      <c r="W94" s="325"/>
      <c r="X94" s="175"/>
    </row>
    <row r="95" spans="1:108" ht="14.25" customHeight="1" x14ac:dyDescent="0.2">
      <c r="B95" s="3"/>
      <c r="C95" s="3"/>
      <c r="D95" s="3"/>
      <c r="E95" s="15"/>
      <c r="F95" s="3"/>
      <c r="G95" s="3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325"/>
      <c r="X95" s="175"/>
    </row>
    <row r="96" spans="1:108" ht="14.25" customHeight="1" x14ac:dyDescent="0.2">
      <c r="B96" s="3"/>
      <c r="C96" s="3"/>
      <c r="D96" s="3"/>
      <c r="E96" s="15"/>
      <c r="F96" s="3"/>
      <c r="G96" s="3"/>
      <c r="H96" s="175"/>
      <c r="I96" s="175"/>
      <c r="J96" s="175"/>
      <c r="K96" s="175"/>
      <c r="L96" s="175"/>
      <c r="M96" s="175"/>
      <c r="N96" s="175"/>
      <c r="O96" s="175"/>
      <c r="P96" s="175"/>
      <c r="Q96" s="175"/>
      <c r="R96" s="175"/>
      <c r="S96" s="175"/>
      <c r="T96" s="175"/>
      <c r="U96" s="175"/>
      <c r="V96" s="175"/>
      <c r="W96" s="325"/>
      <c r="X96" s="175"/>
    </row>
    <row r="97" spans="1:108" ht="14.25" customHeight="1" x14ac:dyDescent="0.2"/>
    <row r="98" spans="1:108" ht="73.5" customHeight="1" thickBot="1" x14ac:dyDescent="0.25">
      <c r="B98" s="17" t="s">
        <v>49</v>
      </c>
      <c r="C98" s="17"/>
    </row>
    <row r="99" spans="1:108" ht="13.5" customHeight="1" thickBot="1" x14ac:dyDescent="0.25">
      <c r="A99" s="6"/>
      <c r="B99" s="385" t="s">
        <v>1</v>
      </c>
      <c r="C99" s="387" t="s">
        <v>77</v>
      </c>
      <c r="D99" s="389" t="s">
        <v>2</v>
      </c>
      <c r="E99" s="385" t="s">
        <v>3</v>
      </c>
      <c r="F99" s="391" t="s">
        <v>111</v>
      </c>
      <c r="G99" s="213"/>
      <c r="H99" s="254" t="s">
        <v>5</v>
      </c>
      <c r="I99" s="254"/>
      <c r="J99" s="254"/>
      <c r="K99" s="254"/>
      <c r="L99" s="254"/>
      <c r="M99" s="254"/>
      <c r="N99" s="247" t="s">
        <v>6</v>
      </c>
      <c r="O99" s="248"/>
      <c r="P99" s="248"/>
      <c r="Q99" s="248"/>
      <c r="R99" s="248"/>
      <c r="S99" s="248"/>
      <c r="T99" s="248"/>
      <c r="U99" s="248"/>
      <c r="V99" s="248"/>
      <c r="W99" s="248"/>
      <c r="X99" s="249"/>
      <c r="CX99" s="1"/>
      <c r="CY99" s="1"/>
      <c r="CZ99" s="1"/>
      <c r="DA99" s="1"/>
      <c r="DB99" s="1"/>
      <c r="DC99" s="1"/>
      <c r="DD99" s="1"/>
    </row>
    <row r="100" spans="1:108" s="6" customFormat="1" ht="29.25" customHeight="1" thickBot="1" x14ac:dyDescent="0.25">
      <c r="B100" s="386"/>
      <c r="C100" s="388"/>
      <c r="D100" s="390"/>
      <c r="E100" s="386"/>
      <c r="F100" s="392"/>
      <c r="G100" s="256" t="s">
        <v>140</v>
      </c>
      <c r="H100" s="153" t="s">
        <v>141</v>
      </c>
      <c r="I100" s="153" t="s">
        <v>142</v>
      </c>
      <c r="J100" s="153" t="s">
        <v>143</v>
      </c>
      <c r="K100" s="153" t="s">
        <v>163</v>
      </c>
      <c r="L100" s="153" t="s">
        <v>165</v>
      </c>
      <c r="M100" s="258" t="s">
        <v>167</v>
      </c>
      <c r="N100" s="342" t="s">
        <v>106</v>
      </c>
      <c r="O100" s="343" t="s">
        <v>18</v>
      </c>
      <c r="P100" s="343" t="s">
        <v>19</v>
      </c>
      <c r="Q100" s="343" t="s">
        <v>110</v>
      </c>
      <c r="R100" s="343" t="s">
        <v>20</v>
      </c>
      <c r="S100" s="344" t="s">
        <v>21</v>
      </c>
      <c r="T100" s="344" t="s">
        <v>109</v>
      </c>
      <c r="U100" s="345" t="s">
        <v>22</v>
      </c>
      <c r="V100" s="346" t="s">
        <v>110</v>
      </c>
      <c r="W100" s="347" t="s">
        <v>3</v>
      </c>
      <c r="X100" s="348" t="s">
        <v>133</v>
      </c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</row>
    <row r="101" spans="1:108" s="6" customFormat="1" ht="18" customHeight="1" x14ac:dyDescent="0.35">
      <c r="A101" s="1"/>
      <c r="B101" s="259" t="s">
        <v>75</v>
      </c>
      <c r="C101" s="260"/>
      <c r="D101" s="261"/>
      <c r="E101" s="262"/>
      <c r="F101" s="263"/>
      <c r="G101" s="264"/>
      <c r="H101" s="265"/>
      <c r="I101" s="265"/>
      <c r="J101" s="265"/>
      <c r="K101" s="265"/>
      <c r="L101" s="265"/>
      <c r="M101" s="266"/>
      <c r="N101" s="308"/>
      <c r="O101" s="309"/>
      <c r="P101" s="310"/>
      <c r="Q101" s="309"/>
      <c r="R101" s="309"/>
      <c r="S101" s="311"/>
      <c r="T101" s="312"/>
      <c r="U101" s="313"/>
      <c r="V101" s="316"/>
      <c r="W101" s="334">
        <f>Q101*-3+T101*-1+V101*-1</f>
        <v>0</v>
      </c>
      <c r="X101" s="338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</row>
    <row r="102" spans="1:108" ht="15" customHeight="1" x14ac:dyDescent="0.35">
      <c r="B102" s="267" t="s">
        <v>76</v>
      </c>
      <c r="C102" s="268"/>
      <c r="D102" s="269"/>
      <c r="E102" s="270"/>
      <c r="F102" s="271"/>
      <c r="G102" s="272"/>
      <c r="H102" s="273"/>
      <c r="I102" s="273"/>
      <c r="J102" s="273"/>
      <c r="K102" s="273"/>
      <c r="L102" s="273"/>
      <c r="M102" s="274"/>
      <c r="N102" s="275"/>
      <c r="O102" s="276"/>
      <c r="P102" s="277"/>
      <c r="Q102" s="276"/>
      <c r="R102" s="276"/>
      <c r="S102" s="278"/>
      <c r="T102" s="279"/>
      <c r="U102" s="280"/>
      <c r="V102" s="317"/>
      <c r="W102" s="335">
        <f>Q102*-3+T102*-1+V102*-1</f>
        <v>0</v>
      </c>
      <c r="X102" s="339"/>
      <c r="CX102" s="1"/>
      <c r="CY102" s="1"/>
      <c r="CZ102" s="1"/>
      <c r="DA102" s="1"/>
      <c r="DB102" s="1"/>
      <c r="DC102" s="1"/>
      <c r="DD102" s="1"/>
    </row>
    <row r="103" spans="1:108" ht="15" customHeight="1" x14ac:dyDescent="0.35">
      <c r="B103" s="267" t="s">
        <v>66</v>
      </c>
      <c r="C103" s="268"/>
      <c r="D103" s="269"/>
      <c r="E103" s="270"/>
      <c r="F103" s="271"/>
      <c r="G103" s="272"/>
      <c r="H103" s="273"/>
      <c r="I103" s="273"/>
      <c r="J103" s="273"/>
      <c r="K103" s="273"/>
      <c r="L103" s="273"/>
      <c r="M103" s="274"/>
      <c r="N103" s="275"/>
      <c r="O103" s="276"/>
      <c r="P103" s="277"/>
      <c r="Q103" s="276"/>
      <c r="R103" s="276"/>
      <c r="S103" s="278"/>
      <c r="T103" s="279"/>
      <c r="U103" s="280"/>
      <c r="V103" s="317"/>
      <c r="W103" s="335">
        <f t="shared" ref="W103:W108" si="6">Q103*-3+T103*-1+V103*-1</f>
        <v>0</v>
      </c>
      <c r="X103" s="339"/>
      <c r="CX103" s="1"/>
      <c r="CY103" s="1"/>
      <c r="CZ103" s="1"/>
      <c r="DA103" s="1"/>
      <c r="DB103" s="1"/>
      <c r="DC103" s="1"/>
      <c r="DD103" s="1"/>
    </row>
    <row r="104" spans="1:108" ht="15" customHeight="1" x14ac:dyDescent="0.35">
      <c r="B104" s="267" t="s">
        <v>67</v>
      </c>
      <c r="C104" s="268"/>
      <c r="D104" s="269"/>
      <c r="E104" s="270"/>
      <c r="F104" s="271"/>
      <c r="G104" s="272"/>
      <c r="H104" s="273"/>
      <c r="I104" s="273"/>
      <c r="J104" s="273"/>
      <c r="K104" s="273"/>
      <c r="L104" s="273"/>
      <c r="M104" s="274"/>
      <c r="N104" s="275"/>
      <c r="O104" s="276"/>
      <c r="P104" s="277"/>
      <c r="Q104" s="276"/>
      <c r="R104" s="276"/>
      <c r="S104" s="278"/>
      <c r="T104" s="279"/>
      <c r="U104" s="280"/>
      <c r="V104" s="317"/>
      <c r="W104" s="335">
        <f t="shared" si="6"/>
        <v>0</v>
      </c>
      <c r="X104" s="339"/>
      <c r="CX104" s="1"/>
      <c r="CY104" s="1"/>
      <c r="CZ104" s="1"/>
      <c r="DA104" s="1"/>
      <c r="DB104" s="1"/>
      <c r="DC104" s="1"/>
      <c r="DD104" s="1"/>
    </row>
    <row r="105" spans="1:108" ht="15" customHeight="1" x14ac:dyDescent="0.35">
      <c r="B105" s="267" t="s">
        <v>68</v>
      </c>
      <c r="C105" s="268"/>
      <c r="D105" s="269"/>
      <c r="E105" s="270"/>
      <c r="F105" s="271"/>
      <c r="G105" s="272"/>
      <c r="H105" s="273"/>
      <c r="I105" s="273"/>
      <c r="J105" s="273"/>
      <c r="K105" s="273"/>
      <c r="L105" s="273"/>
      <c r="M105" s="274"/>
      <c r="N105" s="275"/>
      <c r="O105" s="276"/>
      <c r="P105" s="277"/>
      <c r="Q105" s="276"/>
      <c r="R105" s="276"/>
      <c r="S105" s="278"/>
      <c r="T105" s="279"/>
      <c r="U105" s="280"/>
      <c r="V105" s="317"/>
      <c r="W105" s="335">
        <f t="shared" si="6"/>
        <v>0</v>
      </c>
      <c r="X105" s="339"/>
      <c r="CX105" s="1"/>
      <c r="CY105" s="1"/>
      <c r="CZ105" s="1"/>
      <c r="DA105" s="1"/>
      <c r="DB105" s="1"/>
      <c r="DC105" s="1"/>
      <c r="DD105" s="1"/>
    </row>
    <row r="106" spans="1:108" ht="15" customHeight="1" x14ac:dyDescent="0.35">
      <c r="B106" s="267" t="s">
        <v>69</v>
      </c>
      <c r="C106" s="268"/>
      <c r="D106" s="269"/>
      <c r="E106" s="270"/>
      <c r="F106" s="271"/>
      <c r="G106" s="272"/>
      <c r="H106" s="273"/>
      <c r="I106" s="273"/>
      <c r="J106" s="273"/>
      <c r="K106" s="273"/>
      <c r="L106" s="273"/>
      <c r="M106" s="274"/>
      <c r="N106" s="275"/>
      <c r="O106" s="276"/>
      <c r="P106" s="277"/>
      <c r="Q106" s="276"/>
      <c r="R106" s="276"/>
      <c r="S106" s="278"/>
      <c r="T106" s="279"/>
      <c r="U106" s="280"/>
      <c r="V106" s="317"/>
      <c r="W106" s="335">
        <f t="shared" si="6"/>
        <v>0</v>
      </c>
      <c r="X106" s="339"/>
      <c r="CX106" s="1"/>
      <c r="CY106" s="1"/>
      <c r="CZ106" s="1"/>
      <c r="DA106" s="1"/>
      <c r="DB106" s="1"/>
      <c r="DC106" s="1"/>
      <c r="DD106" s="1"/>
    </row>
    <row r="107" spans="1:108" ht="15" customHeight="1" x14ac:dyDescent="0.35">
      <c r="B107" s="267" t="s">
        <v>70</v>
      </c>
      <c r="C107" s="268"/>
      <c r="D107" s="269"/>
      <c r="E107" s="270"/>
      <c r="F107" s="271"/>
      <c r="G107" s="272"/>
      <c r="H107" s="273"/>
      <c r="I107" s="273"/>
      <c r="J107" s="273"/>
      <c r="K107" s="273"/>
      <c r="L107" s="273"/>
      <c r="M107" s="274"/>
      <c r="N107" s="275"/>
      <c r="O107" s="276"/>
      <c r="P107" s="277"/>
      <c r="Q107" s="276"/>
      <c r="R107" s="276"/>
      <c r="S107" s="278"/>
      <c r="T107" s="279"/>
      <c r="U107" s="280"/>
      <c r="V107" s="317"/>
      <c r="W107" s="335">
        <f t="shared" si="6"/>
        <v>0</v>
      </c>
      <c r="X107" s="339"/>
      <c r="CX107" s="1"/>
      <c r="CY107" s="1"/>
      <c r="CZ107" s="1"/>
      <c r="DA107" s="1"/>
      <c r="DB107" s="1"/>
      <c r="DC107" s="1"/>
      <c r="DD107" s="1"/>
    </row>
    <row r="108" spans="1:108" ht="15" customHeight="1" thickBot="1" x14ac:dyDescent="0.4">
      <c r="B108" s="282" t="s">
        <v>71</v>
      </c>
      <c r="C108" s="283"/>
      <c r="D108" s="284"/>
      <c r="E108" s="285"/>
      <c r="F108" s="286"/>
      <c r="G108" s="287"/>
      <c r="H108" s="288"/>
      <c r="I108" s="288"/>
      <c r="J108" s="288"/>
      <c r="K108" s="288"/>
      <c r="L108" s="288"/>
      <c r="M108" s="289"/>
      <c r="N108" s="290"/>
      <c r="O108" s="291"/>
      <c r="P108" s="292"/>
      <c r="Q108" s="291"/>
      <c r="R108" s="291"/>
      <c r="S108" s="293"/>
      <c r="T108" s="294"/>
      <c r="U108" s="295"/>
      <c r="V108" s="318"/>
      <c r="W108" s="335">
        <f t="shared" si="6"/>
        <v>0</v>
      </c>
      <c r="X108" s="340"/>
      <c r="CX108" s="1"/>
      <c r="CY108" s="1"/>
      <c r="CZ108" s="1"/>
      <c r="DA108" s="1"/>
      <c r="DB108" s="1"/>
      <c r="DC108" s="1"/>
      <c r="DD108" s="1"/>
    </row>
    <row r="109" spans="1:108" ht="15" customHeight="1" thickBot="1" x14ac:dyDescent="0.25">
      <c r="B109" s="171"/>
      <c r="C109" s="241"/>
      <c r="D109" s="250"/>
      <c r="E109" s="251"/>
      <c r="F109" s="252"/>
      <c r="G109" s="255"/>
      <c r="H109" s="245"/>
      <c r="I109" s="245"/>
      <c r="J109" s="245"/>
      <c r="K109" s="245"/>
      <c r="L109" s="245"/>
      <c r="M109" s="246"/>
      <c r="N109" s="257"/>
      <c r="O109" s="192">
        <f>SUM(O101:O108)</f>
        <v>0</v>
      </c>
      <c r="P109" s="191" t="e">
        <f>AVERAGE(P101:P108)</f>
        <v>#DIV/0!</v>
      </c>
      <c r="Q109" s="191"/>
      <c r="R109" s="192">
        <f>SUM(R101:R108)</f>
        <v>0</v>
      </c>
      <c r="S109" s="191" t="e">
        <f>AVERAGE(S101:S108)</f>
        <v>#DIV/0!</v>
      </c>
      <c r="T109" s="191"/>
      <c r="U109" s="253" t="e">
        <f>AVERAGE(U101:U108)</f>
        <v>#DIV/0!</v>
      </c>
      <c r="V109" s="303"/>
      <c r="W109" s="336"/>
      <c r="X109" s="341"/>
      <c r="CX109" s="1"/>
      <c r="CY109" s="1"/>
      <c r="CZ109" s="1"/>
      <c r="DA109" s="1"/>
      <c r="DB109" s="1"/>
      <c r="DC109" s="1"/>
      <c r="DD109" s="1"/>
    </row>
    <row r="110" spans="1:108" ht="15" customHeight="1" x14ac:dyDescent="0.2">
      <c r="B110" s="3"/>
      <c r="C110" s="3"/>
      <c r="D110" s="3"/>
      <c r="E110" s="1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28"/>
      <c r="X110" s="3"/>
    </row>
    <row r="111" spans="1:108" ht="15" customHeight="1" x14ac:dyDescent="0.2">
      <c r="B111" s="3"/>
      <c r="C111" s="3"/>
      <c r="D111" s="3"/>
      <c r="E111" s="1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28"/>
      <c r="X111" s="3"/>
    </row>
    <row r="112" spans="1:108" ht="15" customHeight="1" x14ac:dyDescent="0.2">
      <c r="B112" s="3"/>
      <c r="C112" s="3"/>
      <c r="D112" s="3"/>
      <c r="E112" s="1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28"/>
      <c r="X112" s="3"/>
    </row>
    <row r="113" spans="1:108" ht="15" customHeight="1" x14ac:dyDescent="0.2">
      <c r="B113" s="3"/>
      <c r="C113" s="3"/>
      <c r="D113" s="3"/>
      <c r="E113" s="1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28"/>
      <c r="X113" s="3"/>
    </row>
    <row r="114" spans="1:108" ht="66" customHeight="1" thickBot="1" x14ac:dyDescent="0.25">
      <c r="B114" s="17" t="s">
        <v>73</v>
      </c>
      <c r="C114" s="17"/>
    </row>
    <row r="115" spans="1:108" ht="15" customHeight="1" thickBot="1" x14ac:dyDescent="0.25">
      <c r="B115" s="385" t="s">
        <v>1</v>
      </c>
      <c r="C115" s="387" t="s">
        <v>77</v>
      </c>
      <c r="D115" s="389" t="s">
        <v>2</v>
      </c>
      <c r="E115" s="385" t="s">
        <v>3</v>
      </c>
      <c r="F115" s="391" t="s">
        <v>111</v>
      </c>
      <c r="G115" s="213"/>
      <c r="H115" s="254" t="s">
        <v>5</v>
      </c>
      <c r="I115" s="254"/>
      <c r="J115" s="254"/>
      <c r="K115" s="254"/>
      <c r="L115" s="254"/>
      <c r="M115" s="254"/>
      <c r="N115" s="247" t="s">
        <v>6</v>
      </c>
      <c r="O115" s="248"/>
      <c r="P115" s="248"/>
      <c r="Q115" s="248"/>
      <c r="R115" s="248"/>
      <c r="S115" s="248"/>
      <c r="T115" s="248"/>
      <c r="U115" s="248"/>
      <c r="V115" s="248"/>
      <c r="W115" s="248"/>
      <c r="X115" s="249"/>
      <c r="CX115" s="1"/>
      <c r="CY115" s="1"/>
      <c r="CZ115" s="1"/>
      <c r="DA115" s="1"/>
      <c r="DB115" s="1"/>
      <c r="DC115" s="1"/>
      <c r="DD115" s="1"/>
    </row>
    <row r="116" spans="1:108" ht="28.5" customHeight="1" thickBot="1" x14ac:dyDescent="0.25">
      <c r="A116" s="6"/>
      <c r="B116" s="386"/>
      <c r="C116" s="388"/>
      <c r="D116" s="390"/>
      <c r="E116" s="386"/>
      <c r="F116" s="392"/>
      <c r="G116" s="256" t="s">
        <v>140</v>
      </c>
      <c r="H116" s="153" t="s">
        <v>141</v>
      </c>
      <c r="I116" s="153" t="s">
        <v>142</v>
      </c>
      <c r="J116" s="153" t="s">
        <v>143</v>
      </c>
      <c r="K116" s="153" t="s">
        <v>163</v>
      </c>
      <c r="L116" s="153" t="s">
        <v>165</v>
      </c>
      <c r="M116" s="258" t="s">
        <v>167</v>
      </c>
      <c r="N116" s="304" t="s">
        <v>106</v>
      </c>
      <c r="O116" s="207" t="s">
        <v>18</v>
      </c>
      <c r="P116" s="207" t="s">
        <v>19</v>
      </c>
      <c r="Q116" s="207" t="s">
        <v>110</v>
      </c>
      <c r="R116" s="207" t="s">
        <v>20</v>
      </c>
      <c r="S116" s="305" t="s">
        <v>21</v>
      </c>
      <c r="T116" s="305" t="s">
        <v>109</v>
      </c>
      <c r="U116" s="306" t="s">
        <v>22</v>
      </c>
      <c r="V116" s="315" t="s">
        <v>110</v>
      </c>
      <c r="W116" s="333" t="s">
        <v>3</v>
      </c>
      <c r="X116" s="337" t="s">
        <v>133</v>
      </c>
      <c r="CX116" s="1"/>
      <c r="CY116" s="1"/>
      <c r="CZ116" s="1"/>
      <c r="DA116" s="1"/>
      <c r="DB116" s="1"/>
      <c r="DC116" s="1"/>
      <c r="DD116" s="1"/>
    </row>
    <row r="117" spans="1:108" s="6" customFormat="1" ht="19.5" customHeight="1" x14ac:dyDescent="0.35">
      <c r="B117" s="259" t="s">
        <v>75</v>
      </c>
      <c r="C117" s="260"/>
      <c r="D117" s="261"/>
      <c r="E117" s="262"/>
      <c r="F117" s="263"/>
      <c r="G117" s="264"/>
      <c r="H117" s="265"/>
      <c r="I117" s="265"/>
      <c r="J117" s="265"/>
      <c r="K117" s="265"/>
      <c r="L117" s="265"/>
      <c r="M117" s="266"/>
      <c r="N117" s="308"/>
      <c r="O117" s="309"/>
      <c r="P117" s="310"/>
      <c r="Q117" s="309"/>
      <c r="R117" s="309"/>
      <c r="S117" s="311"/>
      <c r="T117" s="312"/>
      <c r="U117" s="313"/>
      <c r="V117" s="316"/>
      <c r="W117" s="334">
        <f>Q117*-3+T117*-1+V117*-1</f>
        <v>0</v>
      </c>
      <c r="X117" s="338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</row>
    <row r="118" spans="1:108" s="6" customFormat="1" ht="15" customHeight="1" x14ac:dyDescent="0.35">
      <c r="A118" s="1"/>
      <c r="B118" s="267" t="s">
        <v>76</v>
      </c>
      <c r="C118" s="268"/>
      <c r="D118" s="269"/>
      <c r="E118" s="270"/>
      <c r="F118" s="271"/>
      <c r="G118" s="272"/>
      <c r="H118" s="273"/>
      <c r="I118" s="273"/>
      <c r="J118" s="273"/>
      <c r="K118" s="273"/>
      <c r="L118" s="273"/>
      <c r="M118" s="274"/>
      <c r="N118" s="275"/>
      <c r="O118" s="276"/>
      <c r="P118" s="277"/>
      <c r="Q118" s="276"/>
      <c r="R118" s="276"/>
      <c r="S118" s="278"/>
      <c r="T118" s="279"/>
      <c r="U118" s="280"/>
      <c r="V118" s="317"/>
      <c r="W118" s="335">
        <f>Q118*-3+T118*-1+V118*-1</f>
        <v>0</v>
      </c>
      <c r="X118" s="33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  <c r="CF118" s="29"/>
      <c r="CG118" s="29"/>
      <c r="CH118" s="29"/>
      <c r="CI118" s="29"/>
      <c r="CJ118" s="29"/>
      <c r="CK118" s="29"/>
      <c r="CL118" s="29"/>
      <c r="CM118" s="29"/>
      <c r="CN118" s="29"/>
      <c r="CO118" s="29"/>
      <c r="CP118" s="29"/>
      <c r="CQ118" s="29"/>
      <c r="CR118" s="29"/>
      <c r="CS118" s="29"/>
      <c r="CT118" s="29"/>
      <c r="CU118" s="29"/>
      <c r="CV118" s="29"/>
      <c r="CW118" s="29"/>
    </row>
    <row r="119" spans="1:108" ht="15" customHeight="1" x14ac:dyDescent="0.35">
      <c r="B119" s="267" t="s">
        <v>66</v>
      </c>
      <c r="C119" s="268"/>
      <c r="D119" s="269"/>
      <c r="E119" s="270"/>
      <c r="F119" s="271"/>
      <c r="G119" s="272"/>
      <c r="H119" s="273"/>
      <c r="I119" s="273"/>
      <c r="J119" s="273"/>
      <c r="K119" s="273"/>
      <c r="L119" s="273"/>
      <c r="M119" s="274"/>
      <c r="N119" s="275"/>
      <c r="O119" s="276"/>
      <c r="P119" s="277"/>
      <c r="Q119" s="276"/>
      <c r="R119" s="276"/>
      <c r="S119" s="278"/>
      <c r="T119" s="279"/>
      <c r="U119" s="280"/>
      <c r="V119" s="317"/>
      <c r="W119" s="335">
        <f t="shared" ref="W119:W124" si="7">Q119*-3+T119*-1+V119*-1</f>
        <v>0</v>
      </c>
      <c r="X119" s="339"/>
      <c r="CX119" s="1"/>
      <c r="CY119" s="1"/>
      <c r="CZ119" s="1"/>
      <c r="DA119" s="1"/>
      <c r="DB119" s="1"/>
      <c r="DC119" s="1"/>
      <c r="DD119" s="1"/>
    </row>
    <row r="120" spans="1:108" ht="15" customHeight="1" x14ac:dyDescent="0.35">
      <c r="B120" s="267" t="s">
        <v>67</v>
      </c>
      <c r="C120" s="268"/>
      <c r="D120" s="269"/>
      <c r="E120" s="270"/>
      <c r="F120" s="271"/>
      <c r="G120" s="272"/>
      <c r="H120" s="273"/>
      <c r="I120" s="273"/>
      <c r="J120" s="273"/>
      <c r="K120" s="273"/>
      <c r="L120" s="273"/>
      <c r="M120" s="274"/>
      <c r="N120" s="275"/>
      <c r="O120" s="276"/>
      <c r="P120" s="277"/>
      <c r="Q120" s="276"/>
      <c r="R120" s="276"/>
      <c r="S120" s="278"/>
      <c r="T120" s="279"/>
      <c r="U120" s="280"/>
      <c r="V120" s="317"/>
      <c r="W120" s="335">
        <f t="shared" si="7"/>
        <v>0</v>
      </c>
      <c r="X120" s="339"/>
      <c r="CX120" s="1"/>
      <c r="CY120" s="1"/>
      <c r="CZ120" s="1"/>
      <c r="DA120" s="1"/>
      <c r="DB120" s="1"/>
      <c r="DC120" s="1"/>
      <c r="DD120" s="1"/>
    </row>
    <row r="121" spans="1:108" ht="15" customHeight="1" x14ac:dyDescent="0.35">
      <c r="B121" s="267" t="s">
        <v>68</v>
      </c>
      <c r="C121" s="268"/>
      <c r="D121" s="269"/>
      <c r="E121" s="270"/>
      <c r="F121" s="271"/>
      <c r="G121" s="272"/>
      <c r="H121" s="273"/>
      <c r="I121" s="273"/>
      <c r="J121" s="273"/>
      <c r="K121" s="273"/>
      <c r="L121" s="273"/>
      <c r="M121" s="274"/>
      <c r="N121" s="275"/>
      <c r="O121" s="276"/>
      <c r="P121" s="277"/>
      <c r="Q121" s="276"/>
      <c r="R121" s="276"/>
      <c r="S121" s="278"/>
      <c r="T121" s="279"/>
      <c r="U121" s="280"/>
      <c r="V121" s="317"/>
      <c r="W121" s="335">
        <f t="shared" si="7"/>
        <v>0</v>
      </c>
      <c r="X121" s="339"/>
      <c r="CX121" s="1"/>
      <c r="CY121" s="1"/>
      <c r="CZ121" s="1"/>
      <c r="DA121" s="1"/>
      <c r="DB121" s="1"/>
      <c r="DC121" s="1"/>
      <c r="DD121" s="1"/>
    </row>
    <row r="122" spans="1:108" ht="15" customHeight="1" x14ac:dyDescent="0.35">
      <c r="B122" s="267" t="s">
        <v>69</v>
      </c>
      <c r="C122" s="268"/>
      <c r="D122" s="269"/>
      <c r="E122" s="270"/>
      <c r="F122" s="271"/>
      <c r="G122" s="272"/>
      <c r="H122" s="273"/>
      <c r="I122" s="273"/>
      <c r="J122" s="273"/>
      <c r="K122" s="273"/>
      <c r="L122" s="273"/>
      <c r="M122" s="274"/>
      <c r="N122" s="275"/>
      <c r="O122" s="276"/>
      <c r="P122" s="277"/>
      <c r="Q122" s="276"/>
      <c r="R122" s="276"/>
      <c r="S122" s="278"/>
      <c r="T122" s="279"/>
      <c r="U122" s="280"/>
      <c r="V122" s="317"/>
      <c r="W122" s="335">
        <f t="shared" si="7"/>
        <v>0</v>
      </c>
      <c r="X122" s="339"/>
      <c r="CX122" s="1"/>
      <c r="CY122" s="1"/>
      <c r="CZ122" s="1"/>
      <c r="DA122" s="1"/>
      <c r="DB122" s="1"/>
      <c r="DC122" s="1"/>
      <c r="DD122" s="1"/>
    </row>
    <row r="123" spans="1:108" ht="15" customHeight="1" x14ac:dyDescent="0.35">
      <c r="B123" s="267" t="s">
        <v>70</v>
      </c>
      <c r="C123" s="268"/>
      <c r="D123" s="269"/>
      <c r="E123" s="270"/>
      <c r="F123" s="271"/>
      <c r="G123" s="272"/>
      <c r="H123" s="273"/>
      <c r="I123" s="273"/>
      <c r="J123" s="273"/>
      <c r="K123" s="273"/>
      <c r="L123" s="273"/>
      <c r="M123" s="274"/>
      <c r="N123" s="275"/>
      <c r="O123" s="276"/>
      <c r="P123" s="277"/>
      <c r="Q123" s="276"/>
      <c r="R123" s="276"/>
      <c r="S123" s="278"/>
      <c r="T123" s="279"/>
      <c r="U123" s="280"/>
      <c r="V123" s="317"/>
      <c r="W123" s="335">
        <f t="shared" si="7"/>
        <v>0</v>
      </c>
      <c r="X123" s="339"/>
      <c r="CX123" s="1"/>
      <c r="CY123" s="1"/>
      <c r="CZ123" s="1"/>
      <c r="DA123" s="1"/>
      <c r="DB123" s="1"/>
      <c r="DC123" s="1"/>
      <c r="DD123" s="1"/>
    </row>
    <row r="124" spans="1:108" ht="15" customHeight="1" thickBot="1" x14ac:dyDescent="0.4">
      <c r="B124" s="282" t="s">
        <v>71</v>
      </c>
      <c r="C124" s="283"/>
      <c r="D124" s="284"/>
      <c r="E124" s="285"/>
      <c r="F124" s="286"/>
      <c r="G124" s="287"/>
      <c r="H124" s="288"/>
      <c r="I124" s="288"/>
      <c r="J124" s="288"/>
      <c r="K124" s="288"/>
      <c r="L124" s="288"/>
      <c r="M124" s="289"/>
      <c r="N124" s="290"/>
      <c r="O124" s="291"/>
      <c r="P124" s="292"/>
      <c r="Q124" s="291"/>
      <c r="R124" s="291"/>
      <c r="S124" s="293"/>
      <c r="T124" s="294"/>
      <c r="U124" s="295"/>
      <c r="V124" s="318"/>
      <c r="W124" s="335">
        <f t="shared" si="7"/>
        <v>0</v>
      </c>
      <c r="X124" s="340"/>
      <c r="CX124" s="1"/>
      <c r="CY124" s="1"/>
      <c r="CZ124" s="1"/>
      <c r="DA124" s="1"/>
      <c r="DB124" s="1"/>
      <c r="DC124" s="1"/>
      <c r="DD124" s="1"/>
    </row>
    <row r="125" spans="1:108" ht="15" customHeight="1" thickBot="1" x14ac:dyDescent="0.25">
      <c r="B125" s="171"/>
      <c r="C125" s="241"/>
      <c r="D125" s="250"/>
      <c r="E125" s="251"/>
      <c r="F125" s="252"/>
      <c r="G125" s="255"/>
      <c r="H125" s="245"/>
      <c r="I125" s="245"/>
      <c r="J125" s="245"/>
      <c r="K125" s="245"/>
      <c r="L125" s="245"/>
      <c r="M125" s="246"/>
      <c r="N125" s="257"/>
      <c r="O125" s="192">
        <f>SUM(O117:O124)</f>
        <v>0</v>
      </c>
      <c r="P125" s="191" t="e">
        <f>AVERAGE(P117:P124)</f>
        <v>#DIV/0!</v>
      </c>
      <c r="Q125" s="191"/>
      <c r="R125" s="192">
        <f>SUM(R117:R124)</f>
        <v>0</v>
      </c>
      <c r="S125" s="191" t="e">
        <f>AVERAGE(S117:S124)</f>
        <v>#DIV/0!</v>
      </c>
      <c r="T125" s="191"/>
      <c r="U125" s="253" t="e">
        <f>AVERAGE(U117:U124)</f>
        <v>#DIV/0!</v>
      </c>
      <c r="V125" s="303"/>
      <c r="W125" s="336"/>
      <c r="X125" s="341"/>
      <c r="CX125" s="1"/>
      <c r="CY125" s="1"/>
      <c r="CZ125" s="1"/>
      <c r="DA125" s="1"/>
      <c r="DB125" s="1"/>
      <c r="DC125" s="1"/>
      <c r="DD125" s="1"/>
    </row>
    <row r="126" spans="1:108" ht="15" customHeight="1" x14ac:dyDescent="0.2">
      <c r="B126" s="3"/>
      <c r="C126" s="3"/>
      <c r="D126" s="3"/>
      <c r="E126" s="15"/>
      <c r="F126" s="3"/>
      <c r="G126" s="187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28"/>
      <c r="X126" s="3"/>
    </row>
    <row r="127" spans="1:108" ht="15" customHeight="1" x14ac:dyDescent="0.2">
      <c r="B127" s="3"/>
      <c r="C127" s="3"/>
      <c r="D127" s="3"/>
      <c r="E127" s="15"/>
      <c r="F127" s="3"/>
      <c r="G127" s="187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28"/>
      <c r="X127" s="3"/>
    </row>
    <row r="128" spans="1:108" ht="15" customHeight="1" x14ac:dyDescent="0.2">
      <c r="A128" s="24"/>
    </row>
    <row r="129" spans="1:1" ht="15" customHeight="1" x14ac:dyDescent="0.2">
      <c r="A129" s="24"/>
    </row>
    <row r="130" spans="1:1" ht="15" customHeight="1" x14ac:dyDescent="0.2">
      <c r="A130" s="24"/>
    </row>
    <row r="131" spans="1:1" ht="15" hidden="1" customHeight="1" x14ac:dyDescent="0.2">
      <c r="A131" s="24"/>
    </row>
    <row r="132" spans="1:1" ht="15" hidden="1" customHeight="1" x14ac:dyDescent="0.2">
      <c r="A132" s="24"/>
    </row>
    <row r="133" spans="1:1" ht="15" hidden="1" customHeight="1" x14ac:dyDescent="0.2">
      <c r="A133" s="24"/>
    </row>
    <row r="134" spans="1:1" ht="15" hidden="1" customHeight="1" x14ac:dyDescent="0.2">
      <c r="A134" s="24"/>
    </row>
    <row r="135" spans="1:1" ht="15" hidden="1" customHeight="1" x14ac:dyDescent="0.2">
      <c r="A135" s="24"/>
    </row>
    <row r="136" spans="1:1" ht="15" hidden="1" customHeight="1" x14ac:dyDescent="0.2">
      <c r="A136" s="24"/>
    </row>
    <row r="137" spans="1:1" ht="15" hidden="1" customHeight="1" x14ac:dyDescent="0.2">
      <c r="A137" s="24"/>
    </row>
    <row r="138" spans="1:1" ht="15" hidden="1" customHeight="1" x14ac:dyDescent="0.2">
      <c r="A138" s="24"/>
    </row>
    <row r="139" spans="1:1" ht="15" hidden="1" customHeight="1" x14ac:dyDescent="0.2">
      <c r="A139" s="24"/>
    </row>
    <row r="140" spans="1:1" ht="15" hidden="1" customHeight="1" x14ac:dyDescent="0.2">
      <c r="A140" s="24"/>
    </row>
    <row r="141" spans="1:1" ht="15" hidden="1" customHeight="1" x14ac:dyDescent="0.2">
      <c r="A141" s="24"/>
    </row>
    <row r="142" spans="1:1" ht="15" hidden="1" customHeight="1" x14ac:dyDescent="0.2">
      <c r="A142" s="24"/>
    </row>
    <row r="143" spans="1:1" ht="15" hidden="1" customHeight="1" x14ac:dyDescent="0.2">
      <c r="A143" s="24"/>
    </row>
    <row r="144" spans="1:1" ht="15" hidden="1" customHeight="1" x14ac:dyDescent="0.2">
      <c r="A144" s="24"/>
    </row>
    <row r="145" spans="1:24" s="24" customFormat="1" ht="59.25" customHeight="1" x14ac:dyDescent="0.2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28"/>
      <c r="X145" s="3"/>
    </row>
    <row r="146" spans="1:24" s="24" customFormat="1" ht="11.25" customHeight="1" thickBot="1" x14ac:dyDescent="0.25">
      <c r="B146" s="401" t="s">
        <v>50</v>
      </c>
      <c r="C146" s="40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327"/>
      <c r="X146" s="1"/>
    </row>
    <row r="147" spans="1:24" s="24" customFormat="1" ht="12.95" customHeight="1" thickBot="1" x14ac:dyDescent="0.25">
      <c r="B147" s="389" t="s">
        <v>1</v>
      </c>
      <c r="C147" s="387" t="s">
        <v>77</v>
      </c>
      <c r="D147" s="389" t="s">
        <v>51</v>
      </c>
      <c r="E147" s="385" t="s">
        <v>4</v>
      </c>
      <c r="F147" s="391" t="s">
        <v>111</v>
      </c>
      <c r="G147" s="398" t="s">
        <v>52</v>
      </c>
      <c r="H147" s="399"/>
      <c r="I147" s="399"/>
      <c r="J147" s="399"/>
      <c r="K147" s="399"/>
      <c r="L147" s="399"/>
      <c r="M147" s="399"/>
      <c r="N147" s="399"/>
      <c r="O147" s="399"/>
      <c r="P147" s="400"/>
      <c r="Q147" s="393" t="s">
        <v>53</v>
      </c>
      <c r="R147" s="394"/>
      <c r="S147" s="394"/>
      <c r="T147" s="394"/>
      <c r="U147" s="394"/>
      <c r="V147" s="394"/>
      <c r="W147" s="395"/>
      <c r="X147" s="187"/>
    </row>
    <row r="148" spans="1:24" s="24" customFormat="1" ht="29.25" customHeight="1" thickBot="1" x14ac:dyDescent="0.25">
      <c r="B148" s="396"/>
      <c r="C148" s="388"/>
      <c r="D148" s="390"/>
      <c r="E148" s="397"/>
      <c r="F148" s="392"/>
      <c r="G148" s="140" t="s">
        <v>54</v>
      </c>
      <c r="H148" s="9" t="s">
        <v>55</v>
      </c>
      <c r="I148" s="9" t="s">
        <v>56</v>
      </c>
      <c r="J148" s="9" t="s">
        <v>57</v>
      </c>
      <c r="K148" s="9" t="s">
        <v>58</v>
      </c>
      <c r="L148" s="9" t="s">
        <v>59</v>
      </c>
      <c r="M148" s="9" t="s">
        <v>60</v>
      </c>
      <c r="N148" s="9" t="s">
        <v>61</v>
      </c>
      <c r="O148" s="141" t="s">
        <v>62</v>
      </c>
      <c r="P148" s="151" t="s">
        <v>63</v>
      </c>
      <c r="Q148" s="152" t="s">
        <v>54</v>
      </c>
      <c r="R148" s="153" t="s">
        <v>55</v>
      </c>
      <c r="S148" s="153" t="s">
        <v>56</v>
      </c>
      <c r="T148" s="153" t="s">
        <v>57</v>
      </c>
      <c r="U148" s="153" t="s">
        <v>58</v>
      </c>
      <c r="V148" s="153" t="s">
        <v>59</v>
      </c>
      <c r="W148" s="329" t="s">
        <v>60</v>
      </c>
      <c r="X148" s="302"/>
    </row>
    <row r="149" spans="1:24" s="24" customFormat="1" ht="16.5" customHeight="1" x14ac:dyDescent="0.2">
      <c r="B149" s="259" t="s">
        <v>75</v>
      </c>
      <c r="C149" s="145"/>
      <c r="D149" s="142"/>
      <c r="E149" s="12"/>
      <c r="F149" s="32"/>
      <c r="G149" s="34"/>
      <c r="H149" s="35"/>
      <c r="I149" s="35"/>
      <c r="J149" s="35"/>
      <c r="K149" s="35"/>
      <c r="L149" s="35"/>
      <c r="M149" s="35"/>
      <c r="N149" s="35"/>
      <c r="O149" s="35"/>
      <c r="P149" s="155"/>
      <c r="Q149" s="183"/>
      <c r="R149" s="184"/>
      <c r="S149" s="184"/>
      <c r="T149" s="184"/>
      <c r="U149" s="185"/>
      <c r="V149" s="185"/>
      <c r="W149" s="330"/>
    </row>
    <row r="150" spans="1:24" s="24" customFormat="1" ht="15" customHeight="1" x14ac:dyDescent="0.2">
      <c r="B150" s="267" t="s">
        <v>76</v>
      </c>
      <c r="C150" s="146"/>
      <c r="D150" s="143"/>
      <c r="E150" s="13"/>
      <c r="F150" s="43"/>
      <c r="G150" s="45"/>
      <c r="H150" s="46"/>
      <c r="I150" s="46"/>
      <c r="J150" s="46"/>
      <c r="K150" s="46"/>
      <c r="L150" s="46"/>
      <c r="M150" s="46"/>
      <c r="N150" s="46"/>
      <c r="O150" s="46"/>
      <c r="P150" s="160"/>
      <c r="Q150" s="161"/>
      <c r="R150" s="162"/>
      <c r="S150" s="162"/>
      <c r="T150" s="162"/>
      <c r="U150" s="163"/>
      <c r="V150" s="163"/>
      <c r="W150" s="331"/>
    </row>
    <row r="151" spans="1:24" s="24" customFormat="1" ht="15" customHeight="1" x14ac:dyDescent="0.2">
      <c r="B151" s="267" t="s">
        <v>66</v>
      </c>
      <c r="C151" s="146"/>
      <c r="D151" s="143"/>
      <c r="E151" s="13"/>
      <c r="F151" s="43"/>
      <c r="G151" s="45"/>
      <c r="H151" s="46"/>
      <c r="I151" s="46"/>
      <c r="J151" s="46"/>
      <c r="K151" s="46"/>
      <c r="L151" s="46"/>
      <c r="M151" s="46"/>
      <c r="N151" s="46"/>
      <c r="O151" s="46"/>
      <c r="P151" s="160"/>
      <c r="Q151" s="161"/>
      <c r="R151" s="162"/>
      <c r="S151" s="162"/>
      <c r="T151" s="162"/>
      <c r="U151" s="163"/>
      <c r="V151" s="163"/>
      <c r="W151" s="331"/>
    </row>
    <row r="152" spans="1:24" s="24" customFormat="1" ht="15" customHeight="1" x14ac:dyDescent="0.2">
      <c r="B152" s="267" t="s">
        <v>67</v>
      </c>
      <c r="C152" s="146"/>
      <c r="D152" s="143"/>
      <c r="E152" s="13"/>
      <c r="F152" s="43"/>
      <c r="G152" s="45"/>
      <c r="H152" s="46"/>
      <c r="I152" s="46"/>
      <c r="J152" s="46"/>
      <c r="K152" s="46"/>
      <c r="L152" s="46"/>
      <c r="M152" s="46"/>
      <c r="N152" s="46"/>
      <c r="O152" s="46"/>
      <c r="P152" s="160"/>
      <c r="Q152" s="161"/>
      <c r="R152" s="162"/>
      <c r="S152" s="162"/>
      <c r="T152" s="162"/>
      <c r="U152" s="163"/>
      <c r="V152" s="163"/>
      <c r="W152" s="331"/>
    </row>
    <row r="153" spans="1:24" s="24" customFormat="1" ht="15" customHeight="1" x14ac:dyDescent="0.2">
      <c r="B153" s="267" t="s">
        <v>68</v>
      </c>
      <c r="C153" s="146"/>
      <c r="D153" s="143"/>
      <c r="E153" s="13"/>
      <c r="F153" s="43"/>
      <c r="G153" s="45"/>
      <c r="H153" s="46"/>
      <c r="I153" s="46"/>
      <c r="J153" s="46"/>
      <c r="K153" s="46"/>
      <c r="L153" s="46"/>
      <c r="M153" s="46"/>
      <c r="N153" s="46"/>
      <c r="O153" s="46"/>
      <c r="P153" s="160"/>
      <c r="Q153" s="161"/>
      <c r="R153" s="162"/>
      <c r="S153" s="162"/>
      <c r="T153" s="162"/>
      <c r="U153" s="163"/>
      <c r="V153" s="163"/>
      <c r="W153" s="331"/>
    </row>
    <row r="154" spans="1:24" s="24" customFormat="1" ht="15" customHeight="1" x14ac:dyDescent="0.2">
      <c r="B154" s="267" t="s">
        <v>69</v>
      </c>
      <c r="C154" s="146"/>
      <c r="D154" s="143"/>
      <c r="E154" s="13"/>
      <c r="F154" s="43"/>
      <c r="G154" s="45"/>
      <c r="H154" s="46"/>
      <c r="I154" s="46"/>
      <c r="J154" s="46"/>
      <c r="K154" s="46"/>
      <c r="L154" s="46"/>
      <c r="M154" s="46"/>
      <c r="N154" s="46"/>
      <c r="O154" s="46"/>
      <c r="P154" s="160"/>
      <c r="Q154" s="161"/>
      <c r="R154" s="162"/>
      <c r="S154" s="162"/>
      <c r="T154" s="162"/>
      <c r="U154" s="163"/>
      <c r="V154" s="163"/>
      <c r="W154" s="331"/>
    </row>
    <row r="155" spans="1:24" s="24" customFormat="1" ht="15" customHeight="1" x14ac:dyDescent="0.2">
      <c r="B155" s="267" t="s">
        <v>70</v>
      </c>
      <c r="C155" s="146"/>
      <c r="D155" s="143"/>
      <c r="E155" s="13"/>
      <c r="F155" s="43"/>
      <c r="G155" s="45"/>
      <c r="H155" s="46"/>
      <c r="I155" s="46"/>
      <c r="J155" s="46"/>
      <c r="K155" s="46"/>
      <c r="L155" s="46"/>
      <c r="M155" s="46"/>
      <c r="N155" s="46"/>
      <c r="O155" s="46"/>
      <c r="P155" s="160"/>
      <c r="Q155" s="161"/>
      <c r="R155" s="162"/>
      <c r="S155" s="162"/>
      <c r="T155" s="162"/>
      <c r="U155" s="163"/>
      <c r="V155" s="163"/>
      <c r="W155" s="331"/>
    </row>
    <row r="156" spans="1:24" s="24" customFormat="1" ht="15" customHeight="1" x14ac:dyDescent="0.2">
      <c r="B156" s="282" t="s">
        <v>71</v>
      </c>
      <c r="C156" s="146"/>
      <c r="D156" s="143"/>
      <c r="E156" s="13"/>
      <c r="F156" s="43"/>
      <c r="G156" s="45"/>
      <c r="H156" s="46"/>
      <c r="I156" s="46"/>
      <c r="J156" s="46"/>
      <c r="K156" s="46"/>
      <c r="L156" s="46"/>
      <c r="M156" s="46"/>
      <c r="N156" s="46"/>
      <c r="O156" s="46"/>
      <c r="P156" s="160"/>
      <c r="Q156" s="161"/>
      <c r="R156" s="162"/>
      <c r="S156" s="162"/>
      <c r="T156" s="162"/>
      <c r="U156" s="163"/>
      <c r="V156" s="163"/>
      <c r="W156" s="331"/>
    </row>
    <row r="157" spans="1:24" s="24" customFormat="1" ht="15" customHeight="1" thickBot="1" x14ac:dyDescent="0.25">
      <c r="B157" s="14"/>
      <c r="C157" s="147"/>
      <c r="D157" s="144"/>
      <c r="E157" s="14"/>
      <c r="F157" s="54"/>
      <c r="G157" s="56"/>
      <c r="H157" s="57"/>
      <c r="I157" s="57"/>
      <c r="J157" s="57"/>
      <c r="K157" s="57"/>
      <c r="L157" s="57"/>
      <c r="M157" s="57"/>
      <c r="N157" s="57"/>
      <c r="O157" s="57"/>
      <c r="P157" s="165"/>
      <c r="Q157" s="166"/>
      <c r="R157" s="167"/>
      <c r="S157" s="167"/>
      <c r="T157" s="167"/>
      <c r="U157" s="168"/>
      <c r="V157" s="168"/>
      <c r="W157" s="332"/>
    </row>
    <row r="158" spans="1:24" s="24" customFormat="1" ht="1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327"/>
      <c r="X158" s="1"/>
    </row>
    <row r="165" spans="108:108" ht="12.95" customHeight="1" x14ac:dyDescent="0.2">
      <c r="DD165" s="1"/>
    </row>
    <row r="166" spans="108:108" ht="12.95" customHeight="1" x14ac:dyDescent="0.2">
      <c r="DD166" s="1"/>
    </row>
    <row r="167" spans="108:108" ht="12.95" customHeight="1" x14ac:dyDescent="0.2">
      <c r="DD167" s="1"/>
    </row>
    <row r="168" spans="108:108" ht="12.95" customHeight="1" x14ac:dyDescent="0.2">
      <c r="DD168" s="1"/>
    </row>
    <row r="169" spans="108:108" ht="12.95" customHeight="1" x14ac:dyDescent="0.2">
      <c r="DD169" s="1"/>
    </row>
    <row r="170" spans="108:108" ht="12.95" customHeight="1" x14ac:dyDescent="0.2">
      <c r="DD170" s="1"/>
    </row>
    <row r="171" spans="108:108" ht="12.95" customHeight="1" x14ac:dyDescent="0.2">
      <c r="DD171" s="1"/>
    </row>
    <row r="172" spans="108:108" ht="12.95" customHeight="1" x14ac:dyDescent="0.2">
      <c r="DD172" s="1"/>
    </row>
    <row r="173" spans="108:108" ht="12.95" customHeight="1" x14ac:dyDescent="0.2">
      <c r="DD173" s="1"/>
    </row>
    <row r="174" spans="108:108" ht="12.95" customHeight="1" x14ac:dyDescent="0.2">
      <c r="DD174" s="1"/>
    </row>
    <row r="175" spans="108:108" ht="12.95" customHeight="1" x14ac:dyDescent="0.2">
      <c r="DD175" s="1"/>
    </row>
    <row r="176" spans="108:108" ht="12.95" customHeight="1" x14ac:dyDescent="0.2">
      <c r="DD176" s="1"/>
    </row>
    <row r="177" spans="108:108" ht="12.95" customHeight="1" x14ac:dyDescent="0.2">
      <c r="DD177" s="1"/>
    </row>
    <row r="178" spans="108:108" ht="12.95" customHeight="1" x14ac:dyDescent="0.2">
      <c r="DD178" s="1"/>
    </row>
    <row r="179" spans="108:108" ht="12.95" customHeight="1" x14ac:dyDescent="0.2">
      <c r="DD179" s="1"/>
    </row>
    <row r="180" spans="108:108" ht="12.95" customHeight="1" x14ac:dyDescent="0.2">
      <c r="DD180" s="1"/>
    </row>
    <row r="181" spans="108:108" ht="12.95" customHeight="1" x14ac:dyDescent="0.2">
      <c r="DD181" s="1"/>
    </row>
    <row r="182" spans="108:108" ht="12.95" customHeight="1" x14ac:dyDescent="0.2">
      <c r="DD182" s="1"/>
    </row>
    <row r="183" spans="108:108" ht="12.95" customHeight="1" x14ac:dyDescent="0.2">
      <c r="DD183" s="1"/>
    </row>
    <row r="184" spans="108:108" ht="12.95" customHeight="1" x14ac:dyDescent="0.2">
      <c r="DD184" s="1"/>
    </row>
    <row r="185" spans="108:108" ht="12.95" customHeight="1" x14ac:dyDescent="0.2">
      <c r="DD185" s="1"/>
    </row>
    <row r="186" spans="108:108" ht="12.95" customHeight="1" x14ac:dyDescent="0.2">
      <c r="DD186" s="1"/>
    </row>
    <row r="187" spans="108:108" ht="12.95" customHeight="1" x14ac:dyDescent="0.2">
      <c r="DD187" s="1"/>
    </row>
    <row r="188" spans="108:108" ht="12.95" customHeight="1" x14ac:dyDescent="0.2">
      <c r="DD188" s="1"/>
    </row>
    <row r="189" spans="108:108" ht="12.95" customHeight="1" x14ac:dyDescent="0.2">
      <c r="DD189" s="1"/>
    </row>
    <row r="190" spans="108:108" ht="12.95" customHeight="1" x14ac:dyDescent="0.2">
      <c r="DD190" s="1"/>
    </row>
    <row r="191" spans="108:108" ht="12.95" customHeight="1" x14ac:dyDescent="0.2">
      <c r="DD191" s="1"/>
    </row>
    <row r="192" spans="108:108" ht="12.95" customHeight="1" x14ac:dyDescent="0.2">
      <c r="DD192" s="1"/>
    </row>
    <row r="193" spans="108:108" ht="12.95" customHeight="1" x14ac:dyDescent="0.2">
      <c r="DD193" s="1"/>
    </row>
    <row r="194" spans="108:108" ht="12.95" customHeight="1" x14ac:dyDescent="0.2">
      <c r="DD194" s="1"/>
    </row>
    <row r="195" spans="108:108" ht="12.95" customHeight="1" x14ac:dyDescent="0.2">
      <c r="DD195" s="1"/>
    </row>
    <row r="196" spans="108:108" ht="12.95" customHeight="1" x14ac:dyDescent="0.2">
      <c r="DD196" s="1"/>
    </row>
    <row r="197" spans="108:108" ht="12.95" customHeight="1" x14ac:dyDescent="0.2">
      <c r="DD197" s="1"/>
    </row>
  </sheetData>
  <sheetProtection autoFilter="0"/>
  <mergeCells count="49">
    <mergeCell ref="G147:P147"/>
    <mergeCell ref="Q147:W147"/>
    <mergeCell ref="B51:B52"/>
    <mergeCell ref="C51:C52"/>
    <mergeCell ref="D51:D52"/>
    <mergeCell ref="E51:E52"/>
    <mergeCell ref="F51:F52"/>
    <mergeCell ref="B146:C146"/>
    <mergeCell ref="B147:B148"/>
    <mergeCell ref="C147:C148"/>
    <mergeCell ref="D147:D148"/>
    <mergeCell ref="E147:E148"/>
    <mergeCell ref="F147:F148"/>
    <mergeCell ref="B99:B100"/>
    <mergeCell ref="C99:C100"/>
    <mergeCell ref="D99:D100"/>
    <mergeCell ref="E99:E100"/>
    <mergeCell ref="F99:F100"/>
    <mergeCell ref="B115:B116"/>
    <mergeCell ref="C115:C116"/>
    <mergeCell ref="D115:D116"/>
    <mergeCell ref="E115:E116"/>
    <mergeCell ref="F115:F116"/>
    <mergeCell ref="B67:B68"/>
    <mergeCell ref="C67:C68"/>
    <mergeCell ref="D67:D68"/>
    <mergeCell ref="E67:E68"/>
    <mergeCell ref="F67:F68"/>
    <mergeCell ref="B83:B84"/>
    <mergeCell ref="C83:C84"/>
    <mergeCell ref="D83:D84"/>
    <mergeCell ref="E83:E84"/>
    <mergeCell ref="F83:F84"/>
    <mergeCell ref="B19:B20"/>
    <mergeCell ref="C19:C20"/>
    <mergeCell ref="D19:D20"/>
    <mergeCell ref="E19:E20"/>
    <mergeCell ref="F19:F20"/>
    <mergeCell ref="B35:B36"/>
    <mergeCell ref="C35:C36"/>
    <mergeCell ref="D35:D36"/>
    <mergeCell ref="E35:E36"/>
    <mergeCell ref="F35:F36"/>
    <mergeCell ref="B1:W1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65" max="23" man="1"/>
    <brk id="112" max="2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31C45-BECF-4AFD-AFED-5C6E4D564E14}">
  <sheetPr>
    <tabColor theme="4" tint="-0.249977111117893"/>
  </sheetPr>
  <dimension ref="A1:DD197"/>
  <sheetViews>
    <sheetView topLeftCell="A101" zoomScaleNormal="100" zoomScaleSheetLayoutView="100" workbookViewId="0">
      <selection activeCell="AA68" sqref="AA68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4.75" style="1" customWidth="1"/>
    <col min="7" max="24" width="5.125" style="1" customWidth="1"/>
    <col min="25" max="108" width="9" style="24"/>
    <col min="109" max="16384" width="9" style="1"/>
  </cols>
  <sheetData>
    <row r="1" spans="2:108" ht="17.25" customHeight="1" x14ac:dyDescent="0.2">
      <c r="B1" s="384" t="s">
        <v>100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297"/>
    </row>
    <row r="2" spans="2:108" s="5" customFormat="1" ht="15" customHeight="1" thickBot="1" x14ac:dyDescent="0.25">
      <c r="B2" s="2" t="s">
        <v>0</v>
      </c>
      <c r="C2" s="2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</row>
    <row r="3" spans="2:108" s="6" customFormat="1" ht="13.5" customHeight="1" thickBot="1" x14ac:dyDescent="0.25">
      <c r="B3" s="385" t="s">
        <v>1</v>
      </c>
      <c r="C3" s="387" t="s">
        <v>77</v>
      </c>
      <c r="D3" s="389" t="s">
        <v>2</v>
      </c>
      <c r="E3" s="385" t="s">
        <v>3</v>
      </c>
      <c r="F3" s="391" t="s">
        <v>111</v>
      </c>
      <c r="G3" s="213"/>
      <c r="H3" s="254" t="s">
        <v>5</v>
      </c>
      <c r="I3" s="254"/>
      <c r="J3" s="254"/>
      <c r="K3" s="254"/>
      <c r="L3" s="254"/>
      <c r="M3" s="254"/>
      <c r="N3" s="247" t="s">
        <v>6</v>
      </c>
      <c r="O3" s="248"/>
      <c r="P3" s="248"/>
      <c r="Q3" s="248"/>
      <c r="R3" s="248"/>
      <c r="S3" s="248"/>
      <c r="T3" s="248"/>
      <c r="U3" s="248"/>
      <c r="V3" s="248"/>
      <c r="W3" s="249"/>
      <c r="X3" s="249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</row>
    <row r="4" spans="2:108" s="6" customFormat="1" ht="40.5" customHeight="1" thickBot="1" x14ac:dyDescent="0.25">
      <c r="B4" s="386"/>
      <c r="C4" s="388"/>
      <c r="D4" s="390"/>
      <c r="E4" s="386"/>
      <c r="F4" s="392"/>
      <c r="G4" s="256" t="s">
        <v>123</v>
      </c>
      <c r="H4" s="153" t="s">
        <v>125</v>
      </c>
      <c r="I4" s="153" t="s">
        <v>127</v>
      </c>
      <c r="J4" s="153" t="s">
        <v>129</v>
      </c>
      <c r="K4" s="153" t="s">
        <v>158</v>
      </c>
      <c r="L4" s="153" t="s">
        <v>160</v>
      </c>
      <c r="M4" s="258" t="s">
        <v>162</v>
      </c>
      <c r="N4" s="304" t="s">
        <v>106</v>
      </c>
      <c r="O4" s="207" t="s">
        <v>18</v>
      </c>
      <c r="P4" s="207" t="s">
        <v>19</v>
      </c>
      <c r="Q4" s="207" t="s">
        <v>110</v>
      </c>
      <c r="R4" s="207" t="s">
        <v>20</v>
      </c>
      <c r="S4" s="305" t="s">
        <v>21</v>
      </c>
      <c r="T4" s="305" t="s">
        <v>109</v>
      </c>
      <c r="U4" s="306" t="s">
        <v>22</v>
      </c>
      <c r="V4" s="315" t="s">
        <v>110</v>
      </c>
      <c r="W4" s="304" t="s">
        <v>134</v>
      </c>
      <c r="X4" s="307" t="s">
        <v>111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</row>
    <row r="5" spans="2:108" ht="14.25" customHeight="1" x14ac:dyDescent="0.35">
      <c r="B5" s="259" t="s">
        <v>88</v>
      </c>
      <c r="C5" s="260"/>
      <c r="D5" s="261"/>
      <c r="E5" s="262"/>
      <c r="F5" s="263"/>
      <c r="G5" s="264"/>
      <c r="H5" s="265"/>
      <c r="I5" s="265"/>
      <c r="J5" s="265"/>
      <c r="K5" s="265"/>
      <c r="L5" s="265"/>
      <c r="M5" s="266"/>
      <c r="N5" s="308"/>
      <c r="O5" s="309"/>
      <c r="P5" s="310"/>
      <c r="Q5" s="309"/>
      <c r="R5" s="309"/>
      <c r="S5" s="311"/>
      <c r="T5" s="312"/>
      <c r="U5" s="313"/>
      <c r="V5" s="316"/>
      <c r="W5" s="319">
        <f>Q5*-3+T5*-1+V5*-1</f>
        <v>0</v>
      </c>
      <c r="X5" s="322"/>
      <c r="Y5" s="201"/>
      <c r="CZ5" s="1"/>
      <c r="DA5" s="1"/>
      <c r="DB5" s="1"/>
      <c r="DC5" s="1"/>
      <c r="DD5" s="1"/>
    </row>
    <row r="6" spans="2:108" ht="14.25" customHeight="1" x14ac:dyDescent="0.35">
      <c r="B6" s="267" t="s">
        <v>89</v>
      </c>
      <c r="C6" s="268"/>
      <c r="D6" s="269"/>
      <c r="E6" s="270"/>
      <c r="F6" s="271"/>
      <c r="G6" s="272"/>
      <c r="H6" s="273"/>
      <c r="I6" s="273"/>
      <c r="J6" s="273"/>
      <c r="K6" s="273"/>
      <c r="L6" s="273"/>
      <c r="M6" s="274"/>
      <c r="N6" s="275"/>
      <c r="O6" s="276"/>
      <c r="P6" s="277"/>
      <c r="Q6" s="276"/>
      <c r="R6" s="276"/>
      <c r="S6" s="278"/>
      <c r="T6" s="279"/>
      <c r="U6" s="280"/>
      <c r="V6" s="317"/>
      <c r="W6" s="320">
        <f>Q6*-3+T6*-1+V6*-1</f>
        <v>0</v>
      </c>
      <c r="X6" s="323"/>
      <c r="Y6" s="200"/>
      <c r="CZ6" s="1"/>
      <c r="DA6" s="1"/>
      <c r="DB6" s="1"/>
      <c r="DC6" s="1"/>
      <c r="DD6" s="1"/>
    </row>
    <row r="7" spans="2:108" ht="14.25" customHeight="1" x14ac:dyDescent="0.35">
      <c r="B7" s="267" t="s">
        <v>90</v>
      </c>
      <c r="C7" s="268"/>
      <c r="D7" s="269"/>
      <c r="E7" s="270"/>
      <c r="F7" s="271"/>
      <c r="G7" s="272"/>
      <c r="H7" s="273"/>
      <c r="I7" s="273"/>
      <c r="J7" s="273"/>
      <c r="K7" s="273"/>
      <c r="L7" s="273"/>
      <c r="M7" s="274"/>
      <c r="N7" s="275"/>
      <c r="O7" s="276"/>
      <c r="P7" s="277"/>
      <c r="Q7" s="276"/>
      <c r="R7" s="276"/>
      <c r="S7" s="278"/>
      <c r="T7" s="279"/>
      <c r="U7" s="280"/>
      <c r="V7" s="317"/>
      <c r="W7" s="320">
        <f t="shared" ref="W7:W12" si="0">Q7*-3+T7*-1+V7*-1</f>
        <v>0</v>
      </c>
      <c r="X7" s="323"/>
      <c r="Y7" s="201"/>
      <c r="CZ7" s="1"/>
      <c r="DA7" s="1"/>
      <c r="DB7" s="1"/>
      <c r="DC7" s="1"/>
      <c r="DD7" s="1"/>
    </row>
    <row r="8" spans="2:108" ht="14.25" customHeight="1" x14ac:dyDescent="0.35">
      <c r="B8" s="267" t="s">
        <v>91</v>
      </c>
      <c r="C8" s="268"/>
      <c r="D8" s="269"/>
      <c r="E8" s="270"/>
      <c r="F8" s="271"/>
      <c r="G8" s="272"/>
      <c r="H8" s="273"/>
      <c r="I8" s="273"/>
      <c r="J8" s="273"/>
      <c r="K8" s="273"/>
      <c r="L8" s="273"/>
      <c r="M8" s="274"/>
      <c r="N8" s="275"/>
      <c r="O8" s="276"/>
      <c r="P8" s="277"/>
      <c r="Q8" s="276"/>
      <c r="R8" s="276"/>
      <c r="S8" s="278"/>
      <c r="T8" s="279"/>
      <c r="U8" s="280"/>
      <c r="V8" s="317"/>
      <c r="W8" s="320">
        <f t="shared" si="0"/>
        <v>0</v>
      </c>
      <c r="X8" s="323"/>
      <c r="Y8" s="200"/>
      <c r="CZ8" s="1"/>
      <c r="DA8" s="1"/>
      <c r="DB8" s="1"/>
      <c r="DC8" s="1"/>
      <c r="DD8" s="1"/>
    </row>
    <row r="9" spans="2:108" ht="14.25" customHeight="1" x14ac:dyDescent="0.35">
      <c r="B9" s="267" t="s">
        <v>92</v>
      </c>
      <c r="C9" s="268"/>
      <c r="D9" s="269"/>
      <c r="E9" s="270"/>
      <c r="F9" s="271"/>
      <c r="G9" s="272"/>
      <c r="H9" s="273"/>
      <c r="I9" s="273"/>
      <c r="J9" s="273"/>
      <c r="K9" s="273"/>
      <c r="L9" s="273"/>
      <c r="M9" s="274"/>
      <c r="N9" s="275"/>
      <c r="O9" s="276"/>
      <c r="P9" s="277"/>
      <c r="Q9" s="276"/>
      <c r="R9" s="276"/>
      <c r="S9" s="278"/>
      <c r="T9" s="279"/>
      <c r="U9" s="280"/>
      <c r="V9" s="317"/>
      <c r="W9" s="320">
        <f t="shared" si="0"/>
        <v>0</v>
      </c>
      <c r="X9" s="323"/>
      <c r="Y9" s="201"/>
      <c r="CZ9" s="1"/>
      <c r="DA9" s="1"/>
      <c r="DB9" s="1"/>
      <c r="DC9" s="1"/>
      <c r="DD9" s="1"/>
    </row>
    <row r="10" spans="2:108" ht="14.25" customHeight="1" x14ac:dyDescent="0.35">
      <c r="B10" s="267" t="s">
        <v>93</v>
      </c>
      <c r="C10" s="268"/>
      <c r="D10" s="269"/>
      <c r="E10" s="270"/>
      <c r="F10" s="271"/>
      <c r="G10" s="272"/>
      <c r="H10" s="273"/>
      <c r="I10" s="273"/>
      <c r="J10" s="273"/>
      <c r="K10" s="273"/>
      <c r="L10" s="273"/>
      <c r="M10" s="274"/>
      <c r="N10" s="275"/>
      <c r="O10" s="276"/>
      <c r="P10" s="277"/>
      <c r="Q10" s="276"/>
      <c r="R10" s="276"/>
      <c r="S10" s="278"/>
      <c r="T10" s="279"/>
      <c r="U10" s="280"/>
      <c r="V10" s="317"/>
      <c r="W10" s="320">
        <f t="shared" si="0"/>
        <v>0</v>
      </c>
      <c r="X10" s="323"/>
      <c r="Y10" s="200"/>
      <c r="CZ10" s="1"/>
      <c r="DA10" s="1"/>
      <c r="DB10" s="1"/>
      <c r="DC10" s="1"/>
      <c r="DD10" s="1"/>
    </row>
    <row r="11" spans="2:108" ht="14.25" customHeight="1" x14ac:dyDescent="0.35">
      <c r="B11" s="267" t="s">
        <v>94</v>
      </c>
      <c r="C11" s="268"/>
      <c r="D11" s="269"/>
      <c r="E11" s="270"/>
      <c r="F11" s="271"/>
      <c r="G11" s="272"/>
      <c r="H11" s="273"/>
      <c r="I11" s="273"/>
      <c r="J11" s="273"/>
      <c r="K11" s="273"/>
      <c r="L11" s="273"/>
      <c r="M11" s="274"/>
      <c r="N11" s="275"/>
      <c r="O11" s="276"/>
      <c r="P11" s="277"/>
      <c r="Q11" s="276"/>
      <c r="R11" s="276"/>
      <c r="S11" s="278"/>
      <c r="T11" s="279"/>
      <c r="U11" s="280"/>
      <c r="V11" s="317"/>
      <c r="W11" s="320">
        <f t="shared" si="0"/>
        <v>0</v>
      </c>
      <c r="X11" s="323"/>
      <c r="Y11" s="201"/>
      <c r="CZ11" s="1"/>
      <c r="DA11" s="1"/>
      <c r="DB11" s="1"/>
      <c r="DC11" s="1"/>
      <c r="DD11" s="1"/>
    </row>
    <row r="12" spans="2:108" ht="14.25" customHeight="1" thickBot="1" x14ac:dyDescent="0.4">
      <c r="B12" s="282" t="s">
        <v>95</v>
      </c>
      <c r="C12" s="283"/>
      <c r="D12" s="284"/>
      <c r="E12" s="285"/>
      <c r="F12" s="286"/>
      <c r="G12" s="287"/>
      <c r="H12" s="288"/>
      <c r="I12" s="288"/>
      <c r="J12" s="288"/>
      <c r="K12" s="288"/>
      <c r="L12" s="288"/>
      <c r="M12" s="289"/>
      <c r="N12" s="290"/>
      <c r="O12" s="291"/>
      <c r="P12" s="292"/>
      <c r="Q12" s="291"/>
      <c r="R12" s="291"/>
      <c r="S12" s="293"/>
      <c r="T12" s="294"/>
      <c r="U12" s="295"/>
      <c r="V12" s="318"/>
      <c r="W12" s="320">
        <f t="shared" si="0"/>
        <v>0</v>
      </c>
      <c r="X12" s="324"/>
      <c r="Y12" s="200"/>
      <c r="CZ12" s="1"/>
      <c r="DA12" s="1"/>
      <c r="DB12" s="1"/>
      <c r="DC12" s="1"/>
      <c r="DD12" s="1"/>
    </row>
    <row r="13" spans="2:108" ht="14.25" customHeight="1" thickBot="1" x14ac:dyDescent="0.25">
      <c r="B13" s="171"/>
      <c r="C13" s="241"/>
      <c r="D13" s="250"/>
      <c r="E13" s="251"/>
      <c r="F13" s="252"/>
      <c r="G13" s="255"/>
      <c r="H13" s="245"/>
      <c r="I13" s="245"/>
      <c r="J13" s="245"/>
      <c r="K13" s="245"/>
      <c r="L13" s="245"/>
      <c r="M13" s="246"/>
      <c r="N13" s="257"/>
      <c r="O13" s="192">
        <f>SUM(O5:O12)</f>
        <v>0</v>
      </c>
      <c r="P13" s="191" t="e">
        <f>AVERAGE(P5:P12)</f>
        <v>#DIV/0!</v>
      </c>
      <c r="Q13" s="191"/>
      <c r="R13" s="192">
        <f>SUM(R5:R12)</f>
        <v>0</v>
      </c>
      <c r="S13" s="191" t="e">
        <f>AVERAGE(S5:S12)</f>
        <v>#DIV/0!</v>
      </c>
      <c r="T13" s="191"/>
      <c r="U13" s="253" t="e">
        <f>AVERAGE(U5:U12)</f>
        <v>#DIV/0!</v>
      </c>
      <c r="V13" s="303"/>
      <c r="W13" s="257"/>
      <c r="X13" s="193"/>
      <c r="Y13" s="201"/>
      <c r="CZ13" s="1"/>
      <c r="DA13" s="1"/>
      <c r="DB13" s="1"/>
      <c r="DC13" s="1"/>
      <c r="DD13" s="1"/>
    </row>
    <row r="14" spans="2:108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5"/>
      <c r="U14" s="175"/>
      <c r="V14" s="175"/>
      <c r="W14" s="175"/>
      <c r="X14" s="175"/>
    </row>
    <row r="15" spans="2:108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5"/>
      <c r="U15" s="175"/>
      <c r="V15" s="175"/>
      <c r="W15" s="175"/>
      <c r="X15" s="175"/>
    </row>
    <row r="16" spans="2:108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175"/>
      <c r="X16" s="175"/>
    </row>
    <row r="17" spans="1:108" ht="14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</row>
    <row r="18" spans="1:108" ht="50.25" customHeight="1" thickBot="1" x14ac:dyDescent="0.25">
      <c r="B18" s="17" t="s">
        <v>23</v>
      </c>
      <c r="C18" s="17"/>
    </row>
    <row r="19" spans="1:108" ht="18" customHeight="1" thickBot="1" x14ac:dyDescent="0.25">
      <c r="A19" s="6"/>
      <c r="B19" s="385" t="s">
        <v>1</v>
      </c>
      <c r="C19" s="387" t="s">
        <v>77</v>
      </c>
      <c r="D19" s="389" t="s">
        <v>2</v>
      </c>
      <c r="E19" s="385" t="s">
        <v>3</v>
      </c>
      <c r="F19" s="391" t="s">
        <v>111</v>
      </c>
      <c r="G19" s="213"/>
      <c r="H19" s="254" t="s">
        <v>5</v>
      </c>
      <c r="I19" s="254"/>
      <c r="J19" s="254"/>
      <c r="K19" s="254"/>
      <c r="L19" s="254"/>
      <c r="M19" s="254"/>
      <c r="N19" s="247" t="s">
        <v>6</v>
      </c>
      <c r="O19" s="248"/>
      <c r="P19" s="248"/>
      <c r="Q19" s="248"/>
      <c r="R19" s="248"/>
      <c r="S19" s="248"/>
      <c r="T19" s="248"/>
      <c r="U19" s="248"/>
      <c r="V19" s="248"/>
      <c r="W19" s="249"/>
      <c r="X19" s="249"/>
      <c r="CX19" s="1"/>
      <c r="CY19" s="1"/>
      <c r="CZ19" s="1"/>
      <c r="DA19" s="1"/>
      <c r="DB19" s="1"/>
      <c r="DC19" s="1"/>
      <c r="DD19" s="1"/>
    </row>
    <row r="20" spans="1:108" s="6" customFormat="1" ht="36" customHeight="1" thickBot="1" x14ac:dyDescent="0.25">
      <c r="B20" s="386"/>
      <c r="C20" s="388"/>
      <c r="D20" s="390"/>
      <c r="E20" s="386"/>
      <c r="F20" s="392"/>
      <c r="G20" s="256" t="s">
        <v>122</v>
      </c>
      <c r="H20" s="153" t="s">
        <v>124</v>
      </c>
      <c r="I20" s="153" t="s">
        <v>126</v>
      </c>
      <c r="J20" s="153" t="s">
        <v>128</v>
      </c>
      <c r="K20" s="153" t="s">
        <v>157</v>
      </c>
      <c r="L20" s="153" t="s">
        <v>159</v>
      </c>
      <c r="M20" s="258" t="s">
        <v>161</v>
      </c>
      <c r="N20" s="304" t="s">
        <v>106</v>
      </c>
      <c r="O20" s="207" t="s">
        <v>18</v>
      </c>
      <c r="P20" s="207" t="s">
        <v>19</v>
      </c>
      <c r="Q20" s="207" t="s">
        <v>110</v>
      </c>
      <c r="R20" s="207" t="s">
        <v>20</v>
      </c>
      <c r="S20" s="305" t="s">
        <v>21</v>
      </c>
      <c r="T20" s="305" t="s">
        <v>109</v>
      </c>
      <c r="U20" s="306" t="s">
        <v>22</v>
      </c>
      <c r="V20" s="315" t="s">
        <v>110</v>
      </c>
      <c r="W20" s="304" t="s">
        <v>3</v>
      </c>
      <c r="X20" s="307" t="s">
        <v>133</v>
      </c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</row>
    <row r="21" spans="1:108" s="6" customFormat="1" ht="17.25" customHeight="1" x14ac:dyDescent="0.35">
      <c r="A21" s="1"/>
      <c r="B21" s="259" t="s">
        <v>88</v>
      </c>
      <c r="C21" s="260"/>
      <c r="D21" s="261"/>
      <c r="E21" s="262"/>
      <c r="F21" s="263"/>
      <c r="G21" s="264"/>
      <c r="H21" s="265"/>
      <c r="I21" s="265"/>
      <c r="J21" s="265"/>
      <c r="K21" s="265"/>
      <c r="L21" s="265"/>
      <c r="M21" s="266"/>
      <c r="N21" s="308"/>
      <c r="O21" s="309"/>
      <c r="P21" s="310"/>
      <c r="Q21" s="309"/>
      <c r="R21" s="309"/>
      <c r="S21" s="311"/>
      <c r="T21" s="312"/>
      <c r="U21" s="313"/>
      <c r="V21" s="316"/>
      <c r="W21" s="319">
        <f>Q21*-3+T21*-1+V21*-1</f>
        <v>0</v>
      </c>
      <c r="X21" s="322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</row>
    <row r="22" spans="1:108" ht="15.75" customHeight="1" x14ac:dyDescent="0.35">
      <c r="B22" s="267" t="s">
        <v>89</v>
      </c>
      <c r="C22" s="268"/>
      <c r="D22" s="269"/>
      <c r="E22" s="270"/>
      <c r="F22" s="271"/>
      <c r="G22" s="272"/>
      <c r="H22" s="273"/>
      <c r="I22" s="273"/>
      <c r="J22" s="273"/>
      <c r="K22" s="273"/>
      <c r="L22" s="273"/>
      <c r="M22" s="274"/>
      <c r="N22" s="275"/>
      <c r="O22" s="276"/>
      <c r="P22" s="277"/>
      <c r="Q22" s="276"/>
      <c r="R22" s="276"/>
      <c r="S22" s="278"/>
      <c r="T22" s="279"/>
      <c r="U22" s="280"/>
      <c r="V22" s="317"/>
      <c r="W22" s="320">
        <f>Q22*-3+T22*-1+V22*-1</f>
        <v>0</v>
      </c>
      <c r="X22" s="323"/>
      <c r="CX22" s="1"/>
      <c r="CY22" s="1"/>
      <c r="CZ22" s="1"/>
      <c r="DA22" s="1"/>
      <c r="DB22" s="1"/>
      <c r="DC22" s="1"/>
      <c r="DD22" s="1"/>
    </row>
    <row r="23" spans="1:108" ht="15.75" customHeight="1" x14ac:dyDescent="0.35">
      <c r="B23" s="267" t="s">
        <v>90</v>
      </c>
      <c r="C23" s="268"/>
      <c r="D23" s="269"/>
      <c r="E23" s="270"/>
      <c r="F23" s="271"/>
      <c r="G23" s="272"/>
      <c r="H23" s="273"/>
      <c r="I23" s="273"/>
      <c r="J23" s="273"/>
      <c r="K23" s="273"/>
      <c r="L23" s="273"/>
      <c r="M23" s="274"/>
      <c r="N23" s="275"/>
      <c r="O23" s="276"/>
      <c r="P23" s="277"/>
      <c r="Q23" s="276"/>
      <c r="R23" s="276"/>
      <c r="S23" s="278"/>
      <c r="T23" s="279"/>
      <c r="U23" s="280"/>
      <c r="V23" s="317"/>
      <c r="W23" s="320">
        <f t="shared" ref="W23:W28" si="1">Q23*-3+T23*-1+V23*-1</f>
        <v>0</v>
      </c>
      <c r="X23" s="323"/>
      <c r="CX23" s="1"/>
      <c r="CY23" s="1"/>
      <c r="CZ23" s="1"/>
      <c r="DA23" s="1"/>
      <c r="DB23" s="1"/>
      <c r="DC23" s="1"/>
      <c r="DD23" s="1"/>
    </row>
    <row r="24" spans="1:108" ht="15.75" customHeight="1" x14ac:dyDescent="0.35">
      <c r="B24" s="267" t="s">
        <v>91</v>
      </c>
      <c r="C24" s="268"/>
      <c r="D24" s="269"/>
      <c r="E24" s="270"/>
      <c r="F24" s="271"/>
      <c r="G24" s="272"/>
      <c r="H24" s="273"/>
      <c r="I24" s="273"/>
      <c r="J24" s="273"/>
      <c r="K24" s="273"/>
      <c r="L24" s="273"/>
      <c r="M24" s="274"/>
      <c r="N24" s="275"/>
      <c r="O24" s="276"/>
      <c r="P24" s="277"/>
      <c r="Q24" s="276"/>
      <c r="R24" s="276"/>
      <c r="S24" s="278"/>
      <c r="T24" s="279"/>
      <c r="U24" s="280"/>
      <c r="V24" s="317"/>
      <c r="W24" s="320">
        <f t="shared" si="1"/>
        <v>0</v>
      </c>
      <c r="X24" s="323"/>
      <c r="CX24" s="1"/>
      <c r="CY24" s="1"/>
      <c r="CZ24" s="1"/>
      <c r="DA24" s="1"/>
      <c r="DB24" s="1"/>
      <c r="DC24" s="1"/>
      <c r="DD24" s="1"/>
    </row>
    <row r="25" spans="1:108" ht="15.75" customHeight="1" x14ac:dyDescent="0.35">
      <c r="B25" s="267" t="s">
        <v>92</v>
      </c>
      <c r="C25" s="268"/>
      <c r="D25" s="269"/>
      <c r="E25" s="270"/>
      <c r="F25" s="271"/>
      <c r="G25" s="272"/>
      <c r="H25" s="273"/>
      <c r="I25" s="273"/>
      <c r="J25" s="273"/>
      <c r="K25" s="273"/>
      <c r="L25" s="273"/>
      <c r="M25" s="274"/>
      <c r="N25" s="275"/>
      <c r="O25" s="276"/>
      <c r="P25" s="277"/>
      <c r="Q25" s="276"/>
      <c r="R25" s="276"/>
      <c r="S25" s="278"/>
      <c r="T25" s="279"/>
      <c r="U25" s="280"/>
      <c r="V25" s="317"/>
      <c r="W25" s="320">
        <f t="shared" si="1"/>
        <v>0</v>
      </c>
      <c r="X25" s="323"/>
      <c r="CX25" s="1"/>
      <c r="CY25" s="1"/>
      <c r="CZ25" s="1"/>
      <c r="DA25" s="1"/>
      <c r="DB25" s="1"/>
      <c r="DC25" s="1"/>
      <c r="DD25" s="1"/>
    </row>
    <row r="26" spans="1:108" ht="15.75" customHeight="1" x14ac:dyDescent="0.35">
      <c r="B26" s="267" t="s">
        <v>93</v>
      </c>
      <c r="C26" s="268"/>
      <c r="D26" s="269"/>
      <c r="E26" s="270"/>
      <c r="F26" s="271"/>
      <c r="G26" s="272"/>
      <c r="H26" s="273"/>
      <c r="I26" s="273"/>
      <c r="J26" s="273"/>
      <c r="K26" s="273"/>
      <c r="L26" s="273"/>
      <c r="M26" s="274"/>
      <c r="N26" s="275"/>
      <c r="O26" s="276"/>
      <c r="P26" s="277"/>
      <c r="Q26" s="276"/>
      <c r="R26" s="276"/>
      <c r="S26" s="278"/>
      <c r="T26" s="279"/>
      <c r="U26" s="280"/>
      <c r="V26" s="317"/>
      <c r="W26" s="320">
        <f t="shared" si="1"/>
        <v>0</v>
      </c>
      <c r="X26" s="323"/>
      <c r="CX26" s="1"/>
      <c r="CY26" s="1"/>
      <c r="CZ26" s="1"/>
      <c r="DA26" s="1"/>
      <c r="DB26" s="1"/>
      <c r="DC26" s="1"/>
      <c r="DD26" s="1"/>
    </row>
    <row r="27" spans="1:108" ht="15.75" customHeight="1" x14ac:dyDescent="0.35">
      <c r="B27" s="267" t="s">
        <v>94</v>
      </c>
      <c r="C27" s="268"/>
      <c r="D27" s="269"/>
      <c r="E27" s="270"/>
      <c r="F27" s="271"/>
      <c r="G27" s="272"/>
      <c r="H27" s="273"/>
      <c r="I27" s="273"/>
      <c r="J27" s="273"/>
      <c r="K27" s="273"/>
      <c r="L27" s="273"/>
      <c r="M27" s="274"/>
      <c r="N27" s="275"/>
      <c r="O27" s="276"/>
      <c r="P27" s="277"/>
      <c r="Q27" s="276"/>
      <c r="R27" s="276"/>
      <c r="S27" s="278"/>
      <c r="T27" s="279"/>
      <c r="U27" s="280"/>
      <c r="V27" s="317"/>
      <c r="W27" s="320">
        <f t="shared" si="1"/>
        <v>0</v>
      </c>
      <c r="X27" s="323"/>
      <c r="CX27" s="1"/>
      <c r="CY27" s="1"/>
      <c r="CZ27" s="1"/>
      <c r="DA27" s="1"/>
      <c r="DB27" s="1"/>
      <c r="DC27" s="1"/>
      <c r="DD27" s="1"/>
    </row>
    <row r="28" spans="1:108" ht="15.75" customHeight="1" thickBot="1" x14ac:dyDescent="0.4">
      <c r="B28" s="282" t="s">
        <v>95</v>
      </c>
      <c r="C28" s="283"/>
      <c r="D28" s="284"/>
      <c r="E28" s="285"/>
      <c r="F28" s="286"/>
      <c r="G28" s="287"/>
      <c r="H28" s="288"/>
      <c r="I28" s="288"/>
      <c r="J28" s="288"/>
      <c r="K28" s="288"/>
      <c r="L28" s="288"/>
      <c r="M28" s="289"/>
      <c r="N28" s="290"/>
      <c r="O28" s="291"/>
      <c r="P28" s="292"/>
      <c r="Q28" s="291"/>
      <c r="R28" s="291"/>
      <c r="S28" s="293"/>
      <c r="T28" s="294"/>
      <c r="U28" s="295"/>
      <c r="V28" s="318"/>
      <c r="W28" s="320">
        <f t="shared" si="1"/>
        <v>0</v>
      </c>
      <c r="X28" s="324"/>
      <c r="CX28" s="1"/>
      <c r="CY28" s="1"/>
      <c r="CZ28" s="1"/>
      <c r="DA28" s="1"/>
      <c r="DB28" s="1"/>
      <c r="DC28" s="1"/>
      <c r="DD28" s="1"/>
    </row>
    <row r="29" spans="1:108" ht="15.75" customHeight="1" thickBot="1" x14ac:dyDescent="0.25">
      <c r="B29" s="171"/>
      <c r="C29" s="241"/>
      <c r="D29" s="250"/>
      <c r="E29" s="251"/>
      <c r="F29" s="252"/>
      <c r="G29" s="255"/>
      <c r="H29" s="245"/>
      <c r="I29" s="245"/>
      <c r="J29" s="245"/>
      <c r="K29" s="245"/>
      <c r="L29" s="245"/>
      <c r="M29" s="246"/>
      <c r="N29" s="257"/>
      <c r="O29" s="192">
        <f>SUM(O21:O28)</f>
        <v>0</v>
      </c>
      <c r="P29" s="191" t="e">
        <f>AVERAGE(P21:P28)</f>
        <v>#DIV/0!</v>
      </c>
      <c r="Q29" s="191"/>
      <c r="R29" s="192">
        <f>SUM(R21:R28)</f>
        <v>0</v>
      </c>
      <c r="S29" s="191" t="e">
        <f>AVERAGE(S21:S28)</f>
        <v>#DIV/0!</v>
      </c>
      <c r="T29" s="191"/>
      <c r="U29" s="253" t="e">
        <f>AVERAGE(U21:U28)</f>
        <v>#DIV/0!</v>
      </c>
      <c r="V29" s="303"/>
      <c r="W29" s="257"/>
      <c r="X29" s="193"/>
      <c r="CX29" s="1"/>
      <c r="CY29" s="1"/>
      <c r="CZ29" s="1"/>
      <c r="DA29" s="1"/>
      <c r="DB29" s="1"/>
      <c r="DC29" s="1"/>
      <c r="DD29" s="1"/>
    </row>
    <row r="30" spans="1:108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</row>
    <row r="31" spans="1:108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</row>
    <row r="32" spans="1:108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175"/>
      <c r="X32" s="175"/>
    </row>
    <row r="33" spans="1:108" ht="15.7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</row>
    <row r="34" spans="1:108" ht="58.5" customHeight="1" thickBot="1" x14ac:dyDescent="0.25">
      <c r="B34" s="17" t="s">
        <v>25</v>
      </c>
      <c r="C34" s="17"/>
    </row>
    <row r="35" spans="1:108" ht="15" customHeight="1" thickBot="1" x14ac:dyDescent="0.25">
      <c r="A35" s="6"/>
      <c r="B35" s="385" t="s">
        <v>1</v>
      </c>
      <c r="C35" s="387" t="s">
        <v>77</v>
      </c>
      <c r="D35" s="389" t="s">
        <v>2</v>
      </c>
      <c r="E35" s="385" t="s">
        <v>3</v>
      </c>
      <c r="F35" s="391" t="s">
        <v>111</v>
      </c>
      <c r="G35" s="213"/>
      <c r="H35" s="254" t="s">
        <v>5</v>
      </c>
      <c r="I35" s="254"/>
      <c r="J35" s="254"/>
      <c r="K35" s="254"/>
      <c r="L35" s="254"/>
      <c r="M35" s="254"/>
      <c r="N35" s="247" t="s">
        <v>6</v>
      </c>
      <c r="O35" s="248"/>
      <c r="P35" s="248"/>
      <c r="Q35" s="248"/>
      <c r="R35" s="248"/>
      <c r="S35" s="248"/>
      <c r="T35" s="248"/>
      <c r="U35" s="248"/>
      <c r="V35" s="248"/>
      <c r="W35" s="249"/>
      <c r="X35" s="249"/>
      <c r="CX35" s="1"/>
      <c r="CY35" s="1"/>
      <c r="CZ35" s="1"/>
      <c r="DA35" s="1"/>
      <c r="DB35" s="1"/>
      <c r="DC35" s="1"/>
      <c r="DD35" s="1"/>
    </row>
    <row r="36" spans="1:108" s="6" customFormat="1" ht="33.75" customHeight="1" thickBot="1" x14ac:dyDescent="0.25">
      <c r="B36" s="386"/>
      <c r="C36" s="388"/>
      <c r="D36" s="390"/>
      <c r="E36" s="386"/>
      <c r="F36" s="392"/>
      <c r="G36" s="256" t="s">
        <v>122</v>
      </c>
      <c r="H36" s="153" t="s">
        <v>124</v>
      </c>
      <c r="I36" s="153" t="s">
        <v>126</v>
      </c>
      <c r="J36" s="153" t="s">
        <v>128</v>
      </c>
      <c r="K36" s="153" t="s">
        <v>157</v>
      </c>
      <c r="L36" s="153" t="s">
        <v>159</v>
      </c>
      <c r="M36" s="258" t="s">
        <v>161</v>
      </c>
      <c r="N36" s="304" t="s">
        <v>106</v>
      </c>
      <c r="O36" s="207" t="s">
        <v>18</v>
      </c>
      <c r="P36" s="207" t="s">
        <v>19</v>
      </c>
      <c r="Q36" s="207" t="s">
        <v>110</v>
      </c>
      <c r="R36" s="207" t="s">
        <v>20</v>
      </c>
      <c r="S36" s="305" t="s">
        <v>21</v>
      </c>
      <c r="T36" s="305" t="s">
        <v>109</v>
      </c>
      <c r="U36" s="306" t="s">
        <v>22</v>
      </c>
      <c r="V36" s="315" t="s">
        <v>110</v>
      </c>
      <c r="W36" s="304" t="s">
        <v>3</v>
      </c>
      <c r="X36" s="307" t="s">
        <v>133</v>
      </c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</row>
    <row r="37" spans="1:108" s="6" customFormat="1" ht="15" customHeight="1" x14ac:dyDescent="0.35">
      <c r="A37" s="1"/>
      <c r="B37" s="259" t="s">
        <v>88</v>
      </c>
      <c r="C37" s="260"/>
      <c r="D37" s="261"/>
      <c r="E37" s="262"/>
      <c r="F37" s="263"/>
      <c r="G37" s="264"/>
      <c r="H37" s="265"/>
      <c r="I37" s="265"/>
      <c r="J37" s="265"/>
      <c r="K37" s="265"/>
      <c r="L37" s="265"/>
      <c r="M37" s="266"/>
      <c r="N37" s="308"/>
      <c r="O37" s="309"/>
      <c r="P37" s="310"/>
      <c r="Q37" s="309"/>
      <c r="R37" s="309"/>
      <c r="S37" s="311"/>
      <c r="T37" s="312"/>
      <c r="U37" s="313"/>
      <c r="V37" s="316"/>
      <c r="W37" s="319">
        <f>Q37*-3+T37*-1+V37*-1</f>
        <v>0</v>
      </c>
      <c r="X37" s="322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</row>
    <row r="38" spans="1:108" ht="15" customHeight="1" x14ac:dyDescent="0.35">
      <c r="B38" s="267" t="s">
        <v>89</v>
      </c>
      <c r="C38" s="268"/>
      <c r="D38" s="269"/>
      <c r="E38" s="270"/>
      <c r="F38" s="271"/>
      <c r="G38" s="272"/>
      <c r="H38" s="273"/>
      <c r="I38" s="273"/>
      <c r="J38" s="273"/>
      <c r="K38" s="273"/>
      <c r="L38" s="273"/>
      <c r="M38" s="274"/>
      <c r="N38" s="275"/>
      <c r="O38" s="276"/>
      <c r="P38" s="277"/>
      <c r="Q38" s="276"/>
      <c r="R38" s="276"/>
      <c r="S38" s="278"/>
      <c r="T38" s="279"/>
      <c r="U38" s="280"/>
      <c r="V38" s="317"/>
      <c r="W38" s="320">
        <f>Q38*-3+T38*-1+V38*-1</f>
        <v>0</v>
      </c>
      <c r="X38" s="323"/>
      <c r="CX38" s="1"/>
      <c r="CY38" s="1"/>
      <c r="CZ38" s="1"/>
      <c r="DA38" s="1"/>
      <c r="DB38" s="1"/>
      <c r="DC38" s="1"/>
      <c r="DD38" s="1"/>
    </row>
    <row r="39" spans="1:108" ht="15" customHeight="1" x14ac:dyDescent="0.35">
      <c r="B39" s="267" t="s">
        <v>90</v>
      </c>
      <c r="C39" s="268"/>
      <c r="D39" s="269"/>
      <c r="E39" s="270"/>
      <c r="F39" s="271"/>
      <c r="G39" s="272"/>
      <c r="H39" s="273"/>
      <c r="I39" s="273"/>
      <c r="J39" s="273"/>
      <c r="K39" s="273"/>
      <c r="L39" s="273"/>
      <c r="M39" s="274"/>
      <c r="N39" s="275"/>
      <c r="O39" s="276"/>
      <c r="P39" s="277"/>
      <c r="Q39" s="276"/>
      <c r="R39" s="276"/>
      <c r="S39" s="278"/>
      <c r="T39" s="279"/>
      <c r="U39" s="280"/>
      <c r="V39" s="317"/>
      <c r="W39" s="320">
        <f t="shared" ref="W39:W44" si="2">Q39*-3+T39*-1+V39*-1</f>
        <v>0</v>
      </c>
      <c r="X39" s="323"/>
      <c r="CX39" s="1"/>
      <c r="CY39" s="1"/>
      <c r="CZ39" s="1"/>
      <c r="DA39" s="1"/>
      <c r="DB39" s="1"/>
      <c r="DC39" s="1"/>
      <c r="DD39" s="1"/>
    </row>
    <row r="40" spans="1:108" ht="15" customHeight="1" x14ac:dyDescent="0.35">
      <c r="B40" s="267" t="s">
        <v>91</v>
      </c>
      <c r="C40" s="268"/>
      <c r="D40" s="269"/>
      <c r="E40" s="270"/>
      <c r="F40" s="271"/>
      <c r="G40" s="272"/>
      <c r="H40" s="273"/>
      <c r="I40" s="273"/>
      <c r="J40" s="273"/>
      <c r="K40" s="273"/>
      <c r="L40" s="273"/>
      <c r="M40" s="274"/>
      <c r="N40" s="275"/>
      <c r="O40" s="276"/>
      <c r="P40" s="277"/>
      <c r="Q40" s="276"/>
      <c r="R40" s="276"/>
      <c r="S40" s="278"/>
      <c r="T40" s="279"/>
      <c r="U40" s="280"/>
      <c r="V40" s="317"/>
      <c r="W40" s="320">
        <f t="shared" si="2"/>
        <v>0</v>
      </c>
      <c r="X40" s="323"/>
      <c r="CX40" s="1"/>
      <c r="CY40" s="1"/>
      <c r="CZ40" s="1"/>
      <c r="DA40" s="1"/>
      <c r="DB40" s="1"/>
      <c r="DC40" s="1"/>
      <c r="DD40" s="1"/>
    </row>
    <row r="41" spans="1:108" ht="15" customHeight="1" x14ac:dyDescent="0.35">
      <c r="B41" s="267" t="s">
        <v>92</v>
      </c>
      <c r="C41" s="268"/>
      <c r="D41" s="269"/>
      <c r="E41" s="270"/>
      <c r="F41" s="271"/>
      <c r="G41" s="272"/>
      <c r="H41" s="273"/>
      <c r="I41" s="273"/>
      <c r="J41" s="273"/>
      <c r="K41" s="273"/>
      <c r="L41" s="273"/>
      <c r="M41" s="274"/>
      <c r="N41" s="275"/>
      <c r="O41" s="276"/>
      <c r="P41" s="277"/>
      <c r="Q41" s="276"/>
      <c r="R41" s="276"/>
      <c r="S41" s="278"/>
      <c r="T41" s="279"/>
      <c r="U41" s="280"/>
      <c r="V41" s="317"/>
      <c r="W41" s="320">
        <f t="shared" si="2"/>
        <v>0</v>
      </c>
      <c r="X41" s="323"/>
      <c r="CX41" s="1"/>
      <c r="CY41" s="1"/>
      <c r="CZ41" s="1"/>
      <c r="DA41" s="1"/>
      <c r="DB41" s="1"/>
      <c r="DC41" s="1"/>
      <c r="DD41" s="1"/>
    </row>
    <row r="42" spans="1:108" ht="15" customHeight="1" x14ac:dyDescent="0.35">
      <c r="B42" s="267" t="s">
        <v>93</v>
      </c>
      <c r="C42" s="268"/>
      <c r="D42" s="269"/>
      <c r="E42" s="270"/>
      <c r="F42" s="271"/>
      <c r="G42" s="272"/>
      <c r="H42" s="273"/>
      <c r="I42" s="273"/>
      <c r="J42" s="273"/>
      <c r="K42" s="273"/>
      <c r="L42" s="273"/>
      <c r="M42" s="274"/>
      <c r="N42" s="275"/>
      <c r="O42" s="276"/>
      <c r="P42" s="277"/>
      <c r="Q42" s="276"/>
      <c r="R42" s="276"/>
      <c r="S42" s="278"/>
      <c r="T42" s="279"/>
      <c r="U42" s="280"/>
      <c r="V42" s="317"/>
      <c r="W42" s="320">
        <f t="shared" si="2"/>
        <v>0</v>
      </c>
      <c r="X42" s="323"/>
      <c r="CX42" s="1"/>
      <c r="CY42" s="1"/>
      <c r="CZ42" s="1"/>
      <c r="DA42" s="1"/>
      <c r="DB42" s="1"/>
      <c r="DC42" s="1"/>
      <c r="DD42" s="1"/>
    </row>
    <row r="43" spans="1:108" ht="15" customHeight="1" x14ac:dyDescent="0.35">
      <c r="B43" s="267" t="s">
        <v>94</v>
      </c>
      <c r="C43" s="268"/>
      <c r="D43" s="269"/>
      <c r="E43" s="270"/>
      <c r="F43" s="271"/>
      <c r="G43" s="272"/>
      <c r="H43" s="273"/>
      <c r="I43" s="273"/>
      <c r="J43" s="273"/>
      <c r="K43" s="273"/>
      <c r="L43" s="273"/>
      <c r="M43" s="274"/>
      <c r="N43" s="275"/>
      <c r="O43" s="276"/>
      <c r="P43" s="277"/>
      <c r="Q43" s="276"/>
      <c r="R43" s="276"/>
      <c r="S43" s="278"/>
      <c r="T43" s="279"/>
      <c r="U43" s="280"/>
      <c r="V43" s="317"/>
      <c r="W43" s="320">
        <f t="shared" si="2"/>
        <v>0</v>
      </c>
      <c r="X43" s="323"/>
      <c r="CX43" s="1"/>
      <c r="CY43" s="1"/>
      <c r="CZ43" s="1"/>
      <c r="DA43" s="1"/>
      <c r="DB43" s="1"/>
      <c r="DC43" s="1"/>
      <c r="DD43" s="1"/>
    </row>
    <row r="44" spans="1:108" ht="15" customHeight="1" thickBot="1" x14ac:dyDescent="0.4">
      <c r="B44" s="282" t="s">
        <v>95</v>
      </c>
      <c r="C44" s="283"/>
      <c r="D44" s="284"/>
      <c r="E44" s="285"/>
      <c r="F44" s="286"/>
      <c r="G44" s="287"/>
      <c r="H44" s="288"/>
      <c r="I44" s="288"/>
      <c r="J44" s="288"/>
      <c r="K44" s="288"/>
      <c r="L44" s="288"/>
      <c r="M44" s="289"/>
      <c r="N44" s="290"/>
      <c r="O44" s="291"/>
      <c r="P44" s="292"/>
      <c r="Q44" s="291"/>
      <c r="R44" s="291"/>
      <c r="S44" s="293"/>
      <c r="T44" s="294"/>
      <c r="U44" s="295"/>
      <c r="V44" s="318"/>
      <c r="W44" s="320">
        <f t="shared" si="2"/>
        <v>0</v>
      </c>
      <c r="X44" s="324"/>
      <c r="CX44" s="1"/>
      <c r="CY44" s="1"/>
      <c r="CZ44" s="1"/>
      <c r="DA44" s="1"/>
      <c r="DB44" s="1"/>
      <c r="DC44" s="1"/>
      <c r="DD44" s="1"/>
    </row>
    <row r="45" spans="1:108" ht="15" customHeight="1" thickBot="1" x14ac:dyDescent="0.25">
      <c r="B45" s="171"/>
      <c r="C45" s="241"/>
      <c r="D45" s="250"/>
      <c r="E45" s="251"/>
      <c r="F45" s="252"/>
      <c r="G45" s="255"/>
      <c r="H45" s="245"/>
      <c r="I45" s="245"/>
      <c r="J45" s="245"/>
      <c r="K45" s="245"/>
      <c r="L45" s="245"/>
      <c r="M45" s="246"/>
      <c r="N45" s="257"/>
      <c r="O45" s="192">
        <f>SUM(O37:O44)</f>
        <v>0</v>
      </c>
      <c r="P45" s="191" t="e">
        <f>AVERAGE(P37:P44)</f>
        <v>#DIV/0!</v>
      </c>
      <c r="Q45" s="191"/>
      <c r="R45" s="192">
        <f>SUM(R37:R44)</f>
        <v>0</v>
      </c>
      <c r="S45" s="191" t="e">
        <f>AVERAGE(S37:S44)</f>
        <v>#DIV/0!</v>
      </c>
      <c r="T45" s="191"/>
      <c r="U45" s="253" t="e">
        <f>AVERAGE(U37:U44)</f>
        <v>#DIV/0!</v>
      </c>
      <c r="V45" s="303"/>
      <c r="W45" s="257"/>
      <c r="X45" s="193"/>
      <c r="CX45" s="1"/>
      <c r="CY45" s="1"/>
      <c r="CZ45" s="1"/>
      <c r="DA45" s="1"/>
      <c r="DB45" s="1"/>
      <c r="DC45" s="1"/>
      <c r="DD45" s="1"/>
    </row>
    <row r="46" spans="1:108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175"/>
      <c r="X46" s="175"/>
    </row>
    <row r="47" spans="1:108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5"/>
      <c r="U47" s="175"/>
      <c r="V47" s="175"/>
      <c r="W47" s="175"/>
      <c r="X47" s="175"/>
    </row>
    <row r="48" spans="1:108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5"/>
      <c r="U48" s="175"/>
      <c r="V48" s="175"/>
      <c r="W48" s="175"/>
      <c r="X48" s="175"/>
    </row>
    <row r="49" spans="2:108" ht="1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spans="2:108" ht="11.25" customHeight="1" thickBot="1" x14ac:dyDescent="0.25">
      <c r="B50" s="17" t="s">
        <v>97</v>
      </c>
      <c r="C50" s="17"/>
    </row>
    <row r="51" spans="2:108" ht="15.75" customHeight="1" thickBot="1" x14ac:dyDescent="0.25">
      <c r="B51" s="385" t="s">
        <v>1</v>
      </c>
      <c r="C51" s="387" t="s">
        <v>77</v>
      </c>
      <c r="D51" s="389" t="s">
        <v>2</v>
      </c>
      <c r="E51" s="385" t="s">
        <v>3</v>
      </c>
      <c r="F51" s="391" t="s">
        <v>111</v>
      </c>
      <c r="G51" s="213"/>
      <c r="H51" s="254" t="s">
        <v>5</v>
      </c>
      <c r="I51" s="254"/>
      <c r="J51" s="254"/>
      <c r="K51" s="254"/>
      <c r="L51" s="254"/>
      <c r="M51" s="254"/>
      <c r="N51" s="247" t="s">
        <v>6</v>
      </c>
      <c r="O51" s="248"/>
      <c r="P51" s="248"/>
      <c r="Q51" s="248"/>
      <c r="R51" s="248"/>
      <c r="S51" s="248"/>
      <c r="T51" s="248"/>
      <c r="U51" s="248"/>
      <c r="V51" s="248"/>
      <c r="W51" s="249"/>
      <c r="X51" s="249"/>
      <c r="CX51" s="1"/>
      <c r="CY51" s="1"/>
      <c r="CZ51" s="1"/>
      <c r="DA51" s="1"/>
      <c r="DB51" s="1"/>
      <c r="DC51" s="1"/>
      <c r="DD51" s="1"/>
    </row>
    <row r="52" spans="2:108" ht="30.75" customHeight="1" thickBot="1" x14ac:dyDescent="0.25">
      <c r="B52" s="386"/>
      <c r="C52" s="388"/>
      <c r="D52" s="390"/>
      <c r="E52" s="386"/>
      <c r="F52" s="392"/>
      <c r="G52" s="256" t="s">
        <v>140</v>
      </c>
      <c r="H52" s="153" t="s">
        <v>141</v>
      </c>
      <c r="I52" s="153" t="s">
        <v>142</v>
      </c>
      <c r="J52" s="153" t="s">
        <v>143</v>
      </c>
      <c r="K52" s="153" t="s">
        <v>164</v>
      </c>
      <c r="L52" s="153" t="s">
        <v>166</v>
      </c>
      <c r="M52" s="258" t="s">
        <v>168</v>
      </c>
      <c r="N52" s="304" t="s">
        <v>106</v>
      </c>
      <c r="O52" s="207" t="s">
        <v>18</v>
      </c>
      <c r="P52" s="207" t="s">
        <v>19</v>
      </c>
      <c r="Q52" s="207" t="s">
        <v>110</v>
      </c>
      <c r="R52" s="207" t="s">
        <v>20</v>
      </c>
      <c r="S52" s="305" t="s">
        <v>21</v>
      </c>
      <c r="T52" s="305" t="s">
        <v>109</v>
      </c>
      <c r="U52" s="306" t="s">
        <v>22</v>
      </c>
      <c r="V52" s="315" t="s">
        <v>110</v>
      </c>
      <c r="W52" s="304" t="s">
        <v>3</v>
      </c>
      <c r="X52" s="307" t="s">
        <v>133</v>
      </c>
      <c r="CX52" s="1"/>
      <c r="CY52" s="1"/>
      <c r="CZ52" s="1"/>
      <c r="DA52" s="1"/>
      <c r="DB52" s="1"/>
      <c r="DC52" s="1"/>
      <c r="DD52" s="1"/>
    </row>
    <row r="53" spans="2:108" ht="14.25" customHeight="1" x14ac:dyDescent="0.35">
      <c r="B53" s="259" t="s">
        <v>88</v>
      </c>
      <c r="C53" s="260"/>
      <c r="D53" s="261"/>
      <c r="E53" s="262"/>
      <c r="F53" s="263"/>
      <c r="G53" s="264"/>
      <c r="H53" s="265"/>
      <c r="I53" s="265"/>
      <c r="J53" s="265"/>
      <c r="K53" s="265"/>
      <c r="L53" s="265"/>
      <c r="M53" s="266"/>
      <c r="N53" s="308"/>
      <c r="O53" s="309"/>
      <c r="P53" s="310"/>
      <c r="Q53" s="309"/>
      <c r="R53" s="309"/>
      <c r="S53" s="311"/>
      <c r="T53" s="312"/>
      <c r="U53" s="313"/>
      <c r="V53" s="316"/>
      <c r="W53" s="319">
        <f>Q53*-3+T53*-1+V53*-1</f>
        <v>0</v>
      </c>
      <c r="X53" s="322"/>
      <c r="CX53" s="1"/>
      <c r="CY53" s="1"/>
      <c r="CZ53" s="1"/>
      <c r="DA53" s="1"/>
      <c r="DB53" s="1"/>
      <c r="DC53" s="1"/>
      <c r="DD53" s="1"/>
    </row>
    <row r="54" spans="2:108" ht="15.75" customHeight="1" x14ac:dyDescent="0.35">
      <c r="B54" s="267" t="s">
        <v>89</v>
      </c>
      <c r="C54" s="268"/>
      <c r="D54" s="269"/>
      <c r="E54" s="270"/>
      <c r="F54" s="271"/>
      <c r="G54" s="272"/>
      <c r="H54" s="273"/>
      <c r="I54" s="273"/>
      <c r="J54" s="273"/>
      <c r="K54" s="273"/>
      <c r="L54" s="273"/>
      <c r="M54" s="274"/>
      <c r="N54" s="275"/>
      <c r="O54" s="276"/>
      <c r="P54" s="277"/>
      <c r="Q54" s="276"/>
      <c r="R54" s="276"/>
      <c r="S54" s="278"/>
      <c r="T54" s="279"/>
      <c r="U54" s="280"/>
      <c r="V54" s="317"/>
      <c r="W54" s="320">
        <f>Q54*-3+T54*-1+V54*-1</f>
        <v>0</v>
      </c>
      <c r="X54" s="323"/>
      <c r="CX54" s="1"/>
      <c r="CY54" s="1"/>
      <c r="CZ54" s="1"/>
      <c r="DA54" s="1"/>
      <c r="DB54" s="1"/>
      <c r="DC54" s="1"/>
      <c r="DD54" s="1"/>
    </row>
    <row r="55" spans="2:108" ht="15.75" customHeight="1" x14ac:dyDescent="0.35">
      <c r="B55" s="267" t="s">
        <v>90</v>
      </c>
      <c r="C55" s="268"/>
      <c r="D55" s="269"/>
      <c r="E55" s="270"/>
      <c r="F55" s="271"/>
      <c r="G55" s="272"/>
      <c r="H55" s="273"/>
      <c r="I55" s="273"/>
      <c r="J55" s="273"/>
      <c r="K55" s="273"/>
      <c r="L55" s="273"/>
      <c r="M55" s="274"/>
      <c r="N55" s="275"/>
      <c r="O55" s="276"/>
      <c r="P55" s="277"/>
      <c r="Q55" s="276"/>
      <c r="R55" s="276"/>
      <c r="S55" s="278"/>
      <c r="T55" s="279"/>
      <c r="U55" s="280"/>
      <c r="V55" s="317"/>
      <c r="W55" s="320">
        <f t="shared" ref="W55:W60" si="3">Q55*-3+T55*-1+V55*-1</f>
        <v>0</v>
      </c>
      <c r="X55" s="323"/>
      <c r="CX55" s="1"/>
      <c r="CY55" s="1"/>
      <c r="CZ55" s="1"/>
      <c r="DA55" s="1"/>
      <c r="DB55" s="1"/>
      <c r="DC55" s="1"/>
      <c r="DD55" s="1"/>
    </row>
    <row r="56" spans="2:108" ht="15.75" customHeight="1" x14ac:dyDescent="0.35">
      <c r="B56" s="267" t="s">
        <v>91</v>
      </c>
      <c r="C56" s="268"/>
      <c r="D56" s="269"/>
      <c r="E56" s="270"/>
      <c r="F56" s="271"/>
      <c r="G56" s="272"/>
      <c r="H56" s="273"/>
      <c r="I56" s="273"/>
      <c r="J56" s="273"/>
      <c r="K56" s="273"/>
      <c r="L56" s="273"/>
      <c r="M56" s="274"/>
      <c r="N56" s="275"/>
      <c r="O56" s="276"/>
      <c r="P56" s="277"/>
      <c r="Q56" s="276"/>
      <c r="R56" s="276"/>
      <c r="S56" s="278"/>
      <c r="T56" s="279"/>
      <c r="U56" s="280"/>
      <c r="V56" s="317"/>
      <c r="W56" s="320">
        <f t="shared" si="3"/>
        <v>0</v>
      </c>
      <c r="X56" s="323"/>
      <c r="CX56" s="1"/>
      <c r="CY56" s="1"/>
      <c r="CZ56" s="1"/>
      <c r="DA56" s="1"/>
      <c r="DB56" s="1"/>
      <c r="DC56" s="1"/>
      <c r="DD56" s="1"/>
    </row>
    <row r="57" spans="2:108" ht="15.75" customHeight="1" x14ac:dyDescent="0.35">
      <c r="B57" s="267" t="s">
        <v>92</v>
      </c>
      <c r="C57" s="268"/>
      <c r="D57" s="269"/>
      <c r="E57" s="270"/>
      <c r="F57" s="271"/>
      <c r="G57" s="272"/>
      <c r="H57" s="273"/>
      <c r="I57" s="273"/>
      <c r="J57" s="273"/>
      <c r="K57" s="273"/>
      <c r="L57" s="273"/>
      <c r="M57" s="274"/>
      <c r="N57" s="275"/>
      <c r="O57" s="276"/>
      <c r="P57" s="277"/>
      <c r="Q57" s="276"/>
      <c r="R57" s="276"/>
      <c r="S57" s="278"/>
      <c r="T57" s="279"/>
      <c r="U57" s="280"/>
      <c r="V57" s="317"/>
      <c r="W57" s="320">
        <f t="shared" si="3"/>
        <v>0</v>
      </c>
      <c r="X57" s="323"/>
      <c r="CX57" s="1"/>
      <c r="CY57" s="1"/>
      <c r="CZ57" s="1"/>
      <c r="DA57" s="1"/>
      <c r="DB57" s="1"/>
      <c r="DC57" s="1"/>
      <c r="DD57" s="1"/>
    </row>
    <row r="58" spans="2:108" ht="15.75" customHeight="1" x14ac:dyDescent="0.35">
      <c r="B58" s="267" t="s">
        <v>93</v>
      </c>
      <c r="C58" s="268"/>
      <c r="D58" s="269"/>
      <c r="E58" s="270"/>
      <c r="F58" s="271"/>
      <c r="G58" s="272"/>
      <c r="H58" s="273"/>
      <c r="I58" s="273"/>
      <c r="J58" s="273"/>
      <c r="K58" s="273"/>
      <c r="L58" s="273"/>
      <c r="M58" s="274"/>
      <c r="N58" s="275"/>
      <c r="O58" s="276"/>
      <c r="P58" s="277"/>
      <c r="Q58" s="276"/>
      <c r="R58" s="276"/>
      <c r="S58" s="278"/>
      <c r="T58" s="279"/>
      <c r="U58" s="280"/>
      <c r="V58" s="317"/>
      <c r="W58" s="320">
        <f t="shared" si="3"/>
        <v>0</v>
      </c>
      <c r="X58" s="323"/>
      <c r="CX58" s="1"/>
      <c r="CY58" s="1"/>
      <c r="CZ58" s="1"/>
      <c r="DA58" s="1"/>
      <c r="DB58" s="1"/>
      <c r="DC58" s="1"/>
      <c r="DD58" s="1"/>
    </row>
    <row r="59" spans="2:108" ht="15.75" customHeight="1" x14ac:dyDescent="0.35">
      <c r="B59" s="267" t="s">
        <v>94</v>
      </c>
      <c r="C59" s="268"/>
      <c r="D59" s="269"/>
      <c r="E59" s="270"/>
      <c r="F59" s="271"/>
      <c r="G59" s="272"/>
      <c r="H59" s="273"/>
      <c r="I59" s="273"/>
      <c r="J59" s="273"/>
      <c r="K59" s="273"/>
      <c r="L59" s="273"/>
      <c r="M59" s="274"/>
      <c r="N59" s="275"/>
      <c r="O59" s="276"/>
      <c r="P59" s="277"/>
      <c r="Q59" s="276"/>
      <c r="R59" s="276"/>
      <c r="S59" s="278"/>
      <c r="T59" s="279"/>
      <c r="U59" s="280"/>
      <c r="V59" s="317"/>
      <c r="W59" s="320">
        <f t="shared" si="3"/>
        <v>0</v>
      </c>
      <c r="X59" s="323"/>
      <c r="CX59" s="1"/>
      <c r="CY59" s="1"/>
      <c r="CZ59" s="1"/>
      <c r="DA59" s="1"/>
      <c r="DB59" s="1"/>
      <c r="DC59" s="1"/>
      <c r="DD59" s="1"/>
    </row>
    <row r="60" spans="2:108" ht="15.75" customHeight="1" thickBot="1" x14ac:dyDescent="0.4">
      <c r="B60" s="282" t="s">
        <v>95</v>
      </c>
      <c r="C60" s="283"/>
      <c r="D60" s="284"/>
      <c r="E60" s="285"/>
      <c r="F60" s="286"/>
      <c r="G60" s="287"/>
      <c r="H60" s="288"/>
      <c r="I60" s="288"/>
      <c r="J60" s="288"/>
      <c r="K60" s="288"/>
      <c r="L60" s="288"/>
      <c r="M60" s="289"/>
      <c r="N60" s="290"/>
      <c r="O60" s="291"/>
      <c r="P60" s="292"/>
      <c r="Q60" s="291"/>
      <c r="R60" s="291"/>
      <c r="S60" s="293"/>
      <c r="T60" s="294"/>
      <c r="U60" s="295"/>
      <c r="V60" s="318"/>
      <c r="W60" s="320">
        <f t="shared" si="3"/>
        <v>0</v>
      </c>
      <c r="X60" s="324"/>
      <c r="CX60" s="1"/>
      <c r="CY60" s="1"/>
      <c r="CZ60" s="1"/>
      <c r="DA60" s="1"/>
      <c r="DB60" s="1"/>
      <c r="DC60" s="1"/>
      <c r="DD60" s="1"/>
    </row>
    <row r="61" spans="2:108" ht="15.75" customHeight="1" thickBot="1" x14ac:dyDescent="0.25">
      <c r="B61" s="171"/>
      <c r="C61" s="241"/>
      <c r="D61" s="250"/>
      <c r="E61" s="251"/>
      <c r="F61" s="252"/>
      <c r="G61" s="255"/>
      <c r="H61" s="245"/>
      <c r="I61" s="245"/>
      <c r="J61" s="245"/>
      <c r="K61" s="245"/>
      <c r="L61" s="245"/>
      <c r="M61" s="246"/>
      <c r="N61" s="257"/>
      <c r="O61" s="192">
        <f>SUM(O53:O60)</f>
        <v>0</v>
      </c>
      <c r="P61" s="191" t="e">
        <f>AVERAGE(P53:P60)</f>
        <v>#DIV/0!</v>
      </c>
      <c r="Q61" s="191"/>
      <c r="R61" s="192">
        <f>SUM(R53:R60)</f>
        <v>0</v>
      </c>
      <c r="S61" s="191" t="e">
        <f>AVERAGE(S53:S60)</f>
        <v>#DIV/0!</v>
      </c>
      <c r="T61" s="191"/>
      <c r="U61" s="253" t="e">
        <f>AVERAGE(U53:U60)</f>
        <v>#DIV/0!</v>
      </c>
      <c r="V61" s="303"/>
      <c r="W61" s="257"/>
      <c r="X61" s="193"/>
      <c r="CX61" s="1"/>
      <c r="CY61" s="1"/>
      <c r="CZ61" s="1"/>
      <c r="DA61" s="1"/>
      <c r="DB61" s="1"/>
      <c r="DC61" s="1"/>
      <c r="DD61" s="1"/>
    </row>
    <row r="62" spans="2:108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5"/>
      <c r="U62" s="175"/>
      <c r="V62" s="175"/>
      <c r="W62" s="175"/>
      <c r="X62" s="175"/>
    </row>
    <row r="63" spans="2:108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5"/>
      <c r="U63" s="175"/>
      <c r="V63" s="175"/>
      <c r="W63" s="175"/>
      <c r="X63" s="175"/>
    </row>
    <row r="64" spans="2:108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5"/>
      <c r="U64" s="175"/>
      <c r="V64" s="175"/>
      <c r="W64" s="175"/>
      <c r="X64" s="175"/>
    </row>
    <row r="65" spans="1:108" ht="15.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</row>
    <row r="66" spans="1:108" ht="75" customHeight="1" thickBot="1" x14ac:dyDescent="0.25">
      <c r="B66" s="17" t="s">
        <v>48</v>
      </c>
      <c r="C66" s="17"/>
    </row>
    <row r="67" spans="1:108" ht="17.25" customHeight="1" thickBot="1" x14ac:dyDescent="0.25">
      <c r="A67" s="6"/>
      <c r="B67" s="385" t="s">
        <v>1</v>
      </c>
      <c r="C67" s="387" t="s">
        <v>77</v>
      </c>
      <c r="D67" s="389" t="s">
        <v>2</v>
      </c>
      <c r="E67" s="385" t="s">
        <v>3</v>
      </c>
      <c r="F67" s="391" t="s">
        <v>111</v>
      </c>
      <c r="G67" s="213"/>
      <c r="H67" s="254" t="s">
        <v>5</v>
      </c>
      <c r="I67" s="254"/>
      <c r="J67" s="254"/>
      <c r="K67" s="254"/>
      <c r="L67" s="254"/>
      <c r="M67" s="254"/>
      <c r="N67" s="247" t="s">
        <v>6</v>
      </c>
      <c r="O67" s="248"/>
      <c r="P67" s="248"/>
      <c r="Q67" s="248"/>
      <c r="R67" s="248"/>
      <c r="S67" s="248"/>
      <c r="T67" s="248"/>
      <c r="U67" s="248"/>
      <c r="V67" s="248"/>
      <c r="W67" s="249"/>
      <c r="X67" s="249"/>
      <c r="CX67" s="1"/>
      <c r="CY67" s="1"/>
      <c r="CZ67" s="1"/>
      <c r="DA67" s="1"/>
      <c r="DB67" s="1"/>
      <c r="DC67" s="1"/>
      <c r="DD67" s="1"/>
    </row>
    <row r="68" spans="1:108" s="6" customFormat="1" ht="30.75" customHeight="1" thickBot="1" x14ac:dyDescent="0.25">
      <c r="B68" s="386"/>
      <c r="C68" s="388"/>
      <c r="D68" s="390"/>
      <c r="E68" s="386"/>
      <c r="F68" s="392"/>
      <c r="G68" s="256" t="s">
        <v>136</v>
      </c>
      <c r="H68" s="153" t="s">
        <v>137</v>
      </c>
      <c r="I68" s="153" t="s">
        <v>138</v>
      </c>
      <c r="J68" s="153" t="s">
        <v>139</v>
      </c>
      <c r="K68" s="153" t="s">
        <v>170</v>
      </c>
      <c r="L68" s="153" t="s">
        <v>172</v>
      </c>
      <c r="M68" s="258" t="s">
        <v>174</v>
      </c>
      <c r="N68" s="304" t="s">
        <v>106</v>
      </c>
      <c r="O68" s="207" t="s">
        <v>18</v>
      </c>
      <c r="P68" s="207" t="s">
        <v>19</v>
      </c>
      <c r="Q68" s="207" t="s">
        <v>110</v>
      </c>
      <c r="R68" s="207" t="s">
        <v>20</v>
      </c>
      <c r="S68" s="305" t="s">
        <v>21</v>
      </c>
      <c r="T68" s="305" t="s">
        <v>109</v>
      </c>
      <c r="U68" s="306" t="s">
        <v>22</v>
      </c>
      <c r="V68" s="315" t="s">
        <v>110</v>
      </c>
      <c r="W68" s="304" t="s">
        <v>3</v>
      </c>
      <c r="X68" s="307" t="s">
        <v>133</v>
      </c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</row>
    <row r="69" spans="1:108" s="6" customFormat="1" ht="17.25" customHeight="1" x14ac:dyDescent="0.35">
      <c r="A69" s="1"/>
      <c r="B69" s="259" t="s">
        <v>88</v>
      </c>
      <c r="C69" s="260"/>
      <c r="D69" s="261"/>
      <c r="E69" s="262"/>
      <c r="F69" s="263"/>
      <c r="G69" s="264"/>
      <c r="H69" s="265"/>
      <c r="I69" s="265"/>
      <c r="J69" s="265"/>
      <c r="K69" s="265"/>
      <c r="L69" s="265"/>
      <c r="M69" s="266"/>
      <c r="N69" s="308"/>
      <c r="O69" s="309"/>
      <c r="P69" s="310"/>
      <c r="Q69" s="309"/>
      <c r="R69" s="309"/>
      <c r="S69" s="311"/>
      <c r="T69" s="312"/>
      <c r="U69" s="313"/>
      <c r="V69" s="316"/>
      <c r="W69" s="319">
        <f>Q69*-3+T69*-1+V69*-1</f>
        <v>0</v>
      </c>
      <c r="X69" s="322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</row>
    <row r="70" spans="1:108" ht="14.25" customHeight="1" x14ac:dyDescent="0.35">
      <c r="B70" s="267" t="s">
        <v>89</v>
      </c>
      <c r="C70" s="268"/>
      <c r="D70" s="269"/>
      <c r="E70" s="270"/>
      <c r="F70" s="271"/>
      <c r="G70" s="272"/>
      <c r="H70" s="273"/>
      <c r="I70" s="273"/>
      <c r="J70" s="273"/>
      <c r="K70" s="273"/>
      <c r="L70" s="273"/>
      <c r="M70" s="274"/>
      <c r="N70" s="275"/>
      <c r="O70" s="276"/>
      <c r="P70" s="277"/>
      <c r="Q70" s="276"/>
      <c r="R70" s="276"/>
      <c r="S70" s="278"/>
      <c r="T70" s="279"/>
      <c r="U70" s="280"/>
      <c r="V70" s="317"/>
      <c r="W70" s="320">
        <f>Q70*-3+T70*-1+V70*-1</f>
        <v>0</v>
      </c>
      <c r="X70" s="323"/>
      <c r="CX70" s="1"/>
      <c r="CY70" s="1"/>
      <c r="CZ70" s="1"/>
      <c r="DA70" s="1"/>
      <c r="DB70" s="1"/>
      <c r="DC70" s="1"/>
      <c r="DD70" s="1"/>
    </row>
    <row r="71" spans="1:108" ht="14.25" customHeight="1" x14ac:dyDescent="0.35">
      <c r="B71" s="267" t="s">
        <v>90</v>
      </c>
      <c r="C71" s="268"/>
      <c r="D71" s="269"/>
      <c r="E71" s="270"/>
      <c r="F71" s="271"/>
      <c r="G71" s="272"/>
      <c r="H71" s="273"/>
      <c r="I71" s="273"/>
      <c r="J71" s="273"/>
      <c r="K71" s="273"/>
      <c r="L71" s="273"/>
      <c r="M71" s="274"/>
      <c r="N71" s="275"/>
      <c r="O71" s="276"/>
      <c r="P71" s="277"/>
      <c r="Q71" s="276"/>
      <c r="R71" s="276"/>
      <c r="S71" s="278"/>
      <c r="T71" s="279"/>
      <c r="U71" s="280"/>
      <c r="V71" s="317"/>
      <c r="W71" s="320">
        <f t="shared" ref="W71:W76" si="4">Q71*-3+T71*-1+V71*-1</f>
        <v>0</v>
      </c>
      <c r="X71" s="323"/>
      <c r="CX71" s="1"/>
      <c r="CY71" s="1"/>
      <c r="CZ71" s="1"/>
      <c r="DA71" s="1"/>
      <c r="DB71" s="1"/>
      <c r="DC71" s="1"/>
      <c r="DD71" s="1"/>
    </row>
    <row r="72" spans="1:108" ht="14.25" customHeight="1" x14ac:dyDescent="0.35">
      <c r="B72" s="267" t="s">
        <v>91</v>
      </c>
      <c r="C72" s="268"/>
      <c r="D72" s="269"/>
      <c r="E72" s="270"/>
      <c r="F72" s="271"/>
      <c r="G72" s="272"/>
      <c r="H72" s="273"/>
      <c r="I72" s="273"/>
      <c r="J72" s="273"/>
      <c r="K72" s="273"/>
      <c r="L72" s="273"/>
      <c r="M72" s="274"/>
      <c r="N72" s="275"/>
      <c r="O72" s="276"/>
      <c r="P72" s="277"/>
      <c r="Q72" s="276"/>
      <c r="R72" s="276"/>
      <c r="S72" s="278"/>
      <c r="T72" s="279"/>
      <c r="U72" s="280"/>
      <c r="V72" s="317"/>
      <c r="W72" s="320">
        <f t="shared" si="4"/>
        <v>0</v>
      </c>
      <c r="X72" s="323"/>
      <c r="CX72" s="1"/>
      <c r="CY72" s="1"/>
      <c r="CZ72" s="1"/>
      <c r="DA72" s="1"/>
      <c r="DB72" s="1"/>
      <c r="DC72" s="1"/>
      <c r="DD72" s="1"/>
    </row>
    <row r="73" spans="1:108" ht="14.25" customHeight="1" x14ac:dyDescent="0.35">
      <c r="B73" s="267" t="s">
        <v>92</v>
      </c>
      <c r="C73" s="268"/>
      <c r="D73" s="269"/>
      <c r="E73" s="270"/>
      <c r="F73" s="271"/>
      <c r="G73" s="272"/>
      <c r="H73" s="273"/>
      <c r="I73" s="273"/>
      <c r="J73" s="273"/>
      <c r="K73" s="273"/>
      <c r="L73" s="273"/>
      <c r="M73" s="274"/>
      <c r="N73" s="275"/>
      <c r="O73" s="276"/>
      <c r="P73" s="277"/>
      <c r="Q73" s="276"/>
      <c r="R73" s="276"/>
      <c r="S73" s="278"/>
      <c r="T73" s="279"/>
      <c r="U73" s="280"/>
      <c r="V73" s="317"/>
      <c r="W73" s="320">
        <f t="shared" si="4"/>
        <v>0</v>
      </c>
      <c r="X73" s="323"/>
      <c r="CX73" s="1"/>
      <c r="CY73" s="1"/>
      <c r="CZ73" s="1"/>
      <c r="DA73" s="1"/>
      <c r="DB73" s="1"/>
      <c r="DC73" s="1"/>
      <c r="DD73" s="1"/>
    </row>
    <row r="74" spans="1:108" ht="14.25" customHeight="1" x14ac:dyDescent="0.35">
      <c r="B74" s="267" t="s">
        <v>93</v>
      </c>
      <c r="C74" s="268"/>
      <c r="D74" s="269"/>
      <c r="E74" s="270"/>
      <c r="F74" s="271"/>
      <c r="G74" s="272"/>
      <c r="H74" s="273"/>
      <c r="I74" s="273"/>
      <c r="J74" s="273"/>
      <c r="K74" s="273"/>
      <c r="L74" s="273"/>
      <c r="M74" s="274"/>
      <c r="N74" s="275"/>
      <c r="O74" s="276"/>
      <c r="P74" s="277"/>
      <c r="Q74" s="276"/>
      <c r="R74" s="276"/>
      <c r="S74" s="278"/>
      <c r="T74" s="279"/>
      <c r="U74" s="280"/>
      <c r="V74" s="317"/>
      <c r="W74" s="320">
        <f t="shared" si="4"/>
        <v>0</v>
      </c>
      <c r="X74" s="323"/>
      <c r="CX74" s="1"/>
      <c r="CY74" s="1"/>
      <c r="CZ74" s="1"/>
      <c r="DA74" s="1"/>
      <c r="DB74" s="1"/>
      <c r="DC74" s="1"/>
      <c r="DD74" s="1"/>
    </row>
    <row r="75" spans="1:108" ht="14.25" customHeight="1" x14ac:dyDescent="0.35">
      <c r="B75" s="267" t="s">
        <v>94</v>
      </c>
      <c r="C75" s="268"/>
      <c r="D75" s="269"/>
      <c r="E75" s="270"/>
      <c r="F75" s="271"/>
      <c r="G75" s="272"/>
      <c r="H75" s="273"/>
      <c r="I75" s="273"/>
      <c r="J75" s="273"/>
      <c r="K75" s="273"/>
      <c r="L75" s="273"/>
      <c r="M75" s="274"/>
      <c r="N75" s="275"/>
      <c r="O75" s="276"/>
      <c r="P75" s="277"/>
      <c r="Q75" s="276"/>
      <c r="R75" s="276"/>
      <c r="S75" s="278"/>
      <c r="T75" s="279"/>
      <c r="U75" s="280"/>
      <c r="V75" s="317"/>
      <c r="W75" s="320">
        <f t="shared" si="4"/>
        <v>0</v>
      </c>
      <c r="X75" s="323"/>
      <c r="CX75" s="1"/>
      <c r="CY75" s="1"/>
      <c r="CZ75" s="1"/>
      <c r="DA75" s="1"/>
      <c r="DB75" s="1"/>
      <c r="DC75" s="1"/>
      <c r="DD75" s="1"/>
    </row>
    <row r="76" spans="1:108" ht="14.25" customHeight="1" thickBot="1" x14ac:dyDescent="0.4">
      <c r="B76" s="282" t="s">
        <v>95</v>
      </c>
      <c r="C76" s="283"/>
      <c r="D76" s="284"/>
      <c r="E76" s="285"/>
      <c r="F76" s="286"/>
      <c r="G76" s="287"/>
      <c r="H76" s="288"/>
      <c r="I76" s="288"/>
      <c r="J76" s="288"/>
      <c r="K76" s="288"/>
      <c r="L76" s="288"/>
      <c r="M76" s="289"/>
      <c r="N76" s="290"/>
      <c r="O76" s="291"/>
      <c r="P76" s="292"/>
      <c r="Q76" s="291"/>
      <c r="R76" s="291"/>
      <c r="S76" s="293"/>
      <c r="T76" s="294"/>
      <c r="U76" s="295"/>
      <c r="V76" s="318"/>
      <c r="W76" s="320">
        <f t="shared" si="4"/>
        <v>0</v>
      </c>
      <c r="X76" s="324"/>
      <c r="CX76" s="1"/>
      <c r="CY76" s="1"/>
      <c r="CZ76" s="1"/>
      <c r="DA76" s="1"/>
      <c r="DB76" s="1"/>
      <c r="DC76" s="1"/>
      <c r="DD76" s="1"/>
    </row>
    <row r="77" spans="1:108" ht="14.25" customHeight="1" thickBot="1" x14ac:dyDescent="0.25">
      <c r="B77" s="171"/>
      <c r="C77" s="241"/>
      <c r="D77" s="250"/>
      <c r="E77" s="251"/>
      <c r="F77" s="252"/>
      <c r="G77" s="255"/>
      <c r="H77" s="245"/>
      <c r="I77" s="245"/>
      <c r="J77" s="245"/>
      <c r="K77" s="245"/>
      <c r="L77" s="245"/>
      <c r="M77" s="246"/>
      <c r="N77" s="257"/>
      <c r="O77" s="192">
        <f>SUM(O69:O76)</f>
        <v>0</v>
      </c>
      <c r="P77" s="191" t="e">
        <f>AVERAGE(P69:P76)</f>
        <v>#DIV/0!</v>
      </c>
      <c r="Q77" s="191"/>
      <c r="R77" s="192">
        <f>SUM(R69:R76)</f>
        <v>0</v>
      </c>
      <c r="S77" s="191" t="e">
        <f>AVERAGE(S69:S76)</f>
        <v>#DIV/0!</v>
      </c>
      <c r="T77" s="191"/>
      <c r="U77" s="253" t="e">
        <f>AVERAGE(U69:U76)</f>
        <v>#DIV/0!</v>
      </c>
      <c r="V77" s="303"/>
      <c r="W77" s="257"/>
      <c r="X77" s="193"/>
      <c r="CX77" s="1"/>
      <c r="CY77" s="1"/>
      <c r="CZ77" s="1"/>
      <c r="DA77" s="1"/>
      <c r="DB77" s="1"/>
      <c r="DC77" s="1"/>
      <c r="DD77" s="1"/>
    </row>
    <row r="78" spans="1:108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175"/>
      <c r="X78" s="175"/>
    </row>
    <row r="79" spans="1:108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175"/>
      <c r="X79" s="175"/>
    </row>
    <row r="80" spans="1:108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5"/>
      <c r="U80" s="175"/>
      <c r="V80" s="175"/>
      <c r="W80" s="175"/>
      <c r="X80" s="175"/>
    </row>
    <row r="81" spans="1:108" ht="14.25" customHeight="1" x14ac:dyDescent="0.2"/>
    <row r="82" spans="1:108" ht="73.5" customHeight="1" thickBot="1" x14ac:dyDescent="0.25">
      <c r="B82" s="17" t="s">
        <v>49</v>
      </c>
      <c r="C82" s="17"/>
    </row>
    <row r="83" spans="1:108" ht="13.5" customHeight="1" thickBot="1" x14ac:dyDescent="0.25">
      <c r="A83" s="6"/>
      <c r="B83" s="385" t="s">
        <v>1</v>
      </c>
      <c r="C83" s="387" t="s">
        <v>77</v>
      </c>
      <c r="D83" s="389" t="s">
        <v>2</v>
      </c>
      <c r="E83" s="385" t="s">
        <v>3</v>
      </c>
      <c r="F83" s="391" t="s">
        <v>111</v>
      </c>
      <c r="G83" s="213"/>
      <c r="H83" s="254" t="s">
        <v>5</v>
      </c>
      <c r="I83" s="254"/>
      <c r="J83" s="254"/>
      <c r="K83" s="254"/>
      <c r="L83" s="254"/>
      <c r="M83" s="254"/>
      <c r="N83" s="247" t="s">
        <v>6</v>
      </c>
      <c r="O83" s="248"/>
      <c r="P83" s="248"/>
      <c r="Q83" s="248"/>
      <c r="R83" s="248"/>
      <c r="S83" s="248"/>
      <c r="T83" s="248"/>
      <c r="U83" s="248"/>
      <c r="V83" s="248"/>
      <c r="W83" s="249"/>
      <c r="X83" s="249"/>
      <c r="CX83" s="1"/>
      <c r="CY83" s="1"/>
      <c r="CZ83" s="1"/>
      <c r="DA83" s="1"/>
      <c r="DB83" s="1"/>
      <c r="DC83" s="1"/>
      <c r="DD83" s="1"/>
    </row>
    <row r="84" spans="1:108" s="6" customFormat="1" ht="29.25" customHeight="1" thickBot="1" x14ac:dyDescent="0.25">
      <c r="B84" s="386"/>
      <c r="C84" s="388"/>
      <c r="D84" s="390"/>
      <c r="E84" s="386"/>
      <c r="F84" s="392"/>
      <c r="G84" s="256" t="s">
        <v>140</v>
      </c>
      <c r="H84" s="153" t="s">
        <v>141</v>
      </c>
      <c r="I84" s="153" t="s">
        <v>142</v>
      </c>
      <c r="J84" s="153" t="s">
        <v>143</v>
      </c>
      <c r="K84" s="153" t="s">
        <v>163</v>
      </c>
      <c r="L84" s="153" t="s">
        <v>165</v>
      </c>
      <c r="M84" s="258" t="s">
        <v>167</v>
      </c>
      <c r="N84" s="304" t="s">
        <v>106</v>
      </c>
      <c r="O84" s="207" t="s">
        <v>18</v>
      </c>
      <c r="P84" s="207" t="s">
        <v>19</v>
      </c>
      <c r="Q84" s="207" t="s">
        <v>110</v>
      </c>
      <c r="R84" s="207" t="s">
        <v>20</v>
      </c>
      <c r="S84" s="305" t="s">
        <v>21</v>
      </c>
      <c r="T84" s="305" t="s">
        <v>109</v>
      </c>
      <c r="U84" s="306" t="s">
        <v>22</v>
      </c>
      <c r="V84" s="315" t="s">
        <v>110</v>
      </c>
      <c r="W84" s="304" t="s">
        <v>3</v>
      </c>
      <c r="X84" s="307" t="s">
        <v>133</v>
      </c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</row>
    <row r="85" spans="1:108" s="6" customFormat="1" ht="18" customHeight="1" x14ac:dyDescent="0.35">
      <c r="A85" s="1"/>
      <c r="B85" s="259" t="s">
        <v>88</v>
      </c>
      <c r="C85" s="260"/>
      <c r="D85" s="261"/>
      <c r="E85" s="262"/>
      <c r="F85" s="263"/>
      <c r="G85" s="264"/>
      <c r="H85" s="265"/>
      <c r="I85" s="265"/>
      <c r="J85" s="265"/>
      <c r="K85" s="265"/>
      <c r="L85" s="265"/>
      <c r="M85" s="266"/>
      <c r="N85" s="308"/>
      <c r="O85" s="309"/>
      <c r="P85" s="310"/>
      <c r="Q85" s="309"/>
      <c r="R85" s="309"/>
      <c r="S85" s="311"/>
      <c r="T85" s="312"/>
      <c r="U85" s="313"/>
      <c r="V85" s="316"/>
      <c r="W85" s="319">
        <f>Q85*-3+T85*-1+V85*-1</f>
        <v>0</v>
      </c>
      <c r="X85" s="322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</row>
    <row r="86" spans="1:108" ht="15" customHeight="1" x14ac:dyDescent="0.35">
      <c r="B86" s="267" t="s">
        <v>89</v>
      </c>
      <c r="C86" s="268"/>
      <c r="D86" s="269"/>
      <c r="E86" s="270"/>
      <c r="F86" s="271"/>
      <c r="G86" s="272"/>
      <c r="H86" s="273"/>
      <c r="I86" s="273"/>
      <c r="J86" s="273"/>
      <c r="K86" s="273"/>
      <c r="L86" s="273"/>
      <c r="M86" s="274"/>
      <c r="N86" s="275"/>
      <c r="O86" s="276"/>
      <c r="P86" s="277"/>
      <c r="Q86" s="276"/>
      <c r="R86" s="276"/>
      <c r="S86" s="278"/>
      <c r="T86" s="279"/>
      <c r="U86" s="280"/>
      <c r="V86" s="317"/>
      <c r="W86" s="320">
        <f>Q86*-3+T86*-1+V86*-1</f>
        <v>0</v>
      </c>
      <c r="X86" s="323"/>
      <c r="CX86" s="1"/>
      <c r="CY86" s="1"/>
      <c r="CZ86" s="1"/>
      <c r="DA86" s="1"/>
      <c r="DB86" s="1"/>
      <c r="DC86" s="1"/>
      <c r="DD86" s="1"/>
    </row>
    <row r="87" spans="1:108" ht="15" customHeight="1" x14ac:dyDescent="0.35">
      <c r="B87" s="267" t="s">
        <v>90</v>
      </c>
      <c r="C87" s="268"/>
      <c r="D87" s="269"/>
      <c r="E87" s="270"/>
      <c r="F87" s="271"/>
      <c r="G87" s="272"/>
      <c r="H87" s="273"/>
      <c r="I87" s="273"/>
      <c r="J87" s="273"/>
      <c r="K87" s="273"/>
      <c r="L87" s="273"/>
      <c r="M87" s="274"/>
      <c r="N87" s="275"/>
      <c r="O87" s="276"/>
      <c r="P87" s="277"/>
      <c r="Q87" s="276"/>
      <c r="R87" s="276"/>
      <c r="S87" s="278"/>
      <c r="T87" s="279"/>
      <c r="U87" s="280"/>
      <c r="V87" s="317"/>
      <c r="W87" s="320">
        <f t="shared" ref="W87:W92" si="5">Q87*-3+T87*-1+V87*-1</f>
        <v>0</v>
      </c>
      <c r="X87" s="323"/>
      <c r="CX87" s="1"/>
      <c r="CY87" s="1"/>
      <c r="CZ87" s="1"/>
      <c r="DA87" s="1"/>
      <c r="DB87" s="1"/>
      <c r="DC87" s="1"/>
      <c r="DD87" s="1"/>
    </row>
    <row r="88" spans="1:108" ht="15" customHeight="1" x14ac:dyDescent="0.35">
      <c r="B88" s="267" t="s">
        <v>91</v>
      </c>
      <c r="C88" s="268"/>
      <c r="D88" s="269"/>
      <c r="E88" s="270"/>
      <c r="F88" s="271"/>
      <c r="G88" s="272"/>
      <c r="H88" s="273"/>
      <c r="I88" s="273"/>
      <c r="J88" s="273"/>
      <c r="K88" s="273"/>
      <c r="L88" s="273"/>
      <c r="M88" s="274"/>
      <c r="N88" s="275"/>
      <c r="O88" s="276"/>
      <c r="P88" s="277"/>
      <c r="Q88" s="276"/>
      <c r="R88" s="276"/>
      <c r="S88" s="278"/>
      <c r="T88" s="279"/>
      <c r="U88" s="280"/>
      <c r="V88" s="317"/>
      <c r="W88" s="320">
        <f t="shared" si="5"/>
        <v>0</v>
      </c>
      <c r="X88" s="323"/>
      <c r="CX88" s="1"/>
      <c r="CY88" s="1"/>
      <c r="CZ88" s="1"/>
      <c r="DA88" s="1"/>
      <c r="DB88" s="1"/>
      <c r="DC88" s="1"/>
      <c r="DD88" s="1"/>
    </row>
    <row r="89" spans="1:108" ht="15" customHeight="1" x14ac:dyDescent="0.35">
      <c r="B89" s="267" t="s">
        <v>92</v>
      </c>
      <c r="C89" s="268"/>
      <c r="D89" s="269"/>
      <c r="E89" s="270"/>
      <c r="F89" s="271"/>
      <c r="G89" s="272"/>
      <c r="H89" s="273"/>
      <c r="I89" s="273"/>
      <c r="J89" s="273"/>
      <c r="K89" s="273"/>
      <c r="L89" s="273"/>
      <c r="M89" s="274"/>
      <c r="N89" s="275"/>
      <c r="O89" s="276"/>
      <c r="P89" s="277"/>
      <c r="Q89" s="276"/>
      <c r="R89" s="276"/>
      <c r="S89" s="278"/>
      <c r="T89" s="279"/>
      <c r="U89" s="280"/>
      <c r="V89" s="317"/>
      <c r="W89" s="320">
        <f t="shared" si="5"/>
        <v>0</v>
      </c>
      <c r="X89" s="323"/>
      <c r="CX89" s="1"/>
      <c r="CY89" s="1"/>
      <c r="CZ89" s="1"/>
      <c r="DA89" s="1"/>
      <c r="DB89" s="1"/>
      <c r="DC89" s="1"/>
      <c r="DD89" s="1"/>
    </row>
    <row r="90" spans="1:108" ht="15" customHeight="1" x14ac:dyDescent="0.35">
      <c r="B90" s="267" t="s">
        <v>93</v>
      </c>
      <c r="C90" s="268"/>
      <c r="D90" s="269"/>
      <c r="E90" s="270"/>
      <c r="F90" s="271"/>
      <c r="G90" s="272"/>
      <c r="H90" s="273"/>
      <c r="I90" s="273"/>
      <c r="J90" s="273"/>
      <c r="K90" s="273"/>
      <c r="L90" s="273"/>
      <c r="M90" s="274"/>
      <c r="N90" s="275"/>
      <c r="O90" s="276"/>
      <c r="P90" s="277"/>
      <c r="Q90" s="276"/>
      <c r="R90" s="276"/>
      <c r="S90" s="278"/>
      <c r="T90" s="279"/>
      <c r="U90" s="280"/>
      <c r="V90" s="317"/>
      <c r="W90" s="320">
        <f t="shared" si="5"/>
        <v>0</v>
      </c>
      <c r="X90" s="323"/>
      <c r="CX90" s="1"/>
      <c r="CY90" s="1"/>
      <c r="CZ90" s="1"/>
      <c r="DA90" s="1"/>
      <c r="DB90" s="1"/>
      <c r="DC90" s="1"/>
      <c r="DD90" s="1"/>
    </row>
    <row r="91" spans="1:108" ht="15" customHeight="1" x14ac:dyDescent="0.35">
      <c r="B91" s="267" t="s">
        <v>94</v>
      </c>
      <c r="C91" s="268"/>
      <c r="D91" s="269"/>
      <c r="E91" s="270"/>
      <c r="F91" s="271"/>
      <c r="G91" s="272"/>
      <c r="H91" s="273"/>
      <c r="I91" s="273"/>
      <c r="J91" s="273"/>
      <c r="K91" s="273"/>
      <c r="L91" s="273"/>
      <c r="M91" s="274"/>
      <c r="N91" s="275"/>
      <c r="O91" s="276"/>
      <c r="P91" s="277"/>
      <c r="Q91" s="276"/>
      <c r="R91" s="276"/>
      <c r="S91" s="278"/>
      <c r="T91" s="279"/>
      <c r="U91" s="280"/>
      <c r="V91" s="317"/>
      <c r="W91" s="320">
        <f t="shared" si="5"/>
        <v>0</v>
      </c>
      <c r="X91" s="323"/>
      <c r="CX91" s="1"/>
      <c r="CY91" s="1"/>
      <c r="CZ91" s="1"/>
      <c r="DA91" s="1"/>
      <c r="DB91" s="1"/>
      <c r="DC91" s="1"/>
      <c r="DD91" s="1"/>
    </row>
    <row r="92" spans="1:108" ht="15" customHeight="1" thickBot="1" x14ac:dyDescent="0.4">
      <c r="B92" s="282" t="s">
        <v>95</v>
      </c>
      <c r="C92" s="283"/>
      <c r="D92" s="284"/>
      <c r="E92" s="285"/>
      <c r="F92" s="286"/>
      <c r="G92" s="287"/>
      <c r="H92" s="288"/>
      <c r="I92" s="288"/>
      <c r="J92" s="288"/>
      <c r="K92" s="288"/>
      <c r="L92" s="288"/>
      <c r="M92" s="289"/>
      <c r="N92" s="290"/>
      <c r="O92" s="291"/>
      <c r="P92" s="292"/>
      <c r="Q92" s="291"/>
      <c r="R92" s="291"/>
      <c r="S92" s="293"/>
      <c r="T92" s="294"/>
      <c r="U92" s="295"/>
      <c r="V92" s="318"/>
      <c r="W92" s="320">
        <f t="shared" si="5"/>
        <v>0</v>
      </c>
      <c r="X92" s="324"/>
      <c r="CX92" s="1"/>
      <c r="CY92" s="1"/>
      <c r="CZ92" s="1"/>
      <c r="DA92" s="1"/>
      <c r="DB92" s="1"/>
      <c r="DC92" s="1"/>
      <c r="DD92" s="1"/>
    </row>
    <row r="93" spans="1:108" ht="15" customHeight="1" thickBot="1" x14ac:dyDescent="0.25">
      <c r="B93" s="171"/>
      <c r="C93" s="241"/>
      <c r="D93" s="250"/>
      <c r="E93" s="251"/>
      <c r="F93" s="252"/>
      <c r="G93" s="255"/>
      <c r="H93" s="245"/>
      <c r="I93" s="245"/>
      <c r="J93" s="245"/>
      <c r="K93" s="245"/>
      <c r="L93" s="245"/>
      <c r="M93" s="246"/>
      <c r="N93" s="257"/>
      <c r="O93" s="192">
        <f>SUM(O85:O92)</f>
        <v>0</v>
      </c>
      <c r="P93" s="191" t="e">
        <f>AVERAGE(P85:P92)</f>
        <v>#DIV/0!</v>
      </c>
      <c r="Q93" s="191"/>
      <c r="R93" s="192">
        <f>SUM(R85:R92)</f>
        <v>0</v>
      </c>
      <c r="S93" s="191" t="e">
        <f>AVERAGE(S85:S92)</f>
        <v>#DIV/0!</v>
      </c>
      <c r="T93" s="191"/>
      <c r="U93" s="253" t="e">
        <f>AVERAGE(U85:U92)</f>
        <v>#DIV/0!</v>
      </c>
      <c r="V93" s="303"/>
      <c r="W93" s="257"/>
      <c r="X93" s="193"/>
      <c r="CX93" s="1"/>
      <c r="CY93" s="1"/>
      <c r="CZ93" s="1"/>
      <c r="DA93" s="1"/>
      <c r="DB93" s="1"/>
      <c r="DC93" s="1"/>
      <c r="DD93" s="1"/>
    </row>
    <row r="94" spans="1:108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spans="1:108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spans="1:108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spans="1:108" ht="15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spans="1:108" ht="66" customHeight="1" thickBot="1" x14ac:dyDescent="0.25">
      <c r="B98" s="17" t="s">
        <v>73</v>
      </c>
      <c r="C98" s="17"/>
    </row>
    <row r="99" spans="1:108" ht="15" customHeight="1" thickBot="1" x14ac:dyDescent="0.25">
      <c r="B99" s="385" t="s">
        <v>1</v>
      </c>
      <c r="C99" s="387" t="s">
        <v>77</v>
      </c>
      <c r="D99" s="389" t="s">
        <v>2</v>
      </c>
      <c r="E99" s="385" t="s">
        <v>3</v>
      </c>
      <c r="F99" s="391" t="s">
        <v>111</v>
      </c>
      <c r="G99" s="213"/>
      <c r="H99" s="254" t="s">
        <v>5</v>
      </c>
      <c r="I99" s="254"/>
      <c r="J99" s="254"/>
      <c r="K99" s="254"/>
      <c r="L99" s="254"/>
      <c r="M99" s="254"/>
      <c r="N99" s="247" t="s">
        <v>6</v>
      </c>
      <c r="O99" s="248"/>
      <c r="P99" s="248"/>
      <c r="Q99" s="248"/>
      <c r="R99" s="248"/>
      <c r="S99" s="248"/>
      <c r="T99" s="248"/>
      <c r="U99" s="248"/>
      <c r="V99" s="248"/>
      <c r="W99" s="249"/>
      <c r="X99" s="249"/>
      <c r="CX99" s="1"/>
      <c r="CY99" s="1"/>
      <c r="CZ99" s="1"/>
      <c r="DA99" s="1"/>
      <c r="DB99" s="1"/>
      <c r="DC99" s="1"/>
      <c r="DD99" s="1"/>
    </row>
    <row r="100" spans="1:108" ht="28.5" customHeight="1" thickBot="1" x14ac:dyDescent="0.25">
      <c r="A100" s="6"/>
      <c r="B100" s="386"/>
      <c r="C100" s="388"/>
      <c r="D100" s="390"/>
      <c r="E100" s="386"/>
      <c r="F100" s="392"/>
      <c r="G100" s="256" t="s">
        <v>140</v>
      </c>
      <c r="H100" s="153" t="s">
        <v>141</v>
      </c>
      <c r="I100" s="153" t="s">
        <v>142</v>
      </c>
      <c r="J100" s="153" t="s">
        <v>143</v>
      </c>
      <c r="K100" s="153" t="s">
        <v>163</v>
      </c>
      <c r="L100" s="153" t="s">
        <v>165</v>
      </c>
      <c r="M100" s="258" t="s">
        <v>167</v>
      </c>
      <c r="N100" s="304" t="s">
        <v>106</v>
      </c>
      <c r="O100" s="207" t="s">
        <v>18</v>
      </c>
      <c r="P100" s="207" t="s">
        <v>19</v>
      </c>
      <c r="Q100" s="207" t="s">
        <v>110</v>
      </c>
      <c r="R100" s="207" t="s">
        <v>20</v>
      </c>
      <c r="S100" s="305" t="s">
        <v>21</v>
      </c>
      <c r="T100" s="305" t="s">
        <v>109</v>
      </c>
      <c r="U100" s="306" t="s">
        <v>22</v>
      </c>
      <c r="V100" s="315" t="s">
        <v>110</v>
      </c>
      <c r="W100" s="304" t="s">
        <v>3</v>
      </c>
      <c r="X100" s="307" t="s">
        <v>133</v>
      </c>
      <c r="CX100" s="1"/>
      <c r="CY100" s="1"/>
      <c r="CZ100" s="1"/>
      <c r="DA100" s="1"/>
      <c r="DB100" s="1"/>
      <c r="DC100" s="1"/>
      <c r="DD100" s="1"/>
    </row>
    <row r="101" spans="1:108" s="6" customFormat="1" ht="19.5" customHeight="1" x14ac:dyDescent="0.35">
      <c r="B101" s="259" t="s">
        <v>88</v>
      </c>
      <c r="C101" s="260"/>
      <c r="D101" s="261"/>
      <c r="E101" s="262"/>
      <c r="F101" s="263"/>
      <c r="G101" s="264"/>
      <c r="H101" s="265"/>
      <c r="I101" s="265"/>
      <c r="J101" s="265"/>
      <c r="K101" s="265"/>
      <c r="L101" s="265"/>
      <c r="M101" s="266"/>
      <c r="N101" s="308"/>
      <c r="O101" s="309"/>
      <c r="P101" s="310"/>
      <c r="Q101" s="309"/>
      <c r="R101" s="309"/>
      <c r="S101" s="311"/>
      <c r="T101" s="312"/>
      <c r="U101" s="313"/>
      <c r="V101" s="316"/>
      <c r="W101" s="319">
        <f>Q101*-3+T101*-1+V101*-1</f>
        <v>0</v>
      </c>
      <c r="X101" s="322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</row>
    <row r="102" spans="1:108" s="6" customFormat="1" ht="15" customHeight="1" x14ac:dyDescent="0.35">
      <c r="A102" s="1"/>
      <c r="B102" s="267" t="s">
        <v>89</v>
      </c>
      <c r="C102" s="268"/>
      <c r="D102" s="269"/>
      <c r="E102" s="270"/>
      <c r="F102" s="271"/>
      <c r="G102" s="272"/>
      <c r="H102" s="273"/>
      <c r="I102" s="273"/>
      <c r="J102" s="273"/>
      <c r="K102" s="273"/>
      <c r="L102" s="273"/>
      <c r="M102" s="274"/>
      <c r="N102" s="275"/>
      <c r="O102" s="276"/>
      <c r="P102" s="277"/>
      <c r="Q102" s="276"/>
      <c r="R102" s="276"/>
      <c r="S102" s="278"/>
      <c r="T102" s="279"/>
      <c r="U102" s="280"/>
      <c r="V102" s="317"/>
      <c r="W102" s="320">
        <f>Q102*-3+T102*-1+V102*-1</f>
        <v>0</v>
      </c>
      <c r="X102" s="323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</row>
    <row r="103" spans="1:108" ht="15" customHeight="1" x14ac:dyDescent="0.35">
      <c r="B103" s="267" t="s">
        <v>90</v>
      </c>
      <c r="C103" s="268"/>
      <c r="D103" s="269"/>
      <c r="E103" s="270"/>
      <c r="F103" s="271"/>
      <c r="G103" s="272"/>
      <c r="H103" s="273"/>
      <c r="I103" s="273"/>
      <c r="J103" s="273"/>
      <c r="K103" s="273"/>
      <c r="L103" s="273"/>
      <c r="M103" s="274"/>
      <c r="N103" s="275"/>
      <c r="O103" s="276"/>
      <c r="P103" s="277"/>
      <c r="Q103" s="276"/>
      <c r="R103" s="276"/>
      <c r="S103" s="278"/>
      <c r="T103" s="279"/>
      <c r="U103" s="280"/>
      <c r="V103" s="317"/>
      <c r="W103" s="320">
        <f t="shared" ref="W103:W108" si="6">Q103*-3+T103*-1+V103*-1</f>
        <v>0</v>
      </c>
      <c r="X103" s="323"/>
      <c r="CX103" s="1"/>
      <c r="CY103" s="1"/>
      <c r="CZ103" s="1"/>
      <c r="DA103" s="1"/>
      <c r="DB103" s="1"/>
      <c r="DC103" s="1"/>
      <c r="DD103" s="1"/>
    </row>
    <row r="104" spans="1:108" ht="15" customHeight="1" x14ac:dyDescent="0.35">
      <c r="B104" s="267" t="s">
        <v>91</v>
      </c>
      <c r="C104" s="268"/>
      <c r="D104" s="269"/>
      <c r="E104" s="270"/>
      <c r="F104" s="271"/>
      <c r="G104" s="272"/>
      <c r="H104" s="273"/>
      <c r="I104" s="273"/>
      <c r="J104" s="273"/>
      <c r="K104" s="273"/>
      <c r="L104" s="273"/>
      <c r="M104" s="274"/>
      <c r="N104" s="275"/>
      <c r="O104" s="276"/>
      <c r="P104" s="277"/>
      <c r="Q104" s="276"/>
      <c r="R104" s="276"/>
      <c r="S104" s="278"/>
      <c r="T104" s="279"/>
      <c r="U104" s="280"/>
      <c r="V104" s="317"/>
      <c r="W104" s="320">
        <f t="shared" si="6"/>
        <v>0</v>
      </c>
      <c r="X104" s="323"/>
      <c r="CX104" s="1"/>
      <c r="CY104" s="1"/>
      <c r="CZ104" s="1"/>
      <c r="DA104" s="1"/>
      <c r="DB104" s="1"/>
      <c r="DC104" s="1"/>
      <c r="DD104" s="1"/>
    </row>
    <row r="105" spans="1:108" ht="15" customHeight="1" x14ac:dyDescent="0.35">
      <c r="B105" s="267" t="s">
        <v>92</v>
      </c>
      <c r="C105" s="268"/>
      <c r="D105" s="269"/>
      <c r="E105" s="270"/>
      <c r="F105" s="271"/>
      <c r="G105" s="272"/>
      <c r="H105" s="273"/>
      <c r="I105" s="273"/>
      <c r="J105" s="273"/>
      <c r="K105" s="273"/>
      <c r="L105" s="273"/>
      <c r="M105" s="274"/>
      <c r="N105" s="275"/>
      <c r="O105" s="276"/>
      <c r="P105" s="277"/>
      <c r="Q105" s="276"/>
      <c r="R105" s="276"/>
      <c r="S105" s="278"/>
      <c r="T105" s="279"/>
      <c r="U105" s="280"/>
      <c r="V105" s="317"/>
      <c r="W105" s="320">
        <f t="shared" si="6"/>
        <v>0</v>
      </c>
      <c r="X105" s="323"/>
      <c r="CX105" s="1"/>
      <c r="CY105" s="1"/>
      <c r="CZ105" s="1"/>
      <c r="DA105" s="1"/>
      <c r="DB105" s="1"/>
      <c r="DC105" s="1"/>
      <c r="DD105" s="1"/>
    </row>
    <row r="106" spans="1:108" ht="15" customHeight="1" x14ac:dyDescent="0.35">
      <c r="B106" s="267" t="s">
        <v>93</v>
      </c>
      <c r="C106" s="268"/>
      <c r="D106" s="269"/>
      <c r="E106" s="270"/>
      <c r="F106" s="271"/>
      <c r="G106" s="272"/>
      <c r="H106" s="273"/>
      <c r="I106" s="273"/>
      <c r="J106" s="273"/>
      <c r="K106" s="273"/>
      <c r="L106" s="273"/>
      <c r="M106" s="274"/>
      <c r="N106" s="275"/>
      <c r="O106" s="276"/>
      <c r="P106" s="277"/>
      <c r="Q106" s="276"/>
      <c r="R106" s="276"/>
      <c r="S106" s="278"/>
      <c r="T106" s="279"/>
      <c r="U106" s="280"/>
      <c r="V106" s="317"/>
      <c r="W106" s="320">
        <f t="shared" si="6"/>
        <v>0</v>
      </c>
      <c r="X106" s="323"/>
      <c r="CX106" s="1"/>
      <c r="CY106" s="1"/>
      <c r="CZ106" s="1"/>
      <c r="DA106" s="1"/>
      <c r="DB106" s="1"/>
      <c r="DC106" s="1"/>
      <c r="DD106" s="1"/>
    </row>
    <row r="107" spans="1:108" ht="15" customHeight="1" x14ac:dyDescent="0.35">
      <c r="B107" s="267" t="s">
        <v>94</v>
      </c>
      <c r="C107" s="268"/>
      <c r="D107" s="269"/>
      <c r="E107" s="270"/>
      <c r="F107" s="271"/>
      <c r="G107" s="272"/>
      <c r="H107" s="273"/>
      <c r="I107" s="273"/>
      <c r="J107" s="273"/>
      <c r="K107" s="273"/>
      <c r="L107" s="273"/>
      <c r="M107" s="274"/>
      <c r="N107" s="275"/>
      <c r="O107" s="276"/>
      <c r="P107" s="277"/>
      <c r="Q107" s="276"/>
      <c r="R107" s="276"/>
      <c r="S107" s="278"/>
      <c r="T107" s="279"/>
      <c r="U107" s="280"/>
      <c r="V107" s="317"/>
      <c r="W107" s="320">
        <f t="shared" si="6"/>
        <v>0</v>
      </c>
      <c r="X107" s="323"/>
      <c r="CX107" s="1"/>
      <c r="CY107" s="1"/>
      <c r="CZ107" s="1"/>
      <c r="DA107" s="1"/>
      <c r="DB107" s="1"/>
      <c r="DC107" s="1"/>
      <c r="DD107" s="1"/>
    </row>
    <row r="108" spans="1:108" ht="15" customHeight="1" thickBot="1" x14ac:dyDescent="0.4">
      <c r="B108" s="282" t="s">
        <v>95</v>
      </c>
      <c r="C108" s="283"/>
      <c r="D108" s="284"/>
      <c r="E108" s="285"/>
      <c r="F108" s="286"/>
      <c r="G108" s="287"/>
      <c r="H108" s="288"/>
      <c r="I108" s="288"/>
      <c r="J108" s="288"/>
      <c r="K108" s="288"/>
      <c r="L108" s="288"/>
      <c r="M108" s="289"/>
      <c r="N108" s="290"/>
      <c r="O108" s="291"/>
      <c r="P108" s="292"/>
      <c r="Q108" s="291"/>
      <c r="R108" s="291"/>
      <c r="S108" s="293"/>
      <c r="T108" s="294"/>
      <c r="U108" s="295"/>
      <c r="V108" s="318"/>
      <c r="W108" s="320">
        <f t="shared" si="6"/>
        <v>0</v>
      </c>
      <c r="X108" s="324"/>
      <c r="CX108" s="1"/>
      <c r="CY108" s="1"/>
      <c r="CZ108" s="1"/>
      <c r="DA108" s="1"/>
      <c r="DB108" s="1"/>
      <c r="DC108" s="1"/>
      <c r="DD108" s="1"/>
    </row>
    <row r="109" spans="1:108" ht="15" customHeight="1" thickBot="1" x14ac:dyDescent="0.25">
      <c r="B109" s="171"/>
      <c r="C109" s="241"/>
      <c r="D109" s="250"/>
      <c r="E109" s="251"/>
      <c r="F109" s="252"/>
      <c r="G109" s="255"/>
      <c r="H109" s="245"/>
      <c r="I109" s="245"/>
      <c r="J109" s="245"/>
      <c r="K109" s="245"/>
      <c r="L109" s="245"/>
      <c r="M109" s="246"/>
      <c r="N109" s="257"/>
      <c r="O109" s="192">
        <f>SUM(O101:O108)</f>
        <v>0</v>
      </c>
      <c r="P109" s="191" t="e">
        <f>AVERAGE(P101:P108)</f>
        <v>#DIV/0!</v>
      </c>
      <c r="Q109" s="191"/>
      <c r="R109" s="192">
        <f>SUM(R101:R108)</f>
        <v>0</v>
      </c>
      <c r="S109" s="191" t="e">
        <f>AVERAGE(S101:S108)</f>
        <v>#DIV/0!</v>
      </c>
      <c r="T109" s="191"/>
      <c r="U109" s="253" t="e">
        <f>AVERAGE(U101:U108)</f>
        <v>#DIV/0!</v>
      </c>
      <c r="V109" s="303"/>
      <c r="W109" s="257"/>
      <c r="X109" s="193"/>
      <c r="CX109" s="1"/>
      <c r="CY109" s="1"/>
      <c r="CZ109" s="1"/>
      <c r="DA109" s="1"/>
      <c r="DB109" s="1"/>
      <c r="DC109" s="1"/>
      <c r="DD109" s="1"/>
    </row>
    <row r="110" spans="1:108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spans="1:108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spans="1:108" ht="15" customHeight="1" x14ac:dyDescent="0.2">
      <c r="A112" s="24"/>
    </row>
    <row r="113" spans="1:1" ht="15" customHeight="1" x14ac:dyDescent="0.2">
      <c r="A113" s="24"/>
    </row>
    <row r="114" spans="1:1" ht="15" hidden="1" customHeight="1" x14ac:dyDescent="0.2">
      <c r="A114" s="24"/>
    </row>
    <row r="115" spans="1:1" ht="15" hidden="1" customHeight="1" x14ac:dyDescent="0.2">
      <c r="A115" s="24"/>
    </row>
    <row r="116" spans="1:1" ht="15" hidden="1" customHeight="1" x14ac:dyDescent="0.2">
      <c r="A116" s="24"/>
    </row>
    <row r="117" spans="1:1" ht="15" hidden="1" customHeight="1" x14ac:dyDescent="0.2">
      <c r="A117" s="24"/>
    </row>
    <row r="118" spans="1:1" ht="15" hidden="1" customHeight="1" x14ac:dyDescent="0.2">
      <c r="A118" s="24"/>
    </row>
    <row r="119" spans="1:1" ht="15" hidden="1" customHeight="1" x14ac:dyDescent="0.2">
      <c r="A119" s="24"/>
    </row>
    <row r="120" spans="1:1" ht="15" hidden="1" customHeight="1" x14ac:dyDescent="0.2">
      <c r="A120" s="24"/>
    </row>
    <row r="121" spans="1:1" ht="15" hidden="1" customHeight="1" x14ac:dyDescent="0.2">
      <c r="A121" s="24"/>
    </row>
    <row r="122" spans="1:1" ht="15" hidden="1" customHeight="1" x14ac:dyDescent="0.2">
      <c r="A122" s="24"/>
    </row>
    <row r="123" spans="1:1" ht="15" hidden="1" customHeight="1" x14ac:dyDescent="0.2">
      <c r="A123" s="24"/>
    </row>
    <row r="124" spans="1:1" ht="15" hidden="1" customHeight="1" x14ac:dyDescent="0.2">
      <c r="A124" s="24"/>
    </row>
    <row r="125" spans="1:1" ht="15" hidden="1" customHeight="1" x14ac:dyDescent="0.2">
      <c r="A125" s="24"/>
    </row>
    <row r="126" spans="1:1" ht="15" hidden="1" customHeight="1" x14ac:dyDescent="0.2">
      <c r="A126" s="24"/>
    </row>
    <row r="127" spans="1:1" ht="15" hidden="1" customHeight="1" x14ac:dyDescent="0.2">
      <c r="A127" s="24"/>
    </row>
    <row r="128" spans="1:1" ht="15" hidden="1" customHeight="1" x14ac:dyDescent="0.2">
      <c r="A128" s="24"/>
    </row>
    <row r="129" spans="1:1" ht="15" hidden="1" customHeight="1" x14ac:dyDescent="0.2">
      <c r="A129" s="24"/>
    </row>
    <row r="130" spans="1:1" ht="15" hidden="1" customHeight="1" x14ac:dyDescent="0.2">
      <c r="A130" s="24"/>
    </row>
    <row r="131" spans="1:1" ht="15" hidden="1" customHeight="1" x14ac:dyDescent="0.2">
      <c r="A131" s="24"/>
    </row>
    <row r="132" spans="1:1" ht="15" hidden="1" customHeight="1" x14ac:dyDescent="0.2">
      <c r="A132" s="24"/>
    </row>
    <row r="133" spans="1:1" ht="15" hidden="1" customHeight="1" x14ac:dyDescent="0.2">
      <c r="A133" s="24"/>
    </row>
    <row r="134" spans="1:1" ht="15" hidden="1" customHeight="1" x14ac:dyDescent="0.2">
      <c r="A134" s="24"/>
    </row>
    <row r="135" spans="1:1" ht="15" hidden="1" customHeight="1" x14ac:dyDescent="0.2">
      <c r="A135" s="24"/>
    </row>
    <row r="136" spans="1:1" ht="15" hidden="1" customHeight="1" x14ac:dyDescent="0.2">
      <c r="A136" s="24"/>
    </row>
    <row r="137" spans="1:1" ht="15" hidden="1" customHeight="1" x14ac:dyDescent="0.2">
      <c r="A137" s="24"/>
    </row>
    <row r="138" spans="1:1" ht="15" hidden="1" customHeight="1" x14ac:dyDescent="0.2">
      <c r="A138" s="24"/>
    </row>
    <row r="139" spans="1:1" ht="15" hidden="1" customHeight="1" x14ac:dyDescent="0.2">
      <c r="A139" s="24"/>
    </row>
    <row r="140" spans="1:1" ht="15" hidden="1" customHeight="1" x14ac:dyDescent="0.2">
      <c r="A140" s="24"/>
    </row>
    <row r="141" spans="1:1" ht="15" hidden="1" customHeight="1" x14ac:dyDescent="0.2">
      <c r="A141" s="24"/>
    </row>
    <row r="142" spans="1:1" ht="15" hidden="1" customHeight="1" x14ac:dyDescent="0.2">
      <c r="A142" s="24"/>
    </row>
    <row r="143" spans="1:1" ht="15" customHeight="1" x14ac:dyDescent="0.2">
      <c r="A143" s="24"/>
    </row>
    <row r="144" spans="1:1" ht="15" customHeight="1" x14ac:dyDescent="0.2">
      <c r="A144" s="24"/>
    </row>
    <row r="145" spans="1:24" ht="15" customHeight="1" x14ac:dyDescent="0.2">
      <c r="A145" s="24"/>
    </row>
    <row r="146" spans="1:24" s="24" customFormat="1" ht="11.25" customHeight="1" thickBot="1" x14ac:dyDescent="0.25">
      <c r="B146" s="401" t="s">
        <v>50</v>
      </c>
      <c r="C146" s="40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s="24" customFormat="1" ht="12.95" customHeight="1" thickBot="1" x14ac:dyDescent="0.25">
      <c r="B147" s="389" t="s">
        <v>1</v>
      </c>
      <c r="C147" s="387" t="s">
        <v>77</v>
      </c>
      <c r="D147" s="389" t="s">
        <v>51</v>
      </c>
      <c r="E147" s="385" t="s">
        <v>4</v>
      </c>
      <c r="F147" s="391" t="s">
        <v>111</v>
      </c>
      <c r="G147" s="398" t="s">
        <v>52</v>
      </c>
      <c r="H147" s="399"/>
      <c r="I147" s="399"/>
      <c r="J147" s="399"/>
      <c r="K147" s="399"/>
      <c r="L147" s="399"/>
      <c r="M147" s="399"/>
      <c r="N147" s="399"/>
      <c r="O147" s="399"/>
      <c r="P147" s="400"/>
      <c r="Q147" s="393" t="s">
        <v>53</v>
      </c>
      <c r="R147" s="394"/>
      <c r="S147" s="394"/>
      <c r="T147" s="394"/>
      <c r="U147" s="394"/>
      <c r="V147" s="394"/>
      <c r="W147" s="395"/>
      <c r="X147" s="187"/>
    </row>
    <row r="148" spans="1:24" s="24" customFormat="1" ht="29.25" customHeight="1" thickBot="1" x14ac:dyDescent="0.25">
      <c r="B148" s="396"/>
      <c r="C148" s="388"/>
      <c r="D148" s="390"/>
      <c r="E148" s="397"/>
      <c r="F148" s="392"/>
      <c r="G148" s="140" t="s">
        <v>54</v>
      </c>
      <c r="H148" s="9" t="s">
        <v>55</v>
      </c>
      <c r="I148" s="9" t="s">
        <v>56</v>
      </c>
      <c r="J148" s="9" t="s">
        <v>57</v>
      </c>
      <c r="K148" s="9" t="s">
        <v>58</v>
      </c>
      <c r="L148" s="9" t="s">
        <v>59</v>
      </c>
      <c r="M148" s="9" t="s">
        <v>60</v>
      </c>
      <c r="N148" s="9" t="s">
        <v>61</v>
      </c>
      <c r="O148" s="141" t="s">
        <v>62</v>
      </c>
      <c r="P148" s="151" t="s">
        <v>63</v>
      </c>
      <c r="Q148" s="152" t="s">
        <v>54</v>
      </c>
      <c r="R148" s="153" t="s">
        <v>55</v>
      </c>
      <c r="S148" s="153" t="s">
        <v>56</v>
      </c>
      <c r="T148" s="153" t="s">
        <v>57</v>
      </c>
      <c r="U148" s="153" t="s">
        <v>58</v>
      </c>
      <c r="V148" s="153" t="s">
        <v>59</v>
      </c>
      <c r="W148" s="154" t="s">
        <v>60</v>
      </c>
      <c r="X148" s="302"/>
    </row>
    <row r="149" spans="1:24" s="24" customFormat="1" ht="16.5" customHeight="1" x14ac:dyDescent="0.2">
      <c r="B149" s="12" t="s">
        <v>88</v>
      </c>
      <c r="C149" s="145"/>
      <c r="D149" s="142"/>
      <c r="E149" s="12"/>
      <c r="F149" s="32"/>
      <c r="G149" s="34"/>
      <c r="H149" s="35"/>
      <c r="I149" s="35"/>
      <c r="J149" s="35"/>
      <c r="K149" s="35"/>
      <c r="L149" s="35"/>
      <c r="M149" s="35"/>
      <c r="N149" s="35"/>
      <c r="O149" s="35"/>
      <c r="P149" s="155"/>
      <c r="Q149" s="183"/>
      <c r="R149" s="184"/>
      <c r="S149" s="184"/>
      <c r="T149" s="184"/>
      <c r="U149" s="185"/>
      <c r="V149" s="185"/>
      <c r="W149" s="186"/>
    </row>
    <row r="150" spans="1:24" s="24" customFormat="1" ht="15" customHeight="1" x14ac:dyDescent="0.2">
      <c r="B150" s="13" t="s">
        <v>89</v>
      </c>
      <c r="C150" s="146"/>
      <c r="D150" s="143"/>
      <c r="E150" s="13"/>
      <c r="F150" s="43"/>
      <c r="G150" s="45"/>
      <c r="H150" s="46"/>
      <c r="I150" s="46"/>
      <c r="J150" s="46"/>
      <c r="K150" s="46"/>
      <c r="L150" s="46"/>
      <c r="M150" s="46"/>
      <c r="N150" s="46"/>
      <c r="O150" s="46"/>
      <c r="P150" s="160"/>
      <c r="Q150" s="161"/>
      <c r="R150" s="162"/>
      <c r="S150" s="162"/>
      <c r="T150" s="162"/>
      <c r="U150" s="163"/>
      <c r="V150" s="163"/>
      <c r="W150" s="164"/>
    </row>
    <row r="151" spans="1:24" s="24" customFormat="1" ht="15" customHeight="1" x14ac:dyDescent="0.2">
      <c r="B151" s="13" t="s">
        <v>90</v>
      </c>
      <c r="C151" s="146"/>
      <c r="D151" s="143"/>
      <c r="E151" s="13"/>
      <c r="F151" s="43"/>
      <c r="G151" s="45"/>
      <c r="H151" s="46"/>
      <c r="I151" s="46"/>
      <c r="J151" s="46"/>
      <c r="K151" s="46"/>
      <c r="L151" s="46"/>
      <c r="M151" s="46"/>
      <c r="N151" s="46"/>
      <c r="O151" s="46"/>
      <c r="P151" s="160"/>
      <c r="Q151" s="161"/>
      <c r="R151" s="162"/>
      <c r="S151" s="162"/>
      <c r="T151" s="162"/>
      <c r="U151" s="163"/>
      <c r="V151" s="163"/>
      <c r="W151" s="164"/>
    </row>
    <row r="152" spans="1:24" s="24" customFormat="1" ht="15" customHeight="1" x14ac:dyDescent="0.2">
      <c r="B152" s="13" t="s">
        <v>91</v>
      </c>
      <c r="C152" s="146"/>
      <c r="D152" s="143"/>
      <c r="E152" s="13"/>
      <c r="F152" s="43"/>
      <c r="G152" s="45"/>
      <c r="H152" s="46"/>
      <c r="I152" s="46"/>
      <c r="J152" s="46"/>
      <c r="K152" s="46"/>
      <c r="L152" s="46"/>
      <c r="M152" s="46"/>
      <c r="N152" s="46"/>
      <c r="O152" s="46"/>
      <c r="P152" s="160"/>
      <c r="Q152" s="161"/>
      <c r="R152" s="162"/>
      <c r="S152" s="162"/>
      <c r="T152" s="162"/>
      <c r="U152" s="163"/>
      <c r="V152" s="163"/>
      <c r="W152" s="164"/>
    </row>
    <row r="153" spans="1:24" s="24" customFormat="1" ht="15" customHeight="1" x14ac:dyDescent="0.2">
      <c r="B153" s="13" t="s">
        <v>92</v>
      </c>
      <c r="C153" s="146"/>
      <c r="D153" s="143"/>
      <c r="E153" s="13"/>
      <c r="F153" s="43"/>
      <c r="G153" s="45"/>
      <c r="H153" s="46"/>
      <c r="I153" s="46"/>
      <c r="J153" s="46"/>
      <c r="K153" s="46"/>
      <c r="L153" s="46"/>
      <c r="M153" s="46"/>
      <c r="N153" s="46"/>
      <c r="O153" s="46"/>
      <c r="P153" s="160"/>
      <c r="Q153" s="161"/>
      <c r="R153" s="162"/>
      <c r="S153" s="162"/>
      <c r="T153" s="162"/>
      <c r="U153" s="163"/>
      <c r="V153" s="163"/>
      <c r="W153" s="164"/>
    </row>
    <row r="154" spans="1:24" s="24" customFormat="1" ht="15" customHeight="1" x14ac:dyDescent="0.2">
      <c r="B154" s="13" t="s">
        <v>93</v>
      </c>
      <c r="C154" s="146"/>
      <c r="D154" s="143"/>
      <c r="E154" s="13"/>
      <c r="F154" s="43"/>
      <c r="G154" s="45"/>
      <c r="H154" s="46"/>
      <c r="I154" s="46"/>
      <c r="J154" s="46"/>
      <c r="K154" s="46"/>
      <c r="L154" s="46"/>
      <c r="M154" s="46"/>
      <c r="N154" s="46"/>
      <c r="O154" s="46"/>
      <c r="P154" s="160"/>
      <c r="Q154" s="161"/>
      <c r="R154" s="162"/>
      <c r="S154" s="162"/>
      <c r="T154" s="162"/>
      <c r="U154" s="163"/>
      <c r="V154" s="163"/>
      <c r="W154" s="164"/>
    </row>
    <row r="155" spans="1:24" s="24" customFormat="1" ht="15" customHeight="1" x14ac:dyDescent="0.2">
      <c r="B155" s="13" t="s">
        <v>94</v>
      </c>
      <c r="C155" s="146"/>
      <c r="D155" s="143"/>
      <c r="E155" s="13"/>
      <c r="F155" s="43"/>
      <c r="G155" s="45"/>
      <c r="H155" s="46"/>
      <c r="I155" s="46"/>
      <c r="J155" s="46"/>
      <c r="K155" s="46"/>
      <c r="L155" s="46"/>
      <c r="M155" s="46"/>
      <c r="N155" s="46"/>
      <c r="O155" s="46"/>
      <c r="P155" s="160"/>
      <c r="Q155" s="161"/>
      <c r="R155" s="162"/>
      <c r="S155" s="162"/>
      <c r="T155" s="162"/>
      <c r="U155" s="163"/>
      <c r="V155" s="163"/>
      <c r="W155" s="164"/>
    </row>
    <row r="156" spans="1:24" s="24" customFormat="1" ht="15" customHeight="1" x14ac:dyDescent="0.2">
      <c r="B156" s="13" t="s">
        <v>95</v>
      </c>
      <c r="C156" s="146"/>
      <c r="D156" s="143"/>
      <c r="E156" s="13"/>
      <c r="F156" s="43"/>
      <c r="G156" s="45"/>
      <c r="H156" s="46"/>
      <c r="I156" s="46"/>
      <c r="J156" s="46"/>
      <c r="K156" s="46"/>
      <c r="L156" s="46"/>
      <c r="M156" s="46"/>
      <c r="N156" s="46"/>
      <c r="O156" s="46"/>
      <c r="P156" s="160"/>
      <c r="Q156" s="161"/>
      <c r="R156" s="162"/>
      <c r="S156" s="162"/>
      <c r="T156" s="162"/>
      <c r="U156" s="163"/>
      <c r="V156" s="163"/>
      <c r="W156" s="164"/>
    </row>
    <row r="157" spans="1:24" s="24" customFormat="1" ht="15" customHeight="1" thickBot="1" x14ac:dyDescent="0.25">
      <c r="B157" s="14" t="s">
        <v>96</v>
      </c>
      <c r="C157" s="147"/>
      <c r="D157" s="144"/>
      <c r="E157" s="14"/>
      <c r="F157" s="54"/>
      <c r="G157" s="56"/>
      <c r="H157" s="57"/>
      <c r="I157" s="57"/>
      <c r="J157" s="57"/>
      <c r="K157" s="57"/>
      <c r="L157" s="57"/>
      <c r="M157" s="57"/>
      <c r="N157" s="57"/>
      <c r="O157" s="57"/>
      <c r="P157" s="165"/>
      <c r="Q157" s="166"/>
      <c r="R157" s="167"/>
      <c r="S157" s="167"/>
      <c r="T157" s="167"/>
      <c r="U157" s="168"/>
      <c r="V157" s="168"/>
      <c r="W157" s="169"/>
    </row>
    <row r="158" spans="1:24" s="24" customFormat="1" ht="1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65" spans="108:108" ht="12.95" customHeight="1" x14ac:dyDescent="0.2">
      <c r="DD165" s="1"/>
    </row>
    <row r="166" spans="108:108" ht="12.95" customHeight="1" x14ac:dyDescent="0.2">
      <c r="DD166" s="1"/>
    </row>
    <row r="167" spans="108:108" ht="12.95" customHeight="1" x14ac:dyDescent="0.2">
      <c r="DD167" s="1"/>
    </row>
    <row r="168" spans="108:108" ht="12.95" customHeight="1" x14ac:dyDescent="0.2">
      <c r="DD168" s="1"/>
    </row>
    <row r="169" spans="108:108" ht="12.95" customHeight="1" x14ac:dyDescent="0.2">
      <c r="DD169" s="1"/>
    </row>
    <row r="170" spans="108:108" ht="12.95" customHeight="1" x14ac:dyDescent="0.2">
      <c r="DD170" s="1"/>
    </row>
    <row r="171" spans="108:108" ht="12.95" customHeight="1" x14ac:dyDescent="0.2">
      <c r="DD171" s="1"/>
    </row>
    <row r="172" spans="108:108" ht="12.95" customHeight="1" x14ac:dyDescent="0.2">
      <c r="DD172" s="1"/>
    </row>
    <row r="173" spans="108:108" ht="12.95" customHeight="1" x14ac:dyDescent="0.2">
      <c r="DD173" s="1"/>
    </row>
    <row r="174" spans="108:108" ht="12.95" customHeight="1" x14ac:dyDescent="0.2">
      <c r="DD174" s="1"/>
    </row>
    <row r="175" spans="108:108" ht="12.95" customHeight="1" x14ac:dyDescent="0.2">
      <c r="DD175" s="1"/>
    </row>
    <row r="176" spans="108:108" ht="12.95" customHeight="1" x14ac:dyDescent="0.2">
      <c r="DD176" s="1"/>
    </row>
    <row r="177" spans="108:108" ht="12.95" customHeight="1" x14ac:dyDescent="0.2">
      <c r="DD177" s="1"/>
    </row>
    <row r="178" spans="108:108" ht="12.95" customHeight="1" x14ac:dyDescent="0.2">
      <c r="DD178" s="1"/>
    </row>
    <row r="179" spans="108:108" ht="12.95" customHeight="1" x14ac:dyDescent="0.2">
      <c r="DD179" s="1"/>
    </row>
    <row r="180" spans="108:108" ht="12.95" customHeight="1" x14ac:dyDescent="0.2">
      <c r="DD180" s="1"/>
    </row>
    <row r="181" spans="108:108" ht="12.95" customHeight="1" x14ac:dyDescent="0.2">
      <c r="DD181" s="1"/>
    </row>
    <row r="182" spans="108:108" ht="12.95" customHeight="1" x14ac:dyDescent="0.2">
      <c r="DD182" s="1"/>
    </row>
    <row r="183" spans="108:108" ht="12.95" customHeight="1" x14ac:dyDescent="0.2">
      <c r="DD183" s="1"/>
    </row>
    <row r="184" spans="108:108" ht="12.95" customHeight="1" x14ac:dyDescent="0.2">
      <c r="DD184" s="1"/>
    </row>
    <row r="185" spans="108:108" ht="12.95" customHeight="1" x14ac:dyDescent="0.2">
      <c r="DD185" s="1"/>
    </row>
    <row r="186" spans="108:108" ht="12.95" customHeight="1" x14ac:dyDescent="0.2">
      <c r="DD186" s="1"/>
    </row>
    <row r="187" spans="108:108" ht="12.95" customHeight="1" x14ac:dyDescent="0.2">
      <c r="DD187" s="1"/>
    </row>
    <row r="188" spans="108:108" ht="12.95" customHeight="1" x14ac:dyDescent="0.2">
      <c r="DD188" s="1"/>
    </row>
    <row r="189" spans="108:108" ht="12.95" customHeight="1" x14ac:dyDescent="0.2">
      <c r="DD189" s="1"/>
    </row>
    <row r="190" spans="108:108" ht="12.95" customHeight="1" x14ac:dyDescent="0.2">
      <c r="DD190" s="1"/>
    </row>
    <row r="191" spans="108:108" ht="12.95" customHeight="1" x14ac:dyDescent="0.2">
      <c r="DD191" s="1"/>
    </row>
    <row r="192" spans="108:108" ht="12.95" customHeight="1" x14ac:dyDescent="0.2">
      <c r="DD192" s="1"/>
    </row>
    <row r="193" spans="108:108" ht="12.95" customHeight="1" x14ac:dyDescent="0.2">
      <c r="DD193" s="1"/>
    </row>
    <row r="194" spans="108:108" ht="12.95" customHeight="1" x14ac:dyDescent="0.2">
      <c r="DD194" s="1"/>
    </row>
    <row r="195" spans="108:108" ht="12.95" customHeight="1" x14ac:dyDescent="0.2">
      <c r="DD195" s="1"/>
    </row>
    <row r="196" spans="108:108" ht="12.95" customHeight="1" x14ac:dyDescent="0.2">
      <c r="DD196" s="1"/>
    </row>
    <row r="197" spans="108:108" ht="12.95" customHeight="1" x14ac:dyDescent="0.2">
      <c r="DD197" s="1"/>
    </row>
  </sheetData>
  <sheetProtection autoFilter="0"/>
  <mergeCells count="44">
    <mergeCell ref="G147:P147"/>
    <mergeCell ref="Q147:W147"/>
    <mergeCell ref="B146:C146"/>
    <mergeCell ref="B147:B148"/>
    <mergeCell ref="C147:C148"/>
    <mergeCell ref="D147:D148"/>
    <mergeCell ref="E147:E148"/>
    <mergeCell ref="F147:F148"/>
    <mergeCell ref="B99:B100"/>
    <mergeCell ref="C99:C100"/>
    <mergeCell ref="D99:D100"/>
    <mergeCell ref="E99:E100"/>
    <mergeCell ref="F99:F100"/>
    <mergeCell ref="B83:B84"/>
    <mergeCell ref="C83:C84"/>
    <mergeCell ref="D83:D84"/>
    <mergeCell ref="E83:E84"/>
    <mergeCell ref="F83:F84"/>
    <mergeCell ref="B67:B68"/>
    <mergeCell ref="C67:C68"/>
    <mergeCell ref="D67:D68"/>
    <mergeCell ref="E67:E68"/>
    <mergeCell ref="F67:F68"/>
    <mergeCell ref="B51:B52"/>
    <mergeCell ref="C51:C52"/>
    <mergeCell ref="D51:D52"/>
    <mergeCell ref="E51:E52"/>
    <mergeCell ref="F51:F52"/>
    <mergeCell ref="B35:B36"/>
    <mergeCell ref="C35:C36"/>
    <mergeCell ref="D35:D36"/>
    <mergeCell ref="E35:E36"/>
    <mergeCell ref="F35:F36"/>
    <mergeCell ref="B19:B20"/>
    <mergeCell ref="C19:C20"/>
    <mergeCell ref="D19:D20"/>
    <mergeCell ref="E19:E20"/>
    <mergeCell ref="F19:F20"/>
    <mergeCell ref="B1:W1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57BF-AA12-4E4D-B1BF-D3713C739329}">
  <sheetPr>
    <tabColor rgb="FFFF0000"/>
  </sheetPr>
  <dimension ref="A1:BA150"/>
  <sheetViews>
    <sheetView tabSelected="1" topLeftCell="A106" zoomScaleNormal="100" zoomScaleSheetLayoutView="100" workbookViewId="0">
      <selection activeCell="U98" sqref="U98"/>
    </sheetView>
  </sheetViews>
  <sheetFormatPr defaultColWidth="9" defaultRowHeight="12.95" customHeight="1" x14ac:dyDescent="0.2"/>
  <cols>
    <col min="1" max="1" width="0.75" style="1" customWidth="1"/>
    <col min="2" max="2" width="6.375" style="1" customWidth="1"/>
    <col min="3" max="3" width="5" style="1" bestFit="1" customWidth="1"/>
    <col min="4" max="4" width="8.5" style="1" bestFit="1" customWidth="1"/>
    <col min="5" max="6" width="5" style="1" bestFit="1" customWidth="1"/>
    <col min="7" max="7" width="7.5" style="1" customWidth="1"/>
    <col min="8" max="9" width="7.25" style="1" customWidth="1"/>
    <col min="10" max="10" width="8" style="1" customWidth="1"/>
    <col min="11" max="11" width="7.625" style="1" customWidth="1"/>
    <col min="12" max="12" width="5.75" style="1" customWidth="1"/>
    <col min="13" max="13" width="6.75" style="1" bestFit="1" customWidth="1"/>
    <col min="14" max="14" width="5.625" style="1" customWidth="1"/>
    <col min="15" max="15" width="6.75" style="1" bestFit="1" customWidth="1"/>
    <col min="16" max="16" width="6.75" style="91" bestFit="1" customWidth="1"/>
    <col min="17" max="17" width="4.875" style="1" customWidth="1"/>
    <col min="18" max="53" width="9" style="24"/>
    <col min="54" max="16384" width="9" style="1"/>
  </cols>
  <sheetData>
    <row r="1" spans="2:53" ht="17.25" customHeight="1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2:53" s="5" customFormat="1" ht="15" customHeight="1" thickBot="1" x14ac:dyDescent="0.25">
      <c r="B2" s="2" t="s">
        <v>0</v>
      </c>
      <c r="C2" s="2"/>
      <c r="N2" s="25"/>
      <c r="O2" s="26"/>
      <c r="P2" s="27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2:53" s="6" customFormat="1" ht="13.5" customHeight="1" thickBot="1" x14ac:dyDescent="0.25">
      <c r="B3" s="385" t="s">
        <v>1</v>
      </c>
      <c r="C3" s="387" t="s">
        <v>77</v>
      </c>
      <c r="D3" s="389" t="s">
        <v>275</v>
      </c>
      <c r="E3" s="385" t="s">
        <v>3</v>
      </c>
      <c r="F3" s="391" t="s">
        <v>101</v>
      </c>
      <c r="G3" s="402" t="s">
        <v>5</v>
      </c>
      <c r="H3" s="403"/>
      <c r="I3" s="403"/>
      <c r="J3" s="403"/>
      <c r="K3" s="403"/>
      <c r="L3" s="247" t="s">
        <v>6</v>
      </c>
      <c r="M3" s="248"/>
      <c r="N3" s="248"/>
      <c r="O3" s="248"/>
      <c r="P3" s="248"/>
      <c r="Q3" s="249"/>
      <c r="R3" s="29"/>
      <c r="S3" s="24"/>
      <c r="T3" s="29"/>
      <c r="U3" s="29"/>
      <c r="V3" s="29"/>
      <c r="W3" s="29"/>
      <c r="X3" s="24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</row>
    <row r="4" spans="2:53" s="6" customFormat="1" ht="40.5" customHeight="1" thickBot="1" x14ac:dyDescent="0.25">
      <c r="B4" s="386"/>
      <c r="C4" s="404"/>
      <c r="D4" s="390"/>
      <c r="E4" s="386"/>
      <c r="F4" s="405"/>
      <c r="G4" s="206" t="s">
        <v>117</v>
      </c>
      <c r="H4" s="207" t="s">
        <v>119</v>
      </c>
      <c r="I4" s="207" t="s">
        <v>121</v>
      </c>
      <c r="J4" s="207" t="s">
        <v>113</v>
      </c>
      <c r="K4" s="223" t="s">
        <v>115</v>
      </c>
      <c r="L4" s="206" t="s">
        <v>18</v>
      </c>
      <c r="M4" s="207" t="s">
        <v>19</v>
      </c>
      <c r="N4" s="207" t="s">
        <v>20</v>
      </c>
      <c r="O4" s="207" t="s">
        <v>21</v>
      </c>
      <c r="P4" s="214" t="s">
        <v>22</v>
      </c>
      <c r="Q4" s="224" t="s">
        <v>106</v>
      </c>
      <c r="R4" s="29"/>
      <c r="S4" s="28"/>
      <c r="T4" s="29"/>
      <c r="U4" s="29"/>
      <c r="V4" s="29"/>
      <c r="W4" s="29"/>
      <c r="X4" s="28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</row>
    <row r="5" spans="2:53" ht="14.25" customHeight="1" x14ac:dyDescent="0.2">
      <c r="B5" s="12" t="s">
        <v>78</v>
      </c>
      <c r="C5" s="100"/>
      <c r="D5" s="31"/>
      <c r="E5" s="12"/>
      <c r="F5" s="100"/>
      <c r="G5" s="226"/>
      <c r="H5" s="35"/>
      <c r="I5" s="35"/>
      <c r="J5" s="35"/>
      <c r="K5" s="76"/>
      <c r="L5" s="77"/>
      <c r="M5" s="38"/>
      <c r="N5" s="39"/>
      <c r="O5" s="78"/>
      <c r="P5" s="215"/>
      <c r="Q5" s="218"/>
    </row>
    <row r="6" spans="2:53" ht="14.25" customHeight="1" x14ac:dyDescent="0.2">
      <c r="B6" s="13" t="s">
        <v>79</v>
      </c>
      <c r="C6" s="101"/>
      <c r="D6" s="42"/>
      <c r="E6" s="13"/>
      <c r="F6" s="101"/>
      <c r="G6" s="209"/>
      <c r="H6" s="46"/>
      <c r="I6" s="46"/>
      <c r="J6" s="46"/>
      <c r="K6" s="80"/>
      <c r="L6" s="81"/>
      <c r="M6" s="49"/>
      <c r="N6" s="50"/>
      <c r="O6" s="82"/>
      <c r="P6" s="216"/>
      <c r="Q6" s="219"/>
      <c r="S6" s="28"/>
      <c r="X6" s="28"/>
    </row>
    <row r="7" spans="2:53" ht="14.25" customHeight="1" x14ac:dyDescent="0.2">
      <c r="B7" s="13" t="s">
        <v>80</v>
      </c>
      <c r="C7" s="101"/>
      <c r="D7" s="42"/>
      <c r="E7" s="13"/>
      <c r="F7" s="101"/>
      <c r="G7" s="209"/>
      <c r="H7" s="46"/>
      <c r="I7" s="46"/>
      <c r="J7" s="46"/>
      <c r="K7" s="80"/>
      <c r="L7" s="81"/>
      <c r="M7" s="49"/>
      <c r="N7" s="50"/>
      <c r="O7" s="82"/>
      <c r="P7" s="216"/>
      <c r="Q7" s="219"/>
    </row>
    <row r="8" spans="2:53" ht="14.25" customHeight="1" x14ac:dyDescent="0.2">
      <c r="B8" s="13" t="s">
        <v>81</v>
      </c>
      <c r="C8" s="101"/>
      <c r="D8" s="42"/>
      <c r="E8" s="13"/>
      <c r="F8" s="101"/>
      <c r="G8" s="209"/>
      <c r="H8" s="46"/>
      <c r="I8" s="46"/>
      <c r="J8" s="46"/>
      <c r="K8" s="80"/>
      <c r="L8" s="81"/>
      <c r="M8" s="49"/>
      <c r="N8" s="50"/>
      <c r="O8" s="82"/>
      <c r="P8" s="216"/>
      <c r="Q8" s="219"/>
      <c r="S8" s="28"/>
      <c r="X8" s="28"/>
    </row>
    <row r="9" spans="2:53" ht="14.25" customHeight="1" x14ac:dyDescent="0.2">
      <c r="B9" s="13" t="s">
        <v>82</v>
      </c>
      <c r="C9" s="101"/>
      <c r="D9" s="42"/>
      <c r="E9" s="13"/>
      <c r="F9" s="101"/>
      <c r="G9" s="209"/>
      <c r="H9" s="46"/>
      <c r="I9" s="46"/>
      <c r="J9" s="46"/>
      <c r="K9" s="80"/>
      <c r="L9" s="81"/>
      <c r="M9" s="49"/>
      <c r="N9" s="50"/>
      <c r="O9" s="82"/>
      <c r="P9" s="216"/>
      <c r="Q9" s="219"/>
    </row>
    <row r="10" spans="2:53" ht="14.25" customHeight="1" x14ac:dyDescent="0.2">
      <c r="B10" s="13" t="s">
        <v>83</v>
      </c>
      <c r="C10" s="101"/>
      <c r="D10" s="42"/>
      <c r="E10" s="13"/>
      <c r="F10" s="101"/>
      <c r="G10" s="209"/>
      <c r="H10" s="46"/>
      <c r="I10" s="46"/>
      <c r="J10" s="46"/>
      <c r="K10" s="80"/>
      <c r="L10" s="81"/>
      <c r="M10" s="49"/>
      <c r="N10" s="50"/>
      <c r="O10" s="82"/>
      <c r="P10" s="216"/>
      <c r="Q10" s="219"/>
      <c r="S10" s="28"/>
      <c r="X10" s="28"/>
    </row>
    <row r="11" spans="2:53" ht="14.25" customHeight="1" x14ac:dyDescent="0.2">
      <c r="B11" s="13" t="s">
        <v>84</v>
      </c>
      <c r="C11" s="101"/>
      <c r="D11" s="42"/>
      <c r="E11" s="13"/>
      <c r="F11" s="101"/>
      <c r="G11" s="209"/>
      <c r="H11" s="46"/>
      <c r="I11" s="46"/>
      <c r="J11" s="46"/>
      <c r="K11" s="80"/>
      <c r="L11" s="81"/>
      <c r="M11" s="49"/>
      <c r="N11" s="50"/>
      <c r="O11" s="82"/>
      <c r="P11" s="216"/>
      <c r="Q11" s="219"/>
    </row>
    <row r="12" spans="2:53" ht="14.25" customHeight="1" thickBot="1" x14ac:dyDescent="0.25">
      <c r="B12" s="14" t="s">
        <v>85</v>
      </c>
      <c r="C12" s="102"/>
      <c r="D12" s="53"/>
      <c r="E12" s="14"/>
      <c r="F12" s="102"/>
      <c r="G12" s="227"/>
      <c r="H12" s="57"/>
      <c r="I12" s="57"/>
      <c r="J12" s="57"/>
      <c r="K12" s="84"/>
      <c r="L12" s="85"/>
      <c r="M12" s="58"/>
      <c r="N12" s="59"/>
      <c r="O12" s="86"/>
      <c r="P12" s="220"/>
      <c r="Q12" s="221"/>
      <c r="S12" s="28"/>
      <c r="X12" s="28"/>
    </row>
    <row r="13" spans="2:53" ht="14.25" customHeight="1" thickBot="1" x14ac:dyDescent="0.25">
      <c r="B13" s="60"/>
      <c r="C13" s="148"/>
      <c r="D13" s="173"/>
      <c r="E13" s="60"/>
      <c r="F13" s="64"/>
      <c r="G13" s="92"/>
      <c r="H13" s="66"/>
      <c r="I13" s="66"/>
      <c r="J13" s="66"/>
      <c r="K13" s="67"/>
      <c r="L13" s="68">
        <f>SUM(L5:L12)</f>
        <v>0</v>
      </c>
      <c r="M13" s="69" t="e">
        <f>AVERAGE(M5:M12)</f>
        <v>#DIV/0!</v>
      </c>
      <c r="N13" s="70">
        <f>SUM(N5:N12)</f>
        <v>0</v>
      </c>
      <c r="O13" s="69" t="e">
        <f>AVERAGE(O5:O12)</f>
        <v>#DIV/0!</v>
      </c>
      <c r="P13" s="217" t="e">
        <f>AVERAGE(P5:P12)</f>
        <v>#DIV/0!</v>
      </c>
      <c r="Q13" s="225"/>
    </row>
    <row r="14" spans="2:53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6"/>
      <c r="M14" s="177"/>
      <c r="N14" s="176"/>
      <c r="O14" s="177"/>
      <c r="P14" s="178"/>
      <c r="S14" s="28"/>
      <c r="X14" s="28"/>
    </row>
    <row r="15" spans="2:53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6"/>
      <c r="M15" s="177"/>
      <c r="N15" s="176"/>
      <c r="O15" s="177"/>
      <c r="P15" s="178"/>
    </row>
    <row r="16" spans="2:53" ht="14.25" customHeight="1" x14ac:dyDescent="0.2">
      <c r="B16" s="178"/>
      <c r="C16" s="177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S16" s="28"/>
      <c r="X16" s="28"/>
    </row>
    <row r="17" spans="2:53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72"/>
      <c r="N17" s="15"/>
      <c r="O17" s="72"/>
      <c r="P17" s="73"/>
    </row>
    <row r="18" spans="2:53" ht="18" customHeight="1" thickBot="1" x14ac:dyDescent="0.25">
      <c r="B18" s="17" t="s">
        <v>23</v>
      </c>
      <c r="C18" s="17"/>
      <c r="M18" s="74"/>
      <c r="N18" s="74"/>
      <c r="O18" s="74"/>
      <c r="P18" s="75"/>
      <c r="S18" s="28"/>
      <c r="X18" s="28"/>
    </row>
    <row r="19" spans="2:53" s="6" customFormat="1" ht="15.75" customHeight="1" thickBot="1" x14ac:dyDescent="0.25">
      <c r="B19" s="385" t="s">
        <v>1</v>
      </c>
      <c r="C19" s="387" t="s">
        <v>77</v>
      </c>
      <c r="D19" s="389" t="s">
        <v>275</v>
      </c>
      <c r="E19" s="385" t="s">
        <v>3</v>
      </c>
      <c r="F19" s="391" t="s">
        <v>101</v>
      </c>
      <c r="G19" s="389" t="s">
        <v>5</v>
      </c>
      <c r="H19" s="406"/>
      <c r="I19" s="406"/>
      <c r="J19" s="406"/>
      <c r="K19" s="406"/>
      <c r="L19" s="247" t="s">
        <v>6</v>
      </c>
      <c r="M19" s="248"/>
      <c r="N19" s="248"/>
      <c r="O19" s="248"/>
      <c r="P19" s="248"/>
      <c r="Q19" s="249"/>
      <c r="R19" s="29"/>
      <c r="S19" s="24"/>
      <c r="T19" s="29"/>
      <c r="U19" s="29"/>
      <c r="V19" s="29"/>
      <c r="W19" s="29"/>
      <c r="X19" s="24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</row>
    <row r="20" spans="2:53" s="6" customFormat="1" ht="36" customHeight="1" thickBot="1" x14ac:dyDescent="0.25">
      <c r="B20" s="386"/>
      <c r="C20" s="388"/>
      <c r="D20" s="390"/>
      <c r="E20" s="386"/>
      <c r="F20" s="392"/>
      <c r="G20" s="301" t="s">
        <v>116</v>
      </c>
      <c r="H20" s="153" t="s">
        <v>118</v>
      </c>
      <c r="I20" s="153" t="s">
        <v>120</v>
      </c>
      <c r="J20" s="153" t="s">
        <v>112</v>
      </c>
      <c r="K20" s="154" t="s">
        <v>114</v>
      </c>
      <c r="L20" s="206" t="s">
        <v>18</v>
      </c>
      <c r="M20" s="207" t="s">
        <v>19</v>
      </c>
      <c r="N20" s="207" t="s">
        <v>20</v>
      </c>
      <c r="O20" s="207" t="s">
        <v>21</v>
      </c>
      <c r="P20" s="208" t="s">
        <v>22</v>
      </c>
      <c r="Q20" s="224" t="s">
        <v>106</v>
      </c>
      <c r="R20" s="29"/>
      <c r="S20" s="28"/>
      <c r="T20" s="29"/>
      <c r="U20" s="29"/>
      <c r="V20" s="29"/>
      <c r="W20" s="29"/>
      <c r="X20" s="28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</row>
    <row r="21" spans="2:53" ht="15.75" customHeight="1" x14ac:dyDescent="0.2">
      <c r="B21" s="12" t="s">
        <v>107</v>
      </c>
      <c r="C21" s="100"/>
      <c r="D21" s="31"/>
      <c r="E21" s="12"/>
      <c r="F21" s="32"/>
      <c r="G21" s="298"/>
      <c r="H21" s="299"/>
      <c r="I21" s="299"/>
      <c r="J21" s="299"/>
      <c r="K21" s="300"/>
      <c r="L21" s="77"/>
      <c r="M21" s="38"/>
      <c r="N21" s="39"/>
      <c r="O21" s="78"/>
      <c r="P21" s="180"/>
      <c r="Q21" s="218"/>
    </row>
    <row r="22" spans="2:53" ht="15.75" customHeight="1" x14ac:dyDescent="0.2">
      <c r="B22" s="13" t="s">
        <v>108</v>
      </c>
      <c r="C22" s="101"/>
      <c r="D22" s="42"/>
      <c r="E22" s="13"/>
      <c r="F22" s="43"/>
      <c r="G22" s="209"/>
      <c r="H22" s="46"/>
      <c r="I22" s="46"/>
      <c r="J22" s="46"/>
      <c r="K22" s="80"/>
      <c r="L22" s="81"/>
      <c r="M22" s="49"/>
      <c r="N22" s="50"/>
      <c r="O22" s="82"/>
      <c r="P22" s="181"/>
      <c r="Q22" s="219"/>
      <c r="S22" s="28"/>
      <c r="X22" s="28"/>
    </row>
    <row r="23" spans="2:53" ht="15.75" customHeight="1" x14ac:dyDescent="0.2">
      <c r="B23" s="13" t="s">
        <v>80</v>
      </c>
      <c r="C23" s="101"/>
      <c r="D23" s="42"/>
      <c r="E23" s="13"/>
      <c r="F23" s="43"/>
      <c r="G23" s="209"/>
      <c r="H23" s="46"/>
      <c r="I23" s="46"/>
      <c r="J23" s="46"/>
      <c r="K23" s="80"/>
      <c r="L23" s="81"/>
      <c r="M23" s="49"/>
      <c r="N23" s="50"/>
      <c r="O23" s="82"/>
      <c r="P23" s="181"/>
      <c r="Q23" s="219"/>
    </row>
    <row r="24" spans="2:53" ht="15.75" customHeight="1" x14ac:dyDescent="0.2">
      <c r="B24" s="13" t="s">
        <v>81</v>
      </c>
      <c r="C24" s="101"/>
      <c r="D24" s="42"/>
      <c r="E24" s="13"/>
      <c r="F24" s="43"/>
      <c r="G24" s="209"/>
      <c r="H24" s="46"/>
      <c r="I24" s="46"/>
      <c r="J24" s="46"/>
      <c r="K24" s="80"/>
      <c r="L24" s="81"/>
      <c r="M24" s="49"/>
      <c r="N24" s="50"/>
      <c r="O24" s="82"/>
      <c r="P24" s="181"/>
      <c r="Q24" s="219"/>
      <c r="S24" s="28"/>
      <c r="X24" s="28"/>
    </row>
    <row r="25" spans="2:53" ht="15.75" customHeight="1" x14ac:dyDescent="0.2">
      <c r="B25" s="13" t="s">
        <v>82</v>
      </c>
      <c r="C25" s="101"/>
      <c r="D25" s="42"/>
      <c r="E25" s="13"/>
      <c r="F25" s="43"/>
      <c r="G25" s="209"/>
      <c r="H25" s="46"/>
      <c r="I25" s="46"/>
      <c r="J25" s="46"/>
      <c r="K25" s="80"/>
      <c r="L25" s="81"/>
      <c r="M25" s="49"/>
      <c r="N25" s="50"/>
      <c r="O25" s="82"/>
      <c r="P25" s="181"/>
      <c r="Q25" s="219"/>
    </row>
    <row r="26" spans="2:53" ht="15.75" customHeight="1" x14ac:dyDescent="0.2">
      <c r="B26" s="13" t="s">
        <v>83</v>
      </c>
      <c r="C26" s="101"/>
      <c r="D26" s="42"/>
      <c r="E26" s="13"/>
      <c r="F26" s="43"/>
      <c r="G26" s="209"/>
      <c r="H26" s="46"/>
      <c r="I26" s="46"/>
      <c r="J26" s="46"/>
      <c r="K26" s="80"/>
      <c r="L26" s="81"/>
      <c r="M26" s="49"/>
      <c r="N26" s="50"/>
      <c r="O26" s="82"/>
      <c r="P26" s="181"/>
      <c r="Q26" s="219"/>
      <c r="S26" s="28"/>
      <c r="X26" s="28"/>
    </row>
    <row r="27" spans="2:53" ht="15.75" customHeight="1" x14ac:dyDescent="0.2">
      <c r="B27" s="13" t="s">
        <v>84</v>
      </c>
      <c r="C27" s="101"/>
      <c r="D27" s="42"/>
      <c r="E27" s="13"/>
      <c r="F27" s="43"/>
      <c r="G27" s="209"/>
      <c r="H27" s="46"/>
      <c r="I27" s="46"/>
      <c r="J27" s="46"/>
      <c r="K27" s="80"/>
      <c r="L27" s="81"/>
      <c r="M27" s="49"/>
      <c r="N27" s="50"/>
      <c r="O27" s="82"/>
      <c r="P27" s="181"/>
      <c r="Q27" s="219"/>
    </row>
    <row r="28" spans="2:53" ht="15.75" customHeight="1" thickBot="1" x14ac:dyDescent="0.25">
      <c r="B28" s="228" t="s">
        <v>85</v>
      </c>
      <c r="C28" s="229"/>
      <c r="D28" s="230"/>
      <c r="E28" s="228"/>
      <c r="F28" s="231"/>
      <c r="G28" s="232"/>
      <c r="H28" s="233"/>
      <c r="I28" s="233"/>
      <c r="J28" s="233"/>
      <c r="K28" s="234"/>
      <c r="L28" s="235"/>
      <c r="M28" s="236"/>
      <c r="N28" s="237"/>
      <c r="O28" s="238"/>
      <c r="P28" s="239"/>
      <c r="Q28" s="240"/>
      <c r="S28" s="28"/>
      <c r="X28" s="28"/>
    </row>
    <row r="29" spans="2:53" ht="15.75" customHeight="1" thickBot="1" x14ac:dyDescent="0.25">
      <c r="B29" s="171"/>
      <c r="C29" s="241"/>
      <c r="D29" s="242"/>
      <c r="E29" s="171"/>
      <c r="F29" s="243"/>
      <c r="G29" s="244"/>
      <c r="H29" s="245"/>
      <c r="I29" s="245"/>
      <c r="J29" s="245"/>
      <c r="K29" s="246"/>
      <c r="L29" s="190">
        <f>SUM(L21:L28)</f>
        <v>0</v>
      </c>
      <c r="M29" s="191" t="e">
        <f>AVERAGE(M21:M28)</f>
        <v>#DIV/0!</v>
      </c>
      <c r="N29" s="192">
        <f>SUM(N21:N28)</f>
        <v>0</v>
      </c>
      <c r="O29" s="191" t="e">
        <f>AVERAGE(O21:O28)</f>
        <v>#DIV/0!</v>
      </c>
      <c r="P29" s="193" t="e">
        <f>AVERAGE(P21:P28)</f>
        <v>#DIV/0!</v>
      </c>
      <c r="Q29" s="222"/>
    </row>
    <row r="30" spans="2:53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6"/>
      <c r="M30" s="177"/>
      <c r="N30" s="176"/>
      <c r="O30" s="177"/>
      <c r="P30" s="178"/>
      <c r="S30" s="28"/>
      <c r="X30" s="28"/>
    </row>
    <row r="31" spans="2:53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6"/>
      <c r="M31" s="177"/>
      <c r="N31" s="176"/>
      <c r="O31" s="177"/>
      <c r="P31" s="178"/>
    </row>
    <row r="32" spans="2:53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6"/>
      <c r="M32" s="177"/>
      <c r="N32" s="176"/>
      <c r="O32" s="177"/>
      <c r="P32" s="176"/>
      <c r="S32" s="28"/>
      <c r="X32" s="28"/>
    </row>
    <row r="33" spans="2:53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72"/>
      <c r="N33" s="15"/>
      <c r="O33" s="72"/>
      <c r="P33" s="73"/>
    </row>
    <row r="34" spans="2:53" ht="15" customHeight="1" thickBot="1" x14ac:dyDescent="0.25">
      <c r="B34" s="17" t="s">
        <v>25</v>
      </c>
      <c r="C34" s="17"/>
      <c r="M34" s="90"/>
      <c r="N34" s="90"/>
      <c r="O34" s="90"/>
      <c r="S34" s="28"/>
      <c r="X34" s="28"/>
    </row>
    <row r="35" spans="2:53" s="6" customFormat="1" ht="12" customHeight="1" thickBot="1" x14ac:dyDescent="0.25">
      <c r="B35" s="385" t="s">
        <v>1</v>
      </c>
      <c r="C35" s="387" t="s">
        <v>77</v>
      </c>
      <c r="D35" s="389" t="s">
        <v>275</v>
      </c>
      <c r="E35" s="385" t="s">
        <v>3</v>
      </c>
      <c r="F35" s="391" t="s">
        <v>101</v>
      </c>
      <c r="G35" s="389" t="s">
        <v>5</v>
      </c>
      <c r="H35" s="406"/>
      <c r="I35" s="406"/>
      <c r="J35" s="406"/>
      <c r="K35" s="406"/>
      <c r="L35" s="247" t="s">
        <v>6</v>
      </c>
      <c r="M35" s="248"/>
      <c r="N35" s="248"/>
      <c r="O35" s="248"/>
      <c r="P35" s="248"/>
      <c r="Q35" s="249"/>
      <c r="R35" s="29"/>
      <c r="S35" s="24"/>
      <c r="T35" s="29"/>
      <c r="U35" s="29"/>
      <c r="V35" s="29"/>
      <c r="W35" s="29"/>
      <c r="X35" s="24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</row>
    <row r="36" spans="2:53" s="6" customFormat="1" ht="33" customHeight="1" thickBot="1" x14ac:dyDescent="0.25">
      <c r="B36" s="386"/>
      <c r="C36" s="388"/>
      <c r="D36" s="390"/>
      <c r="E36" s="386"/>
      <c r="F36" s="392"/>
      <c r="G36" s="301" t="s">
        <v>116</v>
      </c>
      <c r="H36" s="153" t="s">
        <v>118</v>
      </c>
      <c r="I36" s="153" t="s">
        <v>120</v>
      </c>
      <c r="J36" s="153" t="s">
        <v>112</v>
      </c>
      <c r="K36" s="154" t="s">
        <v>114</v>
      </c>
      <c r="L36" s="206" t="s">
        <v>18</v>
      </c>
      <c r="M36" s="207" t="s">
        <v>19</v>
      </c>
      <c r="N36" s="207" t="s">
        <v>20</v>
      </c>
      <c r="O36" s="207" t="s">
        <v>21</v>
      </c>
      <c r="P36" s="208" t="s">
        <v>22</v>
      </c>
      <c r="Q36" s="224" t="s">
        <v>106</v>
      </c>
      <c r="R36" s="29"/>
      <c r="S36" s="28"/>
      <c r="T36" s="29"/>
      <c r="U36" s="29"/>
      <c r="V36" s="29"/>
      <c r="W36" s="29"/>
      <c r="X36" s="28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</row>
    <row r="37" spans="2:53" ht="15" customHeight="1" x14ac:dyDescent="0.2">
      <c r="B37" s="12" t="s">
        <v>107</v>
      </c>
      <c r="C37" s="100"/>
      <c r="D37" s="31"/>
      <c r="E37" s="12"/>
      <c r="F37" s="32"/>
      <c r="G37" s="298"/>
      <c r="H37" s="299"/>
      <c r="I37" s="299"/>
      <c r="J37" s="299"/>
      <c r="K37" s="300"/>
      <c r="L37" s="77"/>
      <c r="M37" s="38"/>
      <c r="N37" s="39"/>
      <c r="O37" s="78"/>
      <c r="P37" s="180"/>
      <c r="Q37" s="218"/>
    </row>
    <row r="38" spans="2:53" ht="15" customHeight="1" x14ac:dyDescent="0.2">
      <c r="B38" s="13" t="s">
        <v>108</v>
      </c>
      <c r="C38" s="101"/>
      <c r="D38" s="42"/>
      <c r="E38" s="13"/>
      <c r="F38" s="43"/>
      <c r="G38" s="209"/>
      <c r="H38" s="46"/>
      <c r="I38" s="46"/>
      <c r="J38" s="46"/>
      <c r="K38" s="80"/>
      <c r="L38" s="81"/>
      <c r="M38" s="49"/>
      <c r="N38" s="50"/>
      <c r="O38" s="82"/>
      <c r="P38" s="181"/>
      <c r="Q38" s="219"/>
      <c r="S38" s="28"/>
      <c r="X38" s="28"/>
    </row>
    <row r="39" spans="2:53" ht="15" customHeight="1" x14ac:dyDescent="0.2">
      <c r="B39" s="13" t="s">
        <v>80</v>
      </c>
      <c r="C39" s="101"/>
      <c r="D39" s="42"/>
      <c r="E39" s="13"/>
      <c r="F39" s="43"/>
      <c r="G39" s="209"/>
      <c r="H39" s="46"/>
      <c r="I39" s="46"/>
      <c r="J39" s="46"/>
      <c r="K39" s="80"/>
      <c r="L39" s="81"/>
      <c r="M39" s="49"/>
      <c r="N39" s="50"/>
      <c r="O39" s="82"/>
      <c r="P39" s="181"/>
      <c r="Q39" s="219"/>
    </row>
    <row r="40" spans="2:53" ht="15" customHeight="1" x14ac:dyDescent="0.2">
      <c r="B40" s="13" t="s">
        <v>81</v>
      </c>
      <c r="C40" s="101"/>
      <c r="D40" s="42"/>
      <c r="E40" s="13"/>
      <c r="F40" s="43"/>
      <c r="G40" s="209"/>
      <c r="H40" s="46"/>
      <c r="I40" s="46"/>
      <c r="J40" s="46"/>
      <c r="K40" s="80"/>
      <c r="L40" s="81"/>
      <c r="M40" s="49"/>
      <c r="N40" s="50"/>
      <c r="O40" s="82"/>
      <c r="P40" s="181"/>
      <c r="Q40" s="219"/>
      <c r="S40" s="28"/>
      <c r="X40" s="28"/>
    </row>
    <row r="41" spans="2:53" ht="15" customHeight="1" x14ac:dyDescent="0.2">
      <c r="B41" s="13" t="s">
        <v>82</v>
      </c>
      <c r="C41" s="101"/>
      <c r="D41" s="42"/>
      <c r="E41" s="13"/>
      <c r="F41" s="43"/>
      <c r="G41" s="209"/>
      <c r="H41" s="46"/>
      <c r="I41" s="46"/>
      <c r="J41" s="46"/>
      <c r="K41" s="80"/>
      <c r="L41" s="81"/>
      <c r="M41" s="49"/>
      <c r="N41" s="50"/>
      <c r="O41" s="82"/>
      <c r="P41" s="181"/>
      <c r="Q41" s="219"/>
    </row>
    <row r="42" spans="2:53" ht="15" customHeight="1" x14ac:dyDescent="0.2">
      <c r="B42" s="13" t="s">
        <v>83</v>
      </c>
      <c r="C42" s="101"/>
      <c r="D42" s="42"/>
      <c r="E42" s="13"/>
      <c r="F42" s="43"/>
      <c r="G42" s="209"/>
      <c r="H42" s="46"/>
      <c r="I42" s="46"/>
      <c r="J42" s="46"/>
      <c r="K42" s="80"/>
      <c r="L42" s="81"/>
      <c r="M42" s="49"/>
      <c r="N42" s="50"/>
      <c r="O42" s="82"/>
      <c r="P42" s="181"/>
      <c r="Q42" s="219"/>
      <c r="S42" s="28"/>
      <c r="X42" s="28"/>
    </row>
    <row r="43" spans="2:53" ht="15" customHeight="1" x14ac:dyDescent="0.2">
      <c r="B43" s="13" t="s">
        <v>84</v>
      </c>
      <c r="C43" s="101"/>
      <c r="D43" s="42"/>
      <c r="E43" s="13"/>
      <c r="F43" s="43"/>
      <c r="G43" s="209"/>
      <c r="H43" s="46"/>
      <c r="I43" s="46"/>
      <c r="J43" s="46"/>
      <c r="K43" s="80"/>
      <c r="L43" s="81"/>
      <c r="M43" s="49"/>
      <c r="N43" s="50"/>
      <c r="O43" s="82"/>
      <c r="P43" s="181"/>
      <c r="Q43" s="219"/>
    </row>
    <row r="44" spans="2:53" ht="15" customHeight="1" thickBot="1" x14ac:dyDescent="0.25">
      <c r="B44" s="228" t="s">
        <v>85</v>
      </c>
      <c r="C44" s="229"/>
      <c r="D44" s="230"/>
      <c r="E44" s="228"/>
      <c r="F44" s="231"/>
      <c r="G44" s="232"/>
      <c r="H44" s="233"/>
      <c r="I44" s="233"/>
      <c r="J44" s="233"/>
      <c r="K44" s="234"/>
      <c r="L44" s="235"/>
      <c r="M44" s="236"/>
      <c r="N44" s="237"/>
      <c r="O44" s="238"/>
      <c r="P44" s="239"/>
      <c r="Q44" s="240"/>
      <c r="S44" s="28"/>
      <c r="X44" s="28"/>
    </row>
    <row r="45" spans="2:53" ht="15" customHeight="1" thickBot="1" x14ac:dyDescent="0.25">
      <c r="B45" s="171"/>
      <c r="C45" s="241"/>
      <c r="D45" s="242"/>
      <c r="E45" s="171"/>
      <c r="F45" s="243"/>
      <c r="G45" s="244"/>
      <c r="H45" s="245"/>
      <c r="I45" s="245"/>
      <c r="J45" s="245"/>
      <c r="K45" s="246"/>
      <c r="L45" s="190">
        <f>SUM(L37:L44)</f>
        <v>0</v>
      </c>
      <c r="M45" s="191" t="e">
        <f>AVERAGE(M37:M44)</f>
        <v>#DIV/0!</v>
      </c>
      <c r="N45" s="192">
        <f>SUM(N37:N44)</f>
        <v>0</v>
      </c>
      <c r="O45" s="191" t="e">
        <f>AVERAGE(O37:O44)</f>
        <v>#DIV/0!</v>
      </c>
      <c r="P45" s="193" t="e">
        <f>AVERAGE(P37:P44)</f>
        <v>#DIV/0!</v>
      </c>
      <c r="Q45" s="222"/>
    </row>
    <row r="46" spans="2:53" ht="15" customHeight="1" x14ac:dyDescent="0.2">
      <c r="B46" s="15"/>
      <c r="C46" s="15"/>
      <c r="D46" s="174"/>
      <c r="E46" s="15"/>
      <c r="F46" s="15"/>
      <c r="G46" s="15"/>
      <c r="H46" s="175"/>
      <c r="I46" s="175"/>
      <c r="J46" s="175"/>
      <c r="K46" s="175"/>
      <c r="L46" s="176"/>
      <c r="M46" s="177"/>
      <c r="N46" s="176"/>
      <c r="O46" s="177"/>
      <c r="P46" s="178"/>
      <c r="S46" s="28"/>
      <c r="X46" s="28"/>
    </row>
    <row r="47" spans="2:53" ht="15" customHeight="1" x14ac:dyDescent="0.2">
      <c r="B47" s="15"/>
      <c r="C47" s="15"/>
      <c r="D47" s="174"/>
      <c r="E47" s="15"/>
      <c r="F47" s="15"/>
      <c r="G47" s="15"/>
      <c r="H47" s="175"/>
      <c r="I47" s="175"/>
      <c r="J47" s="175"/>
      <c r="K47" s="175"/>
      <c r="L47" s="176"/>
      <c r="M47" s="177"/>
      <c r="N47" s="176"/>
      <c r="O47" s="177"/>
      <c r="P47" s="178"/>
    </row>
    <row r="48" spans="2:53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6"/>
      <c r="M48" s="177"/>
      <c r="N48" s="176"/>
      <c r="O48" s="177"/>
      <c r="P48" s="179"/>
      <c r="S48" s="28"/>
      <c r="X48" s="28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72"/>
      <c r="N49" s="15"/>
      <c r="O49" s="72"/>
      <c r="P49" s="73"/>
    </row>
    <row r="50" spans="2:24" ht="15.75" customHeight="1" thickBot="1" x14ac:dyDescent="0.25">
      <c r="B50" s="17" t="s">
        <v>72</v>
      </c>
      <c r="C50" s="17"/>
      <c r="M50" s="90"/>
      <c r="N50" s="90"/>
      <c r="O50" s="90"/>
      <c r="S50" s="28"/>
      <c r="X50" s="28"/>
    </row>
    <row r="51" spans="2:24" ht="15.75" customHeight="1" thickBot="1" x14ac:dyDescent="0.25">
      <c r="B51" s="385" t="s">
        <v>1</v>
      </c>
      <c r="C51" s="387" t="s">
        <v>77</v>
      </c>
      <c r="D51" s="389" t="s">
        <v>275</v>
      </c>
      <c r="E51" s="385" t="s">
        <v>3</v>
      </c>
      <c r="F51" s="391" t="s">
        <v>101</v>
      </c>
      <c r="G51" s="389" t="s">
        <v>5</v>
      </c>
      <c r="H51" s="406"/>
      <c r="I51" s="406"/>
      <c r="J51" s="406"/>
      <c r="K51" s="406"/>
      <c r="L51" s="247" t="s">
        <v>6</v>
      </c>
      <c r="M51" s="248"/>
      <c r="N51" s="248"/>
      <c r="O51" s="248"/>
      <c r="P51" s="248"/>
      <c r="Q51" s="249"/>
    </row>
    <row r="52" spans="2:24" ht="33" customHeight="1" thickBot="1" x14ac:dyDescent="0.25">
      <c r="B52" s="386"/>
      <c r="C52" s="388"/>
      <c r="D52" s="390"/>
      <c r="E52" s="386"/>
      <c r="F52" s="392"/>
      <c r="G52" s="301" t="s">
        <v>116</v>
      </c>
      <c r="H52" s="153" t="s">
        <v>118</v>
      </c>
      <c r="I52" s="153" t="s">
        <v>120</v>
      </c>
      <c r="J52" s="153" t="s">
        <v>112</v>
      </c>
      <c r="K52" s="154" t="s">
        <v>114</v>
      </c>
      <c r="L52" s="206" t="s">
        <v>18</v>
      </c>
      <c r="M52" s="207" t="s">
        <v>19</v>
      </c>
      <c r="N52" s="207" t="s">
        <v>20</v>
      </c>
      <c r="O52" s="207" t="s">
        <v>21</v>
      </c>
      <c r="P52" s="208" t="s">
        <v>22</v>
      </c>
      <c r="Q52" s="224" t="s">
        <v>106</v>
      </c>
      <c r="S52" s="28"/>
      <c r="X52" s="28"/>
    </row>
    <row r="53" spans="2:24" ht="15.75" customHeight="1" x14ac:dyDescent="0.2">
      <c r="B53" s="12" t="s">
        <v>107</v>
      </c>
      <c r="C53" s="100"/>
      <c r="D53" s="31"/>
      <c r="E53" s="12"/>
      <c r="F53" s="32"/>
      <c r="G53" s="298"/>
      <c r="H53" s="299"/>
      <c r="I53" s="299"/>
      <c r="J53" s="299"/>
      <c r="K53" s="300"/>
      <c r="L53" s="77"/>
      <c r="M53" s="38"/>
      <c r="N53" s="39"/>
      <c r="O53" s="78"/>
      <c r="P53" s="180"/>
      <c r="Q53" s="218"/>
    </row>
    <row r="54" spans="2:24" ht="15.75" customHeight="1" x14ac:dyDescent="0.2">
      <c r="B54" s="13" t="s">
        <v>108</v>
      </c>
      <c r="C54" s="101"/>
      <c r="D54" s="42"/>
      <c r="E54" s="13"/>
      <c r="F54" s="43"/>
      <c r="G54" s="209"/>
      <c r="H54" s="46"/>
      <c r="I54" s="46"/>
      <c r="J54" s="46"/>
      <c r="K54" s="80"/>
      <c r="L54" s="81"/>
      <c r="M54" s="49"/>
      <c r="N54" s="50"/>
      <c r="O54" s="82"/>
      <c r="P54" s="181"/>
      <c r="Q54" s="219"/>
      <c r="S54" s="28"/>
      <c r="X54" s="28"/>
    </row>
    <row r="55" spans="2:24" ht="15.75" customHeight="1" x14ac:dyDescent="0.2">
      <c r="B55" s="13" t="s">
        <v>80</v>
      </c>
      <c r="C55" s="101"/>
      <c r="D55" s="42"/>
      <c r="E55" s="13"/>
      <c r="F55" s="43"/>
      <c r="G55" s="209"/>
      <c r="H55" s="46"/>
      <c r="I55" s="46"/>
      <c r="J55" s="46"/>
      <c r="K55" s="80"/>
      <c r="L55" s="81"/>
      <c r="M55" s="49"/>
      <c r="N55" s="50"/>
      <c r="O55" s="82"/>
      <c r="P55" s="181"/>
      <c r="Q55" s="219"/>
    </row>
    <row r="56" spans="2:24" ht="15.75" customHeight="1" x14ac:dyDescent="0.2">
      <c r="B56" s="13" t="s">
        <v>81</v>
      </c>
      <c r="C56" s="101"/>
      <c r="D56" s="42"/>
      <c r="E56" s="13"/>
      <c r="F56" s="43"/>
      <c r="G56" s="209"/>
      <c r="H56" s="46"/>
      <c r="I56" s="46"/>
      <c r="J56" s="46"/>
      <c r="K56" s="80"/>
      <c r="L56" s="81"/>
      <c r="M56" s="49"/>
      <c r="N56" s="50"/>
      <c r="O56" s="82"/>
      <c r="P56" s="181"/>
      <c r="Q56" s="219"/>
      <c r="S56" s="28"/>
      <c r="X56" s="28"/>
    </row>
    <row r="57" spans="2:24" ht="15.75" customHeight="1" x14ac:dyDescent="0.2">
      <c r="B57" s="13" t="s">
        <v>82</v>
      </c>
      <c r="C57" s="101"/>
      <c r="D57" s="42"/>
      <c r="E57" s="13"/>
      <c r="F57" s="43"/>
      <c r="G57" s="209"/>
      <c r="H57" s="46"/>
      <c r="I57" s="46"/>
      <c r="J57" s="46"/>
      <c r="K57" s="80"/>
      <c r="L57" s="81"/>
      <c r="M57" s="49"/>
      <c r="N57" s="50"/>
      <c r="O57" s="82"/>
      <c r="P57" s="181"/>
      <c r="Q57" s="219"/>
    </row>
    <row r="58" spans="2:24" ht="15.75" customHeight="1" x14ac:dyDescent="0.2">
      <c r="B58" s="13" t="s">
        <v>83</v>
      </c>
      <c r="C58" s="101"/>
      <c r="D58" s="42"/>
      <c r="E58" s="13"/>
      <c r="F58" s="43"/>
      <c r="G58" s="209"/>
      <c r="H58" s="46"/>
      <c r="I58" s="46"/>
      <c r="J58" s="46"/>
      <c r="K58" s="80"/>
      <c r="L58" s="81"/>
      <c r="M58" s="49"/>
      <c r="N58" s="50"/>
      <c r="O58" s="82"/>
      <c r="P58" s="181"/>
      <c r="Q58" s="219"/>
      <c r="S58" s="28"/>
      <c r="X58" s="28"/>
    </row>
    <row r="59" spans="2:24" ht="15.75" customHeight="1" x14ac:dyDescent="0.2">
      <c r="B59" s="13" t="s">
        <v>84</v>
      </c>
      <c r="C59" s="101"/>
      <c r="D59" s="42"/>
      <c r="E59" s="13"/>
      <c r="F59" s="43"/>
      <c r="G59" s="209"/>
      <c r="H59" s="46"/>
      <c r="I59" s="46"/>
      <c r="J59" s="46"/>
      <c r="K59" s="80"/>
      <c r="L59" s="81"/>
      <c r="M59" s="49"/>
      <c r="N59" s="50"/>
      <c r="O59" s="82"/>
      <c r="P59" s="181"/>
      <c r="Q59" s="219"/>
    </row>
    <row r="60" spans="2:24" ht="15.75" customHeight="1" thickBot="1" x14ac:dyDescent="0.25">
      <c r="B60" s="228" t="s">
        <v>85</v>
      </c>
      <c r="C60" s="229"/>
      <c r="D60" s="230"/>
      <c r="E60" s="228"/>
      <c r="F60" s="231"/>
      <c r="G60" s="232"/>
      <c r="H60" s="233"/>
      <c r="I60" s="233"/>
      <c r="J60" s="233"/>
      <c r="K60" s="234"/>
      <c r="L60" s="235"/>
      <c r="M60" s="236"/>
      <c r="N60" s="237"/>
      <c r="O60" s="238"/>
      <c r="P60" s="239"/>
      <c r="Q60" s="240"/>
      <c r="S60" s="28"/>
      <c r="X60" s="28"/>
    </row>
    <row r="61" spans="2:24" ht="15.75" customHeight="1" thickBot="1" x14ac:dyDescent="0.25">
      <c r="B61" s="171"/>
      <c r="C61" s="241"/>
      <c r="D61" s="242"/>
      <c r="E61" s="171"/>
      <c r="F61" s="243"/>
      <c r="G61" s="244"/>
      <c r="H61" s="245"/>
      <c r="I61" s="245"/>
      <c r="J61" s="245"/>
      <c r="K61" s="246"/>
      <c r="L61" s="190">
        <f>SUM(L53:L60)</f>
        <v>0</v>
      </c>
      <c r="M61" s="191" t="e">
        <f>AVERAGE(M53:M60)</f>
        <v>#DIV/0!</v>
      </c>
      <c r="N61" s="192">
        <f>SUM(N53:N60)</f>
        <v>0</v>
      </c>
      <c r="O61" s="191" t="e">
        <f>AVERAGE(O53:O60)</f>
        <v>#DIV/0!</v>
      </c>
      <c r="P61" s="193" t="e">
        <f>AVERAGE(P53:P60)</f>
        <v>#DIV/0!</v>
      </c>
      <c r="Q61" s="222"/>
    </row>
    <row r="62" spans="2:24" ht="15.75" customHeight="1" x14ac:dyDescent="0.2">
      <c r="B62" s="15"/>
      <c r="C62" s="15"/>
      <c r="D62" s="174"/>
      <c r="E62" s="15"/>
      <c r="F62" s="15"/>
      <c r="G62" s="15"/>
      <c r="H62" s="175"/>
      <c r="I62" s="175"/>
      <c r="J62" s="175"/>
      <c r="K62" s="175"/>
      <c r="L62" s="176"/>
      <c r="M62" s="177"/>
      <c r="N62" s="176"/>
      <c r="O62" s="177"/>
      <c r="P62" s="178"/>
      <c r="S62" s="28"/>
      <c r="X62" s="28"/>
    </row>
    <row r="63" spans="2:24" ht="15.75" customHeight="1" x14ac:dyDescent="0.2">
      <c r="B63" s="15"/>
      <c r="C63" s="15"/>
      <c r="D63" s="174"/>
      <c r="E63" s="15"/>
      <c r="F63" s="15"/>
      <c r="G63" s="15"/>
      <c r="H63" s="175"/>
      <c r="I63" s="175"/>
      <c r="J63" s="175"/>
      <c r="K63" s="175"/>
      <c r="L63" s="176"/>
      <c r="M63" s="177"/>
      <c r="N63" s="176"/>
      <c r="O63" s="177"/>
      <c r="P63" s="178"/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6"/>
      <c r="M64" s="177"/>
      <c r="N64" s="176"/>
      <c r="O64" s="177"/>
      <c r="P64" s="179"/>
      <c r="S64" s="28"/>
      <c r="X64" s="28"/>
    </row>
    <row r="65" spans="2:53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72"/>
      <c r="N65" s="15"/>
      <c r="O65" s="72"/>
      <c r="P65" s="73"/>
    </row>
    <row r="66" spans="2:53" ht="17.25" customHeight="1" thickBot="1" x14ac:dyDescent="0.25">
      <c r="B66" s="17" t="s">
        <v>37</v>
      </c>
      <c r="C66" s="17"/>
      <c r="M66" s="90"/>
      <c r="N66" s="90"/>
      <c r="O66" s="90"/>
      <c r="S66" s="28"/>
      <c r="X66" s="28"/>
    </row>
    <row r="67" spans="2:53" s="6" customFormat="1" ht="11.25" customHeight="1" thickBot="1" x14ac:dyDescent="0.25">
      <c r="B67" s="385" t="s">
        <v>1</v>
      </c>
      <c r="C67" s="387" t="s">
        <v>77</v>
      </c>
      <c r="D67" s="389" t="s">
        <v>275</v>
      </c>
      <c r="E67" s="385" t="s">
        <v>3</v>
      </c>
      <c r="F67" s="391" t="s">
        <v>101</v>
      </c>
      <c r="G67" s="389" t="s">
        <v>5</v>
      </c>
      <c r="H67" s="406"/>
      <c r="I67" s="406"/>
      <c r="J67" s="406"/>
      <c r="K67" s="406"/>
      <c r="L67" s="247" t="s">
        <v>6</v>
      </c>
      <c r="M67" s="248"/>
      <c r="N67" s="248"/>
      <c r="O67" s="248"/>
      <c r="P67" s="248"/>
      <c r="Q67" s="249"/>
      <c r="R67" s="29"/>
      <c r="S67" s="24"/>
      <c r="T67" s="29"/>
      <c r="U67" s="29"/>
      <c r="V67" s="29"/>
      <c r="W67" s="29"/>
      <c r="X67" s="24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</row>
    <row r="68" spans="2:53" s="6" customFormat="1" ht="31.5" customHeight="1" thickBot="1" x14ac:dyDescent="0.25">
      <c r="B68" s="386"/>
      <c r="C68" s="388"/>
      <c r="D68" s="390"/>
      <c r="E68" s="386"/>
      <c r="F68" s="392"/>
      <c r="G68" s="301" t="s">
        <v>116</v>
      </c>
      <c r="H68" s="153" t="s">
        <v>118</v>
      </c>
      <c r="I68" s="153" t="s">
        <v>120</v>
      </c>
      <c r="J68" s="153" t="s">
        <v>112</v>
      </c>
      <c r="K68" s="154" t="s">
        <v>114</v>
      </c>
      <c r="L68" s="206" t="s">
        <v>18</v>
      </c>
      <c r="M68" s="207" t="s">
        <v>19</v>
      </c>
      <c r="N68" s="207" t="s">
        <v>20</v>
      </c>
      <c r="O68" s="207" t="s">
        <v>21</v>
      </c>
      <c r="P68" s="208" t="s">
        <v>22</v>
      </c>
      <c r="Q68" s="224" t="s">
        <v>106</v>
      </c>
      <c r="R68" s="29"/>
      <c r="S68" s="28"/>
      <c r="T68" s="29"/>
      <c r="U68" s="29"/>
      <c r="V68" s="29"/>
      <c r="W68" s="29"/>
      <c r="X68" s="28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</row>
    <row r="69" spans="2:53" ht="14.25" customHeight="1" x14ac:dyDescent="0.2">
      <c r="B69" s="12" t="s">
        <v>107</v>
      </c>
      <c r="C69" s="100"/>
      <c r="D69" s="31"/>
      <c r="E69" s="12"/>
      <c r="F69" s="32"/>
      <c r="G69" s="298"/>
      <c r="H69" s="299"/>
      <c r="I69" s="299"/>
      <c r="J69" s="299"/>
      <c r="K69" s="300"/>
      <c r="L69" s="77"/>
      <c r="M69" s="38"/>
      <c r="N69" s="39"/>
      <c r="O69" s="78"/>
      <c r="P69" s="180"/>
      <c r="Q69" s="218"/>
    </row>
    <row r="70" spans="2:53" ht="14.25" customHeight="1" x14ac:dyDescent="0.2">
      <c r="B70" s="13" t="s">
        <v>108</v>
      </c>
      <c r="C70" s="101"/>
      <c r="D70" s="42"/>
      <c r="E70" s="13"/>
      <c r="F70" s="43"/>
      <c r="G70" s="209"/>
      <c r="H70" s="46"/>
      <c r="I70" s="46"/>
      <c r="J70" s="46"/>
      <c r="K70" s="80"/>
      <c r="L70" s="81"/>
      <c r="M70" s="49"/>
      <c r="N70" s="50"/>
      <c r="O70" s="82"/>
      <c r="P70" s="181"/>
      <c r="Q70" s="219"/>
      <c r="S70" s="28"/>
      <c r="X70" s="28"/>
    </row>
    <row r="71" spans="2:53" ht="14.25" customHeight="1" x14ac:dyDescent="0.2">
      <c r="B71" s="13" t="s">
        <v>80</v>
      </c>
      <c r="C71" s="101"/>
      <c r="D71" s="42"/>
      <c r="E71" s="13"/>
      <c r="F71" s="43"/>
      <c r="G71" s="209"/>
      <c r="H71" s="46"/>
      <c r="I71" s="46"/>
      <c r="J71" s="46"/>
      <c r="K71" s="80"/>
      <c r="L71" s="81"/>
      <c r="M71" s="49"/>
      <c r="N71" s="50"/>
      <c r="O71" s="82"/>
      <c r="P71" s="181"/>
      <c r="Q71" s="219"/>
    </row>
    <row r="72" spans="2:53" ht="14.25" customHeight="1" x14ac:dyDescent="0.2">
      <c r="B72" s="13" t="s">
        <v>81</v>
      </c>
      <c r="C72" s="101"/>
      <c r="D72" s="42"/>
      <c r="E72" s="13"/>
      <c r="F72" s="43"/>
      <c r="G72" s="209"/>
      <c r="H72" s="46"/>
      <c r="I72" s="46"/>
      <c r="J72" s="46"/>
      <c r="K72" s="80"/>
      <c r="L72" s="81"/>
      <c r="M72" s="49"/>
      <c r="N72" s="50"/>
      <c r="O72" s="82"/>
      <c r="P72" s="181"/>
      <c r="Q72" s="219"/>
      <c r="S72" s="28"/>
      <c r="X72" s="28"/>
    </row>
    <row r="73" spans="2:53" ht="14.25" customHeight="1" x14ac:dyDescent="0.2">
      <c r="B73" s="13" t="s">
        <v>82</v>
      </c>
      <c r="C73" s="101"/>
      <c r="D73" s="42"/>
      <c r="E73" s="13"/>
      <c r="F73" s="43"/>
      <c r="G73" s="209"/>
      <c r="H73" s="46"/>
      <c r="I73" s="46"/>
      <c r="J73" s="46"/>
      <c r="K73" s="80"/>
      <c r="L73" s="81"/>
      <c r="M73" s="49"/>
      <c r="N73" s="50"/>
      <c r="O73" s="82"/>
      <c r="P73" s="181"/>
      <c r="Q73" s="219"/>
    </row>
    <row r="74" spans="2:53" ht="14.25" customHeight="1" x14ac:dyDescent="0.2">
      <c r="B74" s="13" t="s">
        <v>83</v>
      </c>
      <c r="C74" s="101"/>
      <c r="D74" s="42"/>
      <c r="E74" s="13"/>
      <c r="F74" s="43"/>
      <c r="G74" s="209"/>
      <c r="H74" s="46"/>
      <c r="I74" s="46"/>
      <c r="J74" s="46"/>
      <c r="K74" s="80"/>
      <c r="L74" s="81"/>
      <c r="M74" s="49"/>
      <c r="N74" s="50"/>
      <c r="O74" s="82"/>
      <c r="P74" s="181"/>
      <c r="Q74" s="219"/>
      <c r="S74" s="28"/>
      <c r="X74" s="28"/>
    </row>
    <row r="75" spans="2:53" ht="14.25" customHeight="1" x14ac:dyDescent="0.2">
      <c r="B75" s="13" t="s">
        <v>84</v>
      </c>
      <c r="C75" s="101"/>
      <c r="D75" s="42"/>
      <c r="E75" s="13"/>
      <c r="F75" s="43"/>
      <c r="G75" s="209"/>
      <c r="H75" s="46"/>
      <c r="I75" s="46"/>
      <c r="J75" s="46"/>
      <c r="K75" s="80"/>
      <c r="L75" s="81"/>
      <c r="M75" s="49"/>
      <c r="N75" s="50"/>
      <c r="O75" s="82"/>
      <c r="P75" s="181"/>
      <c r="Q75" s="219"/>
    </row>
    <row r="76" spans="2:53" ht="14.25" customHeight="1" thickBot="1" x14ac:dyDescent="0.25">
      <c r="B76" s="228" t="s">
        <v>85</v>
      </c>
      <c r="C76" s="229"/>
      <c r="D76" s="230"/>
      <c r="E76" s="228"/>
      <c r="F76" s="231"/>
      <c r="G76" s="232"/>
      <c r="H76" s="233"/>
      <c r="I76" s="233"/>
      <c r="J76" s="233"/>
      <c r="K76" s="234"/>
      <c r="L76" s="235"/>
      <c r="M76" s="236"/>
      <c r="N76" s="237"/>
      <c r="O76" s="238"/>
      <c r="P76" s="239"/>
      <c r="Q76" s="240"/>
      <c r="S76" s="28"/>
      <c r="X76" s="28"/>
    </row>
    <row r="77" spans="2:53" ht="14.25" customHeight="1" thickBot="1" x14ac:dyDescent="0.25">
      <c r="B77" s="171"/>
      <c r="C77" s="241"/>
      <c r="D77" s="242"/>
      <c r="E77" s="171"/>
      <c r="F77" s="243"/>
      <c r="G77" s="244"/>
      <c r="H77" s="245"/>
      <c r="I77" s="245"/>
      <c r="J77" s="245"/>
      <c r="K77" s="246"/>
      <c r="L77" s="190">
        <f>SUM(L69:L76)</f>
        <v>0</v>
      </c>
      <c r="M77" s="191" t="e">
        <f>AVERAGE(M69:M76)</f>
        <v>#DIV/0!</v>
      </c>
      <c r="N77" s="192">
        <f>SUM(N69:N76)</f>
        <v>0</v>
      </c>
      <c r="O77" s="191" t="e">
        <f>AVERAGE(O69:O76)</f>
        <v>#DIV/0!</v>
      </c>
      <c r="P77" s="193" t="e">
        <f>AVERAGE(P69:P76)</f>
        <v>#DIV/0!</v>
      </c>
      <c r="Q77" s="222"/>
    </row>
    <row r="78" spans="2:53" ht="14.25" customHeight="1" x14ac:dyDescent="0.2">
      <c r="B78" s="15"/>
      <c r="C78" s="15"/>
      <c r="D78" s="174"/>
      <c r="E78" s="15"/>
      <c r="F78" s="15"/>
      <c r="G78" s="15"/>
      <c r="H78" s="175"/>
      <c r="I78" s="175"/>
      <c r="J78" s="175"/>
      <c r="K78" s="175"/>
      <c r="L78" s="176"/>
      <c r="M78" s="177"/>
      <c r="N78" s="176"/>
      <c r="O78" s="177"/>
      <c r="P78" s="178"/>
      <c r="S78" s="28"/>
      <c r="X78" s="28"/>
    </row>
    <row r="79" spans="2:53" ht="14.25" customHeight="1" x14ac:dyDescent="0.2">
      <c r="B79" s="15"/>
      <c r="C79" s="15"/>
      <c r="D79" s="174"/>
      <c r="E79" s="15"/>
      <c r="F79" s="15"/>
      <c r="G79" s="15"/>
      <c r="H79" s="175"/>
      <c r="I79" s="175"/>
      <c r="J79" s="175"/>
      <c r="K79" s="175"/>
      <c r="L79" s="176"/>
      <c r="M79" s="177"/>
      <c r="N79" s="176"/>
      <c r="O79" s="177"/>
      <c r="P79" s="178"/>
    </row>
    <row r="80" spans="2:53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6"/>
      <c r="M80" s="177"/>
      <c r="N80" s="176"/>
      <c r="O80" s="177"/>
      <c r="P80" s="179"/>
      <c r="S80" s="28"/>
      <c r="X80" s="28"/>
    </row>
    <row r="81" spans="2:53" ht="73.5" customHeight="1" x14ac:dyDescent="0.2">
      <c r="M81" s="90"/>
      <c r="N81" s="90"/>
      <c r="O81" s="90"/>
    </row>
    <row r="82" spans="2:53" ht="13.5" customHeight="1" thickBot="1" x14ac:dyDescent="0.25">
      <c r="B82" s="17" t="s">
        <v>48</v>
      </c>
      <c r="C82" s="17"/>
      <c r="M82" s="90"/>
      <c r="N82" s="90"/>
      <c r="O82" s="90"/>
      <c r="S82" s="28"/>
      <c r="X82" s="28"/>
    </row>
    <row r="83" spans="2:53" s="6" customFormat="1" ht="15" customHeight="1" thickBot="1" x14ac:dyDescent="0.25">
      <c r="B83" s="385" t="s">
        <v>1</v>
      </c>
      <c r="C83" s="387" t="s">
        <v>77</v>
      </c>
      <c r="D83" s="389" t="s">
        <v>275</v>
      </c>
      <c r="E83" s="385" t="s">
        <v>3</v>
      </c>
      <c r="F83" s="391" t="s">
        <v>101</v>
      </c>
      <c r="G83" s="389" t="s">
        <v>5</v>
      </c>
      <c r="H83" s="406"/>
      <c r="I83" s="406"/>
      <c r="J83" s="406"/>
      <c r="K83" s="406"/>
      <c r="L83" s="247" t="s">
        <v>6</v>
      </c>
      <c r="M83" s="248"/>
      <c r="N83" s="248"/>
      <c r="O83" s="248"/>
      <c r="P83" s="248"/>
      <c r="Q83" s="249"/>
      <c r="R83" s="29"/>
      <c r="S83" s="24"/>
      <c r="T83" s="29"/>
      <c r="U83" s="29"/>
      <c r="V83" s="29"/>
      <c r="W83" s="29"/>
      <c r="X83" s="24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</row>
    <row r="84" spans="2:53" s="6" customFormat="1" ht="27.75" customHeight="1" thickBot="1" x14ac:dyDescent="0.25">
      <c r="B84" s="386"/>
      <c r="C84" s="388"/>
      <c r="D84" s="390"/>
      <c r="E84" s="386"/>
      <c r="F84" s="392"/>
      <c r="G84" s="301" t="s">
        <v>116</v>
      </c>
      <c r="H84" s="153" t="s">
        <v>118</v>
      </c>
      <c r="I84" s="153" t="s">
        <v>120</v>
      </c>
      <c r="J84" s="153" t="s">
        <v>112</v>
      </c>
      <c r="K84" s="154" t="s">
        <v>114</v>
      </c>
      <c r="L84" s="206" t="s">
        <v>18</v>
      </c>
      <c r="M84" s="207" t="s">
        <v>19</v>
      </c>
      <c r="N84" s="207" t="s">
        <v>20</v>
      </c>
      <c r="O84" s="207" t="s">
        <v>21</v>
      </c>
      <c r="P84" s="208" t="s">
        <v>22</v>
      </c>
      <c r="Q84" s="224" t="s">
        <v>106</v>
      </c>
      <c r="R84" s="29"/>
      <c r="S84" s="28"/>
      <c r="T84" s="29"/>
      <c r="U84" s="29"/>
      <c r="V84" s="29"/>
      <c r="W84" s="29"/>
      <c r="X84" s="28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</row>
    <row r="85" spans="2:53" ht="15" customHeight="1" x14ac:dyDescent="0.2">
      <c r="B85" s="12" t="s">
        <v>107</v>
      </c>
      <c r="C85" s="100"/>
      <c r="D85" s="31"/>
      <c r="E85" s="12"/>
      <c r="F85" s="32"/>
      <c r="G85" s="298"/>
      <c r="H85" s="299"/>
      <c r="I85" s="299"/>
      <c r="J85" s="299"/>
      <c r="K85" s="300"/>
      <c r="L85" s="77"/>
      <c r="M85" s="38"/>
      <c r="N85" s="39"/>
      <c r="O85" s="78"/>
      <c r="P85" s="180"/>
      <c r="Q85" s="218"/>
    </row>
    <row r="86" spans="2:53" ht="15" customHeight="1" x14ac:dyDescent="0.2">
      <c r="B86" s="13" t="s">
        <v>108</v>
      </c>
      <c r="C86" s="101"/>
      <c r="D86" s="42"/>
      <c r="E86" s="13"/>
      <c r="F86" s="43"/>
      <c r="G86" s="209"/>
      <c r="H86" s="46"/>
      <c r="I86" s="46"/>
      <c r="J86" s="46"/>
      <c r="K86" s="80"/>
      <c r="L86" s="81"/>
      <c r="M86" s="49"/>
      <c r="N86" s="50"/>
      <c r="O86" s="82"/>
      <c r="P86" s="181"/>
      <c r="Q86" s="219"/>
      <c r="S86" s="28"/>
      <c r="X86" s="28"/>
    </row>
    <row r="87" spans="2:53" ht="15" customHeight="1" x14ac:dyDescent="0.2">
      <c r="B87" s="13" t="s">
        <v>80</v>
      </c>
      <c r="C87" s="101"/>
      <c r="D87" s="42"/>
      <c r="E87" s="13"/>
      <c r="F87" s="43"/>
      <c r="G87" s="209"/>
      <c r="H87" s="46"/>
      <c r="I87" s="46"/>
      <c r="J87" s="46"/>
      <c r="K87" s="80"/>
      <c r="L87" s="81"/>
      <c r="M87" s="49"/>
      <c r="N87" s="50"/>
      <c r="O87" s="82"/>
      <c r="P87" s="181"/>
      <c r="Q87" s="219"/>
    </row>
    <row r="88" spans="2:53" ht="15" customHeight="1" x14ac:dyDescent="0.2">
      <c r="B88" s="13" t="s">
        <v>81</v>
      </c>
      <c r="C88" s="101"/>
      <c r="D88" s="42"/>
      <c r="E88" s="13"/>
      <c r="F88" s="43"/>
      <c r="G88" s="209"/>
      <c r="H88" s="46"/>
      <c r="I88" s="46"/>
      <c r="J88" s="46"/>
      <c r="K88" s="80"/>
      <c r="L88" s="81"/>
      <c r="M88" s="49"/>
      <c r="N88" s="50"/>
      <c r="O88" s="82"/>
      <c r="P88" s="181"/>
      <c r="Q88" s="219"/>
      <c r="S88" s="28"/>
      <c r="X88" s="28"/>
    </row>
    <row r="89" spans="2:53" ht="15" customHeight="1" x14ac:dyDescent="0.2">
      <c r="B89" s="13" t="s">
        <v>82</v>
      </c>
      <c r="C89" s="101"/>
      <c r="D89" s="42"/>
      <c r="E89" s="13"/>
      <c r="F89" s="43"/>
      <c r="G89" s="209"/>
      <c r="H89" s="46"/>
      <c r="I89" s="46"/>
      <c r="J89" s="46"/>
      <c r="K89" s="80"/>
      <c r="L89" s="81"/>
      <c r="M89" s="49"/>
      <c r="N89" s="50"/>
      <c r="O89" s="82"/>
      <c r="P89" s="181"/>
      <c r="Q89" s="219"/>
    </row>
    <row r="90" spans="2:53" ht="15" customHeight="1" x14ac:dyDescent="0.2">
      <c r="B90" s="13" t="s">
        <v>83</v>
      </c>
      <c r="C90" s="101"/>
      <c r="D90" s="42"/>
      <c r="E90" s="13"/>
      <c r="F90" s="43"/>
      <c r="G90" s="209"/>
      <c r="H90" s="46"/>
      <c r="I90" s="46"/>
      <c r="J90" s="46"/>
      <c r="K90" s="80"/>
      <c r="L90" s="81"/>
      <c r="M90" s="49"/>
      <c r="N90" s="50"/>
      <c r="O90" s="82"/>
      <c r="P90" s="181"/>
      <c r="Q90" s="219"/>
      <c r="S90" s="28"/>
      <c r="X90" s="28"/>
    </row>
    <row r="91" spans="2:53" ht="15" customHeight="1" x14ac:dyDescent="0.2">
      <c r="B91" s="13" t="s">
        <v>84</v>
      </c>
      <c r="C91" s="101"/>
      <c r="D91" s="42"/>
      <c r="E91" s="13"/>
      <c r="F91" s="43"/>
      <c r="G91" s="209"/>
      <c r="H91" s="46"/>
      <c r="I91" s="46"/>
      <c r="J91" s="46"/>
      <c r="K91" s="80"/>
      <c r="L91" s="81"/>
      <c r="M91" s="49"/>
      <c r="N91" s="50"/>
      <c r="O91" s="82"/>
      <c r="P91" s="181"/>
      <c r="Q91" s="219"/>
    </row>
    <row r="92" spans="2:53" ht="15" customHeight="1" thickBot="1" x14ac:dyDescent="0.25">
      <c r="B92" s="13" t="s">
        <v>85</v>
      </c>
      <c r="C92" s="101"/>
      <c r="D92" s="42"/>
      <c r="E92" s="13"/>
      <c r="F92" s="43"/>
      <c r="G92" s="209"/>
      <c r="H92" s="46"/>
      <c r="I92" s="46"/>
      <c r="J92" s="46"/>
      <c r="K92" s="80"/>
      <c r="L92" s="81"/>
      <c r="M92" s="49"/>
      <c r="N92" s="50"/>
      <c r="O92" s="82"/>
      <c r="P92" s="181"/>
      <c r="Q92" s="221"/>
      <c r="S92" s="28"/>
      <c r="X92" s="28"/>
    </row>
    <row r="93" spans="2:53" ht="15" customHeight="1" thickBot="1" x14ac:dyDescent="0.25">
      <c r="B93" s="60"/>
      <c r="C93" s="148"/>
      <c r="D93" s="173"/>
      <c r="E93" s="171"/>
      <c r="F93" s="172"/>
      <c r="G93" s="210"/>
      <c r="H93" s="211"/>
      <c r="I93" s="211"/>
      <c r="J93" s="211"/>
      <c r="K93" s="212"/>
      <c r="L93" s="190">
        <f>SUM(L85:L92)</f>
        <v>0</v>
      </c>
      <c r="M93" s="191" t="e">
        <f>AVERAGE(M85:M92)</f>
        <v>#DIV/0!</v>
      </c>
      <c r="N93" s="192">
        <f>SUM(N85:N92)</f>
        <v>0</v>
      </c>
      <c r="O93" s="191" t="e">
        <f>AVERAGE(O85:O92)</f>
        <v>#DIV/0!</v>
      </c>
      <c r="P93" s="193" t="e">
        <f>AVERAGE(P85:P92)</f>
        <v>#DIV/0!</v>
      </c>
      <c r="Q93" s="225"/>
    </row>
    <row r="94" spans="2:53" ht="15" customHeight="1" x14ac:dyDescent="0.2">
      <c r="B94" s="15"/>
      <c r="C94" s="15"/>
      <c r="D94" s="174"/>
      <c r="E94" s="15"/>
      <c r="F94" s="15"/>
      <c r="G94" s="15"/>
      <c r="H94" s="175"/>
      <c r="I94" s="175"/>
      <c r="J94" s="175"/>
      <c r="K94" s="175"/>
      <c r="L94" s="176"/>
      <c r="M94" s="177"/>
      <c r="N94" s="176"/>
      <c r="O94" s="177"/>
      <c r="P94" s="178"/>
      <c r="S94" s="28"/>
      <c r="X94" s="28"/>
    </row>
    <row r="95" spans="2:53" ht="15" customHeight="1" x14ac:dyDescent="0.2">
      <c r="B95" s="15"/>
      <c r="C95" s="15"/>
      <c r="D95" s="174"/>
      <c r="E95" s="15"/>
      <c r="F95" s="15"/>
      <c r="G95" s="15"/>
      <c r="H95" s="175"/>
      <c r="I95" s="175"/>
      <c r="J95" s="175"/>
      <c r="K95" s="175"/>
      <c r="L95" s="176"/>
      <c r="M95" s="177"/>
      <c r="N95" s="176"/>
      <c r="O95" s="177"/>
      <c r="P95" s="178"/>
    </row>
    <row r="96" spans="2:53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176"/>
      <c r="M96" s="177"/>
      <c r="N96" s="176"/>
      <c r="O96" s="177"/>
      <c r="P96" s="179"/>
      <c r="S96" s="28"/>
      <c r="X96" s="28"/>
    </row>
    <row r="97" spans="2:53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15"/>
      <c r="M97" s="72"/>
      <c r="N97" s="15"/>
      <c r="O97" s="72"/>
      <c r="P97" s="4"/>
    </row>
    <row r="98" spans="2:53" ht="15" customHeight="1" thickBot="1" x14ac:dyDescent="0.25">
      <c r="B98" s="17" t="s">
        <v>49</v>
      </c>
      <c r="C98" s="17"/>
      <c r="M98" s="90"/>
      <c r="N98" s="90"/>
      <c r="O98" s="90"/>
      <c r="S98" s="28"/>
      <c r="X98" s="28"/>
    </row>
    <row r="99" spans="2:53" ht="13.5" customHeight="1" thickBot="1" x14ac:dyDescent="0.25">
      <c r="B99" s="385" t="s">
        <v>1</v>
      </c>
      <c r="C99" s="387" t="s">
        <v>77</v>
      </c>
      <c r="D99" s="389" t="s">
        <v>275</v>
      </c>
      <c r="E99" s="385" t="s">
        <v>3</v>
      </c>
      <c r="F99" s="391" t="s">
        <v>101</v>
      </c>
      <c r="G99" s="389" t="s">
        <v>5</v>
      </c>
      <c r="H99" s="406"/>
      <c r="I99" s="406"/>
      <c r="J99" s="406"/>
      <c r="K99" s="406"/>
      <c r="L99" s="247" t="s">
        <v>6</v>
      </c>
      <c r="M99" s="248"/>
      <c r="N99" s="248"/>
      <c r="O99" s="248"/>
      <c r="P99" s="248"/>
      <c r="Q99" s="249"/>
    </row>
    <row r="100" spans="2:53" s="6" customFormat="1" ht="30.75" customHeight="1" thickBot="1" x14ac:dyDescent="0.25">
      <c r="B100" s="386"/>
      <c r="C100" s="388"/>
      <c r="D100" s="390"/>
      <c r="E100" s="386"/>
      <c r="F100" s="392"/>
      <c r="G100" s="301" t="s">
        <v>117</v>
      </c>
      <c r="H100" s="153" t="s">
        <v>118</v>
      </c>
      <c r="I100" s="153" t="s">
        <v>120</v>
      </c>
      <c r="J100" s="153" t="s">
        <v>112</v>
      </c>
      <c r="K100" s="154" t="s">
        <v>114</v>
      </c>
      <c r="L100" s="206" t="s">
        <v>18</v>
      </c>
      <c r="M100" s="207" t="s">
        <v>19</v>
      </c>
      <c r="N100" s="207" t="s">
        <v>20</v>
      </c>
      <c r="O100" s="207" t="s">
        <v>21</v>
      </c>
      <c r="P100" s="208" t="s">
        <v>22</v>
      </c>
      <c r="Q100" s="224" t="s">
        <v>106</v>
      </c>
      <c r="R100" s="29"/>
      <c r="S100" s="28"/>
      <c r="T100" s="29"/>
      <c r="U100" s="29"/>
      <c r="V100" s="29"/>
      <c r="W100" s="29"/>
      <c r="X100" s="28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</row>
    <row r="101" spans="2:53" s="6" customFormat="1" ht="15" customHeight="1" x14ac:dyDescent="0.2">
      <c r="B101" s="12" t="s">
        <v>107</v>
      </c>
      <c r="C101" s="100"/>
      <c r="D101" s="31"/>
      <c r="E101" s="12"/>
      <c r="F101" s="32"/>
      <c r="G101" s="298"/>
      <c r="H101" s="299"/>
      <c r="I101" s="299"/>
      <c r="J101" s="299"/>
      <c r="K101" s="300"/>
      <c r="L101" s="77"/>
      <c r="M101" s="38"/>
      <c r="N101" s="39"/>
      <c r="O101" s="78"/>
      <c r="P101" s="180"/>
      <c r="Q101" s="218"/>
      <c r="R101" s="29"/>
      <c r="S101" s="24"/>
      <c r="T101" s="29"/>
      <c r="U101" s="29"/>
      <c r="V101" s="29"/>
      <c r="W101" s="29"/>
      <c r="X101" s="24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</row>
    <row r="102" spans="2:53" ht="15" customHeight="1" x14ac:dyDescent="0.2">
      <c r="B102" s="13" t="s">
        <v>108</v>
      </c>
      <c r="C102" s="101"/>
      <c r="D102" s="42"/>
      <c r="E102" s="13"/>
      <c r="F102" s="43"/>
      <c r="G102" s="209"/>
      <c r="H102" s="46"/>
      <c r="I102" s="46"/>
      <c r="J102" s="46"/>
      <c r="K102" s="80"/>
      <c r="L102" s="81"/>
      <c r="M102" s="49"/>
      <c r="N102" s="50"/>
      <c r="O102" s="82"/>
      <c r="P102" s="181"/>
      <c r="Q102" s="219"/>
      <c r="S102" s="28"/>
      <c r="X102" s="28"/>
    </row>
    <row r="103" spans="2:53" ht="15" customHeight="1" x14ac:dyDescent="0.2">
      <c r="B103" s="13" t="s">
        <v>80</v>
      </c>
      <c r="C103" s="101"/>
      <c r="D103" s="42"/>
      <c r="E103" s="13"/>
      <c r="F103" s="43"/>
      <c r="G103" s="209"/>
      <c r="H103" s="46"/>
      <c r="I103" s="46"/>
      <c r="J103" s="46"/>
      <c r="K103" s="80"/>
      <c r="L103" s="81"/>
      <c r="M103" s="49"/>
      <c r="N103" s="50"/>
      <c r="O103" s="82"/>
      <c r="P103" s="181"/>
      <c r="Q103" s="219"/>
    </row>
    <row r="104" spans="2:53" ht="15" customHeight="1" x14ac:dyDescent="0.2">
      <c r="B104" s="13" t="s">
        <v>81</v>
      </c>
      <c r="C104" s="101"/>
      <c r="D104" s="42"/>
      <c r="E104" s="13"/>
      <c r="F104" s="43"/>
      <c r="G104" s="209"/>
      <c r="H104" s="46"/>
      <c r="I104" s="46"/>
      <c r="J104" s="46"/>
      <c r="K104" s="80"/>
      <c r="L104" s="81"/>
      <c r="M104" s="49"/>
      <c r="N104" s="50"/>
      <c r="O104" s="82"/>
      <c r="P104" s="181"/>
      <c r="Q104" s="219"/>
      <c r="S104" s="28"/>
      <c r="X104" s="28"/>
    </row>
    <row r="105" spans="2:53" ht="15" customHeight="1" x14ac:dyDescent="0.2">
      <c r="B105" s="13" t="s">
        <v>82</v>
      </c>
      <c r="C105" s="101"/>
      <c r="D105" s="42"/>
      <c r="E105" s="13"/>
      <c r="F105" s="43"/>
      <c r="G105" s="209"/>
      <c r="H105" s="46"/>
      <c r="I105" s="46"/>
      <c r="J105" s="46"/>
      <c r="K105" s="80"/>
      <c r="L105" s="81"/>
      <c r="M105" s="49"/>
      <c r="N105" s="50"/>
      <c r="O105" s="82"/>
      <c r="P105" s="181"/>
      <c r="Q105" s="219"/>
    </row>
    <row r="106" spans="2:53" ht="15" customHeight="1" x14ac:dyDescent="0.2">
      <c r="B106" s="13" t="s">
        <v>83</v>
      </c>
      <c r="C106" s="101"/>
      <c r="D106" s="42"/>
      <c r="E106" s="13"/>
      <c r="F106" s="43"/>
      <c r="G106" s="209"/>
      <c r="H106" s="46"/>
      <c r="I106" s="46"/>
      <c r="J106" s="46"/>
      <c r="K106" s="80"/>
      <c r="L106" s="81"/>
      <c r="M106" s="49"/>
      <c r="N106" s="50"/>
      <c r="O106" s="82"/>
      <c r="P106" s="181"/>
      <c r="Q106" s="219"/>
      <c r="S106" s="28"/>
      <c r="X106" s="28"/>
    </row>
    <row r="107" spans="2:53" ht="15" customHeight="1" x14ac:dyDescent="0.2">
      <c r="B107" s="13" t="s">
        <v>84</v>
      </c>
      <c r="C107" s="101"/>
      <c r="D107" s="42"/>
      <c r="E107" s="13"/>
      <c r="F107" s="43"/>
      <c r="G107" s="209"/>
      <c r="H107" s="46"/>
      <c r="I107" s="46"/>
      <c r="J107" s="46"/>
      <c r="K107" s="80"/>
      <c r="L107" s="81"/>
      <c r="M107" s="49"/>
      <c r="N107" s="50"/>
      <c r="O107" s="82"/>
      <c r="P107" s="181"/>
      <c r="Q107" s="219"/>
    </row>
    <row r="108" spans="2:53" ht="15" customHeight="1" thickBot="1" x14ac:dyDescent="0.25">
      <c r="B108" s="228" t="s">
        <v>85</v>
      </c>
      <c r="C108" s="229"/>
      <c r="D108" s="230"/>
      <c r="E108" s="228"/>
      <c r="F108" s="231"/>
      <c r="G108" s="232"/>
      <c r="H108" s="233"/>
      <c r="I108" s="233"/>
      <c r="J108" s="233"/>
      <c r="K108" s="234"/>
      <c r="L108" s="235"/>
      <c r="M108" s="236"/>
      <c r="N108" s="237"/>
      <c r="O108" s="238"/>
      <c r="P108" s="239"/>
      <c r="Q108" s="240"/>
      <c r="S108" s="28"/>
      <c r="X108" s="28"/>
    </row>
    <row r="109" spans="2:53" ht="15" customHeight="1" thickBot="1" x14ac:dyDescent="0.25">
      <c r="B109" s="171"/>
      <c r="C109" s="241"/>
      <c r="D109" s="242"/>
      <c r="E109" s="171"/>
      <c r="F109" s="243"/>
      <c r="G109" s="244"/>
      <c r="H109" s="245"/>
      <c r="I109" s="245"/>
      <c r="J109" s="245"/>
      <c r="K109" s="246"/>
      <c r="L109" s="190">
        <f>SUM(L101:L108)</f>
        <v>0</v>
      </c>
      <c r="M109" s="191" t="e">
        <f>AVERAGE(M101:M108)</f>
        <v>#DIV/0!</v>
      </c>
      <c r="N109" s="192">
        <f>SUM(N101:N108)</f>
        <v>0</v>
      </c>
      <c r="O109" s="191" t="e">
        <f>AVERAGE(O101:O108)</f>
        <v>#DIV/0!</v>
      </c>
      <c r="P109" s="193" t="e">
        <f>AVERAGE(P101:P108)</f>
        <v>#DIV/0!</v>
      </c>
      <c r="Q109" s="222"/>
    </row>
    <row r="110" spans="2:53" ht="15" customHeight="1" x14ac:dyDescent="0.2">
      <c r="B110" s="15"/>
      <c r="C110" s="15"/>
      <c r="D110" s="174"/>
      <c r="E110" s="15"/>
      <c r="F110" s="15"/>
      <c r="G110" s="15"/>
      <c r="H110" s="175"/>
      <c r="I110" s="175"/>
      <c r="J110" s="175"/>
      <c r="K110" s="175"/>
      <c r="L110" s="176"/>
      <c r="M110" s="177"/>
      <c r="N110" s="176"/>
      <c r="O110" s="177"/>
      <c r="P110" s="178"/>
      <c r="S110" s="28"/>
      <c r="X110" s="28"/>
    </row>
    <row r="111" spans="2:53" ht="15" customHeight="1" x14ac:dyDescent="0.2">
      <c r="B111" s="15"/>
      <c r="C111" s="15"/>
      <c r="D111" s="174"/>
      <c r="E111" s="15"/>
      <c r="F111" s="15"/>
      <c r="G111" s="15"/>
      <c r="H111" s="175"/>
      <c r="I111" s="175"/>
      <c r="J111" s="175"/>
      <c r="K111" s="175"/>
      <c r="L111" s="176"/>
      <c r="M111" s="177"/>
      <c r="N111" s="176"/>
      <c r="O111" s="177"/>
      <c r="P111" s="178"/>
    </row>
    <row r="112" spans="2:53" ht="15" customHeight="1" x14ac:dyDescent="0.2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16"/>
      <c r="N112" s="16"/>
      <c r="O112" s="16"/>
      <c r="P112" s="4"/>
      <c r="S112" s="28"/>
      <c r="X112" s="28"/>
    </row>
    <row r="113" spans="2:24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16"/>
      <c r="N113" s="16"/>
      <c r="O113" s="16"/>
      <c r="P113" s="4"/>
    </row>
    <row r="114" spans="2:24" ht="5.25" hidden="1" customHeight="1" x14ac:dyDescent="0.2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6"/>
      <c r="N114" s="16"/>
      <c r="O114" s="16"/>
      <c r="P114" s="4"/>
      <c r="S114" s="28"/>
      <c r="X114" s="28"/>
    </row>
    <row r="115" spans="2:24" ht="5.25" hidden="1" customHeight="1" x14ac:dyDescent="0.2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6"/>
      <c r="N115" s="16"/>
      <c r="O115" s="16"/>
      <c r="P115" s="4"/>
    </row>
    <row r="116" spans="2:24" ht="5.25" hidden="1" customHeight="1" x14ac:dyDescent="0.2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6"/>
      <c r="N116" s="16"/>
      <c r="O116" s="16"/>
      <c r="P116" s="4"/>
      <c r="S116" s="28"/>
      <c r="X116" s="28"/>
    </row>
    <row r="117" spans="2:24" ht="5.25" hidden="1" customHeight="1" x14ac:dyDescent="0.2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6"/>
      <c r="N117" s="16"/>
      <c r="O117" s="16"/>
      <c r="P117" s="4"/>
    </row>
    <row r="118" spans="2:24" ht="5.25" hidden="1" customHeight="1" x14ac:dyDescent="0.2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6"/>
      <c r="N118" s="16"/>
      <c r="O118" s="16"/>
      <c r="P118" s="4"/>
      <c r="S118" s="28"/>
      <c r="X118" s="28"/>
    </row>
    <row r="119" spans="2:24" ht="5.25" hidden="1" customHeight="1" x14ac:dyDescent="0.2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6"/>
      <c r="N119" s="16"/>
      <c r="O119" s="16"/>
      <c r="P119" s="4"/>
    </row>
    <row r="120" spans="2:24" ht="5.25" hidden="1" customHeight="1" x14ac:dyDescent="0.2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6"/>
      <c r="N120" s="16"/>
      <c r="O120" s="16"/>
      <c r="P120" s="4"/>
      <c r="S120" s="28"/>
      <c r="X120" s="28"/>
    </row>
    <row r="121" spans="2:24" ht="5.25" hidden="1" customHeight="1" x14ac:dyDescent="0.2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6"/>
      <c r="N121" s="16"/>
      <c r="O121" s="16"/>
      <c r="P121" s="4"/>
    </row>
    <row r="122" spans="2:24" ht="5.25" hidden="1" customHeight="1" x14ac:dyDescent="0.2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6"/>
      <c r="N122" s="16"/>
      <c r="O122" s="16"/>
      <c r="P122" s="4"/>
      <c r="S122" s="28"/>
      <c r="X122" s="28"/>
    </row>
    <row r="123" spans="2:24" ht="5.25" hidden="1" customHeight="1" x14ac:dyDescent="0.2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16"/>
      <c r="N123" s="16"/>
      <c r="O123" s="16"/>
      <c r="P123" s="4"/>
    </row>
    <row r="124" spans="2:24" ht="5.25" hidden="1" customHeight="1" x14ac:dyDescent="0.2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16"/>
      <c r="N124" s="16"/>
      <c r="O124" s="16"/>
      <c r="P124" s="4"/>
      <c r="S124" s="28"/>
      <c r="X124" s="28"/>
    </row>
    <row r="125" spans="2:24" ht="5.25" hidden="1" customHeight="1" x14ac:dyDescent="0.2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16"/>
      <c r="N125" s="16"/>
      <c r="O125" s="16"/>
      <c r="P125" s="4"/>
    </row>
    <row r="126" spans="2:24" ht="12" customHeight="1" x14ac:dyDescent="0.2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16"/>
      <c r="N126" s="16"/>
      <c r="O126" s="16"/>
      <c r="P126" s="4"/>
      <c r="S126" s="28"/>
      <c r="X126" s="28"/>
    </row>
    <row r="127" spans="2:24" ht="12" customHeight="1" x14ac:dyDescent="0.2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16"/>
      <c r="N127" s="16"/>
      <c r="O127" s="16"/>
      <c r="P127" s="4"/>
    </row>
    <row r="128" spans="2:24" ht="12" customHeight="1" x14ac:dyDescent="0.2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16"/>
      <c r="N128" s="16"/>
      <c r="O128" s="16"/>
      <c r="P128" s="4"/>
      <c r="S128" s="28"/>
      <c r="X128" s="28"/>
    </row>
    <row r="129" spans="1:24" s="24" customFormat="1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91"/>
      <c r="Q129" s="1"/>
    </row>
    <row r="130" spans="1:24" s="24" customFormat="1" ht="12.95" customHeight="1" thickBot="1" x14ac:dyDescent="0.25">
      <c r="A130" s="1"/>
      <c r="B130" s="17" t="s">
        <v>50</v>
      </c>
      <c r="C130" s="17"/>
      <c r="D130" s="1"/>
      <c r="E130" s="1"/>
      <c r="F130" s="1"/>
      <c r="G130" s="1"/>
      <c r="H130" s="1"/>
      <c r="I130" s="1"/>
      <c r="J130" s="1"/>
      <c r="K130" s="1"/>
      <c r="L130" s="1"/>
      <c r="M130" s="90"/>
      <c r="N130" s="90"/>
      <c r="O130" s="90"/>
      <c r="P130" s="91"/>
      <c r="Q130" s="1"/>
      <c r="S130" s="28"/>
      <c r="X130" s="28"/>
    </row>
    <row r="131" spans="1:24" s="24" customFormat="1" ht="12.95" customHeight="1" x14ac:dyDescent="0.2">
      <c r="A131" s="1"/>
      <c r="B131" s="389" t="s">
        <v>1</v>
      </c>
      <c r="C131" s="387" t="s">
        <v>77</v>
      </c>
      <c r="D131" s="389" t="s">
        <v>275</v>
      </c>
      <c r="E131" s="385" t="s">
        <v>3</v>
      </c>
      <c r="F131" s="406" t="s">
        <v>4</v>
      </c>
      <c r="G131" s="398" t="s">
        <v>52</v>
      </c>
      <c r="H131" s="399"/>
      <c r="I131" s="399"/>
      <c r="J131" s="399"/>
      <c r="K131" s="399"/>
      <c r="L131" s="399"/>
      <c r="M131" s="399"/>
      <c r="N131" s="399"/>
      <c r="O131" s="399"/>
      <c r="P131" s="400"/>
    </row>
    <row r="132" spans="1:24" s="24" customFormat="1" ht="27" customHeight="1" thickBot="1" x14ac:dyDescent="0.25">
      <c r="A132" s="1"/>
      <c r="B132" s="396"/>
      <c r="C132" s="388"/>
      <c r="D132" s="390"/>
      <c r="E132" s="397"/>
      <c r="F132" s="405"/>
      <c r="G132" s="140" t="s">
        <v>276</v>
      </c>
      <c r="H132" s="9" t="s">
        <v>277</v>
      </c>
      <c r="I132" s="9" t="s">
        <v>278</v>
      </c>
      <c r="J132" s="9" t="s">
        <v>279</v>
      </c>
      <c r="K132" s="9" t="s">
        <v>280</v>
      </c>
      <c r="L132" s="9" t="s">
        <v>281</v>
      </c>
      <c r="M132" s="9" t="s">
        <v>282</v>
      </c>
      <c r="N132" s="9" t="s">
        <v>283</v>
      </c>
      <c r="O132" s="141" t="s">
        <v>284</v>
      </c>
      <c r="P132" s="202" t="s">
        <v>285</v>
      </c>
      <c r="Q132" s="28"/>
      <c r="S132" s="28"/>
    </row>
    <row r="133" spans="1:24" s="24" customFormat="1" ht="15" customHeight="1" x14ac:dyDescent="0.2">
      <c r="A133" s="1"/>
      <c r="B133" s="12" t="s">
        <v>107</v>
      </c>
      <c r="C133" s="145"/>
      <c r="D133" s="142"/>
      <c r="E133" s="12"/>
      <c r="F133" s="32"/>
      <c r="G133" s="204"/>
      <c r="H133" s="35"/>
      <c r="I133" s="35"/>
      <c r="J133" s="35"/>
      <c r="K133" s="35"/>
      <c r="L133" s="35"/>
      <c r="M133" s="35"/>
      <c r="N133" s="35"/>
      <c r="O133" s="35"/>
      <c r="P133" s="203"/>
    </row>
    <row r="134" spans="1:24" s="24" customFormat="1" ht="15" customHeight="1" x14ac:dyDescent="0.2">
      <c r="A134" s="1"/>
      <c r="B134" s="13" t="s">
        <v>108</v>
      </c>
      <c r="C134" s="146"/>
      <c r="D134" s="143"/>
      <c r="E134" s="13"/>
      <c r="F134" s="43"/>
      <c r="G134" s="205"/>
      <c r="H134" s="46"/>
      <c r="I134" s="46"/>
      <c r="J134" s="46"/>
      <c r="K134" s="46"/>
      <c r="L134" s="46"/>
      <c r="M134" s="46"/>
      <c r="N134" s="46"/>
      <c r="O134" s="46"/>
      <c r="P134" s="196"/>
      <c r="Q134" s="28"/>
    </row>
    <row r="135" spans="1:24" s="24" customFormat="1" ht="15" customHeight="1" x14ac:dyDescent="0.2">
      <c r="A135" s="1"/>
      <c r="B135" s="13" t="s">
        <v>80</v>
      </c>
      <c r="C135" s="146"/>
      <c r="D135" s="143"/>
      <c r="E135" s="13"/>
      <c r="F135" s="43"/>
      <c r="G135" s="205"/>
      <c r="H135" s="46"/>
      <c r="I135" s="46"/>
      <c r="J135" s="46"/>
      <c r="K135" s="46"/>
      <c r="L135" s="46"/>
      <c r="M135" s="46"/>
      <c r="N135" s="46"/>
      <c r="O135" s="46"/>
      <c r="P135" s="196"/>
    </row>
    <row r="136" spans="1:24" s="24" customFormat="1" ht="15" customHeight="1" x14ac:dyDescent="0.2">
      <c r="A136" s="1"/>
      <c r="B136" s="13" t="s">
        <v>81</v>
      </c>
      <c r="C136" s="146"/>
      <c r="D136" s="143"/>
      <c r="E136" s="13"/>
      <c r="F136" s="43"/>
      <c r="G136" s="205"/>
      <c r="H136" s="46"/>
      <c r="I136" s="46"/>
      <c r="J136" s="46"/>
      <c r="K136" s="46"/>
      <c r="L136" s="46"/>
      <c r="M136" s="46"/>
      <c r="N136" s="46"/>
      <c r="O136" s="46"/>
      <c r="P136" s="196"/>
      <c r="Q136" s="28"/>
    </row>
    <row r="137" spans="1:24" s="24" customFormat="1" ht="15" customHeight="1" x14ac:dyDescent="0.2">
      <c r="A137" s="1"/>
      <c r="B137" s="13" t="s">
        <v>82</v>
      </c>
      <c r="C137" s="146"/>
      <c r="D137" s="143"/>
      <c r="E137" s="13"/>
      <c r="F137" s="43"/>
      <c r="G137" s="205"/>
      <c r="H137" s="46"/>
      <c r="I137" s="46"/>
      <c r="J137" s="46"/>
      <c r="K137" s="46"/>
      <c r="L137" s="46"/>
      <c r="M137" s="46"/>
      <c r="N137" s="46"/>
      <c r="O137" s="46"/>
      <c r="P137" s="196"/>
      <c r="Q137" s="28"/>
    </row>
    <row r="138" spans="1:24" s="24" customFormat="1" ht="15" customHeight="1" x14ac:dyDescent="0.2">
      <c r="A138" s="1"/>
      <c r="B138" s="13" t="s">
        <v>83</v>
      </c>
      <c r="C138" s="146"/>
      <c r="D138" s="143"/>
      <c r="E138" s="13"/>
      <c r="F138" s="43"/>
      <c r="G138" s="205"/>
      <c r="H138" s="46"/>
      <c r="I138" s="46"/>
      <c r="J138" s="46"/>
      <c r="K138" s="46"/>
      <c r="L138" s="46"/>
      <c r="M138" s="46"/>
      <c r="N138" s="46"/>
      <c r="O138" s="46"/>
      <c r="P138" s="196"/>
    </row>
    <row r="139" spans="1:24" s="24" customFormat="1" ht="15" customHeight="1" x14ac:dyDescent="0.2">
      <c r="A139" s="1"/>
      <c r="B139" s="13" t="s">
        <v>84</v>
      </c>
      <c r="C139" s="146"/>
      <c r="D139" s="143"/>
      <c r="E139" s="13"/>
      <c r="F139" s="43"/>
      <c r="G139" s="205"/>
      <c r="H139" s="46"/>
      <c r="I139" s="46"/>
      <c r="J139" s="46"/>
      <c r="K139" s="46"/>
      <c r="L139" s="46"/>
      <c r="M139" s="46"/>
      <c r="N139" s="46"/>
      <c r="O139" s="46"/>
      <c r="P139" s="196"/>
      <c r="Q139" s="28"/>
    </row>
    <row r="140" spans="1:24" s="24" customFormat="1" ht="15" customHeight="1" thickBot="1" x14ac:dyDescent="0.25">
      <c r="A140" s="1"/>
      <c r="B140" s="13" t="s">
        <v>85</v>
      </c>
      <c r="C140" s="146"/>
      <c r="D140" s="143"/>
      <c r="E140" s="13"/>
      <c r="F140" s="43"/>
      <c r="G140" s="205"/>
      <c r="H140" s="46"/>
      <c r="I140" s="46"/>
      <c r="J140" s="46"/>
      <c r="K140" s="46"/>
      <c r="L140" s="46"/>
      <c r="M140" s="46"/>
      <c r="N140" s="46"/>
      <c r="O140" s="46"/>
      <c r="P140" s="196"/>
    </row>
    <row r="141" spans="1:24" ht="12.95" customHeight="1" x14ac:dyDescent="0.2">
      <c r="B141" s="389" t="s">
        <v>1</v>
      </c>
      <c r="C141" s="387" t="s">
        <v>77</v>
      </c>
      <c r="D141" s="389" t="s">
        <v>275</v>
      </c>
      <c r="E141" s="385" t="s">
        <v>3</v>
      </c>
      <c r="F141" s="406" t="s">
        <v>4</v>
      </c>
      <c r="G141" s="407" t="s">
        <v>53</v>
      </c>
      <c r="H141" s="408"/>
      <c r="I141" s="408"/>
      <c r="J141" s="408"/>
      <c r="K141" s="408"/>
      <c r="L141" s="408"/>
      <c r="M141" s="408"/>
      <c r="N141" s="408"/>
      <c r="O141" s="408"/>
      <c r="P141" s="409"/>
    </row>
    <row r="142" spans="1:24" ht="12.95" customHeight="1" thickBot="1" x14ac:dyDescent="0.25">
      <c r="B142" s="390"/>
      <c r="C142" s="404"/>
      <c r="D142" s="390"/>
      <c r="E142" s="386"/>
      <c r="F142" s="405"/>
      <c r="G142" s="140" t="s">
        <v>54</v>
      </c>
      <c r="H142" s="9" t="s">
        <v>55</v>
      </c>
      <c r="I142" s="9" t="s">
        <v>56</v>
      </c>
      <c r="J142" s="9" t="s">
        <v>57</v>
      </c>
      <c r="K142" s="9" t="s">
        <v>58</v>
      </c>
      <c r="L142" s="9" t="s">
        <v>146</v>
      </c>
      <c r="M142" s="9" t="s">
        <v>60</v>
      </c>
      <c r="N142" s="9" t="s">
        <v>61</v>
      </c>
      <c r="O142" s="141" t="s">
        <v>62</v>
      </c>
      <c r="P142" s="202" t="s">
        <v>63</v>
      </c>
    </row>
    <row r="143" spans="1:24" ht="12.95" customHeight="1" x14ac:dyDescent="0.2">
      <c r="B143" s="12" t="s">
        <v>107</v>
      </c>
      <c r="C143" s="145"/>
      <c r="D143" s="142"/>
      <c r="E143" s="12"/>
      <c r="F143" s="100"/>
      <c r="G143" s="183"/>
      <c r="H143" s="184"/>
      <c r="I143" s="184"/>
      <c r="J143" s="184"/>
      <c r="K143" s="185"/>
      <c r="L143" s="185"/>
      <c r="M143" s="185"/>
      <c r="N143" s="35"/>
      <c r="O143" s="35"/>
      <c r="P143" s="203"/>
    </row>
    <row r="144" spans="1:24" ht="12.95" customHeight="1" x14ac:dyDescent="0.2">
      <c r="B144" s="13" t="s">
        <v>108</v>
      </c>
      <c r="C144" s="146"/>
      <c r="D144" s="143"/>
      <c r="E144" s="13"/>
      <c r="F144" s="101"/>
      <c r="G144" s="161"/>
      <c r="H144" s="162"/>
      <c r="I144" s="162"/>
      <c r="J144" s="162"/>
      <c r="K144" s="163"/>
      <c r="L144" s="163"/>
      <c r="M144" s="163"/>
      <c r="N144" s="46"/>
      <c r="O144" s="46"/>
      <c r="P144" s="196"/>
    </row>
    <row r="145" spans="2:16" ht="12.95" customHeight="1" x14ac:dyDescent="0.2">
      <c r="B145" s="13" t="s">
        <v>80</v>
      </c>
      <c r="C145" s="146"/>
      <c r="D145" s="143"/>
      <c r="E145" s="13"/>
      <c r="F145" s="101"/>
      <c r="G145" s="161"/>
      <c r="H145" s="162"/>
      <c r="I145" s="162"/>
      <c r="J145" s="162"/>
      <c r="K145" s="163"/>
      <c r="L145" s="163"/>
      <c r="M145" s="163"/>
      <c r="N145" s="46"/>
      <c r="O145" s="46"/>
      <c r="P145" s="196"/>
    </row>
    <row r="146" spans="2:16" ht="12.95" customHeight="1" x14ac:dyDescent="0.2">
      <c r="B146" s="13" t="s">
        <v>81</v>
      </c>
      <c r="C146" s="146"/>
      <c r="D146" s="143"/>
      <c r="E146" s="13"/>
      <c r="F146" s="101"/>
      <c r="G146" s="161"/>
      <c r="H146" s="162"/>
      <c r="I146" s="162"/>
      <c r="J146" s="162"/>
      <c r="K146" s="163"/>
      <c r="L146" s="163"/>
      <c r="M146" s="163"/>
      <c r="N146" s="46"/>
      <c r="O146" s="46"/>
      <c r="P146" s="196"/>
    </row>
    <row r="147" spans="2:16" ht="12.95" customHeight="1" x14ac:dyDescent="0.2">
      <c r="B147" s="13" t="s">
        <v>82</v>
      </c>
      <c r="C147" s="146"/>
      <c r="D147" s="143"/>
      <c r="E147" s="13"/>
      <c r="F147" s="101"/>
      <c r="G147" s="161"/>
      <c r="H147" s="162"/>
      <c r="I147" s="162"/>
      <c r="J147" s="162"/>
      <c r="K147" s="163"/>
      <c r="L147" s="163"/>
      <c r="M147" s="163"/>
      <c r="N147" s="46"/>
      <c r="O147" s="46"/>
      <c r="P147" s="196"/>
    </row>
    <row r="148" spans="2:16" ht="12.95" customHeight="1" x14ac:dyDescent="0.2">
      <c r="B148" s="13" t="s">
        <v>83</v>
      </c>
      <c r="C148" s="146"/>
      <c r="D148" s="143"/>
      <c r="E148" s="13"/>
      <c r="F148" s="101"/>
      <c r="G148" s="161"/>
      <c r="H148" s="162"/>
      <c r="I148" s="162"/>
      <c r="J148" s="162"/>
      <c r="K148" s="163"/>
      <c r="L148" s="163"/>
      <c r="M148" s="163"/>
      <c r="N148" s="46"/>
      <c r="O148" s="46"/>
      <c r="P148" s="196"/>
    </row>
    <row r="149" spans="2:16" ht="12.95" customHeight="1" x14ac:dyDescent="0.2">
      <c r="B149" s="13" t="s">
        <v>84</v>
      </c>
      <c r="C149" s="146"/>
      <c r="D149" s="143"/>
      <c r="E149" s="13"/>
      <c r="F149" s="101"/>
      <c r="G149" s="161"/>
      <c r="H149" s="162"/>
      <c r="I149" s="162"/>
      <c r="J149" s="162"/>
      <c r="K149" s="163"/>
      <c r="L149" s="163"/>
      <c r="M149" s="163"/>
      <c r="N149" s="46"/>
      <c r="O149" s="46"/>
      <c r="P149" s="196"/>
    </row>
    <row r="150" spans="2:16" ht="12.95" customHeight="1" thickBot="1" x14ac:dyDescent="0.25">
      <c r="B150" s="14" t="s">
        <v>85</v>
      </c>
      <c r="C150" s="147"/>
      <c r="D150" s="144"/>
      <c r="E150" s="14"/>
      <c r="F150" s="102"/>
      <c r="G150" s="166"/>
      <c r="H150" s="167"/>
      <c r="I150" s="167"/>
      <c r="J150" s="167"/>
      <c r="K150" s="168"/>
      <c r="L150" s="168"/>
      <c r="M150" s="168"/>
      <c r="N150" s="57"/>
      <c r="O150" s="57"/>
      <c r="P150" s="197"/>
    </row>
  </sheetData>
  <sheetProtection autoFilter="0"/>
  <mergeCells count="54">
    <mergeCell ref="F141:F142"/>
    <mergeCell ref="G141:P141"/>
    <mergeCell ref="B131:B132"/>
    <mergeCell ref="C131:C132"/>
    <mergeCell ref="D131:D132"/>
    <mergeCell ref="E131:E132"/>
    <mergeCell ref="F131:F132"/>
    <mergeCell ref="G131:P131"/>
    <mergeCell ref="G99:K99"/>
    <mergeCell ref="B141:B142"/>
    <mergeCell ref="C141:C142"/>
    <mergeCell ref="B83:B84"/>
    <mergeCell ref="C83:C84"/>
    <mergeCell ref="D83:D84"/>
    <mergeCell ref="E83:E84"/>
    <mergeCell ref="F83:F84"/>
    <mergeCell ref="G83:K83"/>
    <mergeCell ref="B99:B100"/>
    <mergeCell ref="C99:C100"/>
    <mergeCell ref="D99:D100"/>
    <mergeCell ref="E99:E100"/>
    <mergeCell ref="F99:F100"/>
    <mergeCell ref="D141:D142"/>
    <mergeCell ref="E141:E142"/>
    <mergeCell ref="G67:K67"/>
    <mergeCell ref="B51:B52"/>
    <mergeCell ref="C51:C52"/>
    <mergeCell ref="D51:D52"/>
    <mergeCell ref="E51:E52"/>
    <mergeCell ref="F51:F52"/>
    <mergeCell ref="G51:K51"/>
    <mergeCell ref="B67:B68"/>
    <mergeCell ref="C67:C68"/>
    <mergeCell ref="D67:D68"/>
    <mergeCell ref="E67:E68"/>
    <mergeCell ref="F67:F68"/>
    <mergeCell ref="G35:K35"/>
    <mergeCell ref="B19:B20"/>
    <mergeCell ref="C19:C20"/>
    <mergeCell ref="D19:D20"/>
    <mergeCell ref="E19:E20"/>
    <mergeCell ref="F19:F20"/>
    <mergeCell ref="G19:K19"/>
    <mergeCell ref="B35:B36"/>
    <mergeCell ref="C35:C36"/>
    <mergeCell ref="D35:D36"/>
    <mergeCell ref="E35:E36"/>
    <mergeCell ref="F35:F36"/>
    <mergeCell ref="G3:K3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904CC-929A-425F-A69A-F5F5A7A76066}">
  <sheetPr>
    <tabColor rgb="FFFF0000"/>
  </sheetPr>
  <dimension ref="A1:BI142"/>
  <sheetViews>
    <sheetView zoomScaleNormal="100" zoomScaleSheetLayoutView="100" workbookViewId="0">
      <selection activeCell="B131" sqref="B131:W142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5" style="1" customWidth="1"/>
    <col min="23" max="23" width="6.375" style="1" customWidth="1"/>
    <col min="24" max="24" width="5.375" style="91" customWidth="1"/>
    <col min="25" max="25" width="2.75" style="1" customWidth="1"/>
    <col min="26" max="61" width="9" style="24"/>
    <col min="62" max="16384" width="9" style="1"/>
  </cols>
  <sheetData>
    <row r="1" spans="2:61" ht="17.25" customHeight="1" x14ac:dyDescent="0.2">
      <c r="B1" s="23" t="s">
        <v>99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2:61" s="5" customFormat="1" ht="15" customHeight="1" thickBot="1" x14ac:dyDescent="0.25">
      <c r="B2" s="2" t="s">
        <v>0</v>
      </c>
      <c r="C2" s="2"/>
      <c r="V2" s="25"/>
      <c r="W2" s="26"/>
      <c r="X2" s="27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2:61" s="6" customFormat="1" ht="13.5" customHeight="1" x14ac:dyDescent="0.2">
      <c r="B3" s="385" t="s">
        <v>1</v>
      </c>
      <c r="C3" s="387" t="s">
        <v>77</v>
      </c>
      <c r="D3" s="389" t="s">
        <v>2</v>
      </c>
      <c r="E3" s="385" t="s">
        <v>3</v>
      </c>
      <c r="F3" s="391" t="s">
        <v>4</v>
      </c>
      <c r="G3" s="389" t="s">
        <v>5</v>
      </c>
      <c r="H3" s="406"/>
      <c r="I3" s="406"/>
      <c r="J3" s="406"/>
      <c r="K3" s="406"/>
      <c r="L3" s="406"/>
      <c r="M3" s="406"/>
      <c r="N3" s="406"/>
      <c r="O3" s="406"/>
      <c r="P3" s="406"/>
      <c r="Q3" s="406"/>
      <c r="R3" s="406"/>
      <c r="S3" s="391"/>
      <c r="T3" s="410" t="s">
        <v>6</v>
      </c>
      <c r="U3" s="399"/>
      <c r="V3" s="399"/>
      <c r="W3" s="399"/>
      <c r="X3" s="400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</row>
    <row r="4" spans="2:61" s="6" customFormat="1" ht="40.5" customHeight="1" thickBot="1" x14ac:dyDescent="0.25">
      <c r="B4" s="386"/>
      <c r="C4" s="388"/>
      <c r="D4" s="390"/>
      <c r="E4" s="386"/>
      <c r="F4" s="392"/>
      <c r="G4" s="7" t="s">
        <v>98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11" t="s">
        <v>18</v>
      </c>
      <c r="U4" s="9" t="s">
        <v>19</v>
      </c>
      <c r="V4" s="9" t="s">
        <v>20</v>
      </c>
      <c r="W4" s="9" t="s">
        <v>21</v>
      </c>
      <c r="X4" s="30" t="s">
        <v>22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</row>
    <row r="5" spans="2:61" ht="14.25" customHeight="1" x14ac:dyDescent="0.2">
      <c r="B5" s="12" t="s">
        <v>78</v>
      </c>
      <c r="C5" s="100"/>
      <c r="D5" s="31">
        <v>30</v>
      </c>
      <c r="E5" s="12">
        <v>57</v>
      </c>
      <c r="F5" s="32">
        <v>3</v>
      </c>
      <c r="G5" s="33">
        <v>17</v>
      </c>
      <c r="H5" s="34">
        <v>3</v>
      </c>
      <c r="I5" s="35">
        <v>0</v>
      </c>
      <c r="J5" s="35">
        <v>0</v>
      </c>
      <c r="K5" s="35">
        <v>10</v>
      </c>
      <c r="L5" s="35">
        <v>23</v>
      </c>
      <c r="M5" s="35">
        <v>0.76666666666666672</v>
      </c>
      <c r="N5" s="35">
        <v>0</v>
      </c>
      <c r="O5" s="35">
        <v>0</v>
      </c>
      <c r="P5" s="35">
        <v>76.900000000000006</v>
      </c>
      <c r="Q5" s="35"/>
      <c r="R5" s="35"/>
      <c r="S5" s="76"/>
      <c r="T5" s="77"/>
      <c r="U5" s="38"/>
      <c r="V5" s="39"/>
      <c r="W5" s="78"/>
      <c r="X5" s="180"/>
    </row>
    <row r="6" spans="2:61" ht="14.25" customHeight="1" x14ac:dyDescent="0.2">
      <c r="B6" s="13" t="s">
        <v>79</v>
      </c>
      <c r="C6" s="101"/>
      <c r="D6" s="42">
        <v>30</v>
      </c>
      <c r="E6" s="13">
        <v>53</v>
      </c>
      <c r="F6" s="43">
        <v>10</v>
      </c>
      <c r="G6" s="44">
        <v>14</v>
      </c>
      <c r="H6" s="45">
        <v>5</v>
      </c>
      <c r="I6" s="46">
        <v>1</v>
      </c>
      <c r="J6" s="46">
        <v>0</v>
      </c>
      <c r="K6" s="46">
        <v>10</v>
      </c>
      <c r="L6" s="46">
        <v>25</v>
      </c>
      <c r="M6" s="46">
        <v>0.83333333333333337</v>
      </c>
      <c r="N6" s="46">
        <v>0</v>
      </c>
      <c r="O6" s="46">
        <v>0</v>
      </c>
      <c r="P6" s="46">
        <v>77.333333333333329</v>
      </c>
      <c r="Q6" s="46"/>
      <c r="R6" s="46"/>
      <c r="S6" s="80"/>
      <c r="T6" s="81"/>
      <c r="U6" s="49"/>
      <c r="V6" s="50"/>
      <c r="W6" s="82"/>
      <c r="X6" s="181"/>
    </row>
    <row r="7" spans="2:61" ht="14.25" customHeight="1" x14ac:dyDescent="0.2">
      <c r="B7" s="13" t="s">
        <v>80</v>
      </c>
      <c r="C7" s="101"/>
      <c r="D7" s="42">
        <v>30</v>
      </c>
      <c r="E7" s="13">
        <v>54</v>
      </c>
      <c r="F7" s="43">
        <v>8</v>
      </c>
      <c r="G7" s="44">
        <v>17</v>
      </c>
      <c r="H7" s="45">
        <v>1</v>
      </c>
      <c r="I7" s="46">
        <v>1</v>
      </c>
      <c r="J7" s="46">
        <v>0</v>
      </c>
      <c r="K7" s="46">
        <v>11</v>
      </c>
      <c r="L7" s="46">
        <v>24</v>
      </c>
      <c r="M7" s="46">
        <v>0.8</v>
      </c>
      <c r="N7" s="46">
        <v>0</v>
      </c>
      <c r="O7" s="46">
        <v>0</v>
      </c>
      <c r="P7" s="46">
        <v>78.599999999999994</v>
      </c>
      <c r="Q7" s="46"/>
      <c r="R7" s="46"/>
      <c r="S7" s="80"/>
      <c r="T7" s="81"/>
      <c r="U7" s="49"/>
      <c r="V7" s="50"/>
      <c r="W7" s="82"/>
      <c r="X7" s="181"/>
    </row>
    <row r="8" spans="2:61" ht="14.25" customHeight="1" x14ac:dyDescent="0.2">
      <c r="B8" s="13" t="s">
        <v>81</v>
      </c>
      <c r="C8" s="101"/>
      <c r="D8" s="42">
        <v>30</v>
      </c>
      <c r="E8" s="13">
        <v>55</v>
      </c>
      <c r="F8" s="43">
        <v>4</v>
      </c>
      <c r="G8" s="44">
        <v>15</v>
      </c>
      <c r="H8" s="45">
        <v>5</v>
      </c>
      <c r="I8" s="46">
        <v>0</v>
      </c>
      <c r="J8" s="46">
        <v>0</v>
      </c>
      <c r="K8" s="46">
        <v>10</v>
      </c>
      <c r="L8" s="46">
        <v>28</v>
      </c>
      <c r="M8" s="46">
        <v>0.93333333333333335</v>
      </c>
      <c r="N8" s="46">
        <v>0</v>
      </c>
      <c r="O8" s="46">
        <v>0</v>
      </c>
      <c r="P8" s="46">
        <v>76.7</v>
      </c>
      <c r="Q8" s="46"/>
      <c r="R8" s="46"/>
      <c r="S8" s="80"/>
      <c r="T8" s="81"/>
      <c r="U8" s="49"/>
      <c r="V8" s="50"/>
      <c r="W8" s="82"/>
      <c r="X8" s="181"/>
    </row>
    <row r="9" spans="2:61" ht="14.25" customHeight="1" x14ac:dyDescent="0.2">
      <c r="B9" s="13" t="s">
        <v>82</v>
      </c>
      <c r="C9" s="101"/>
      <c r="D9" s="42">
        <v>30</v>
      </c>
      <c r="E9" s="13">
        <v>55</v>
      </c>
      <c r="F9" s="43">
        <v>4</v>
      </c>
      <c r="G9" s="44">
        <v>15</v>
      </c>
      <c r="H9" s="45">
        <v>4</v>
      </c>
      <c r="I9" s="46">
        <v>2</v>
      </c>
      <c r="J9" s="46">
        <v>0</v>
      </c>
      <c r="K9" s="46">
        <v>9</v>
      </c>
      <c r="L9" s="46">
        <v>23</v>
      </c>
      <c r="M9" s="46">
        <v>0.76666666666666672</v>
      </c>
      <c r="N9" s="46">
        <v>0</v>
      </c>
      <c r="O9" s="46">
        <v>0</v>
      </c>
      <c r="P9" s="46">
        <v>77.2</v>
      </c>
      <c r="Q9" s="46"/>
      <c r="R9" s="46"/>
      <c r="S9" s="80"/>
      <c r="T9" s="81"/>
      <c r="U9" s="49"/>
      <c r="V9" s="50"/>
      <c r="W9" s="82"/>
      <c r="X9" s="181"/>
    </row>
    <row r="10" spans="2:61" ht="14.25" customHeight="1" x14ac:dyDescent="0.2">
      <c r="B10" s="13" t="s">
        <v>83</v>
      </c>
      <c r="C10" s="101"/>
      <c r="D10" s="42">
        <v>30</v>
      </c>
      <c r="E10" s="13">
        <v>55</v>
      </c>
      <c r="F10" s="43">
        <v>4</v>
      </c>
      <c r="G10" s="44">
        <v>17</v>
      </c>
      <c r="H10" s="45">
        <v>1</v>
      </c>
      <c r="I10" s="46">
        <v>2</v>
      </c>
      <c r="J10" s="46">
        <v>0</v>
      </c>
      <c r="K10" s="46">
        <v>10</v>
      </c>
      <c r="L10" s="46">
        <v>24</v>
      </c>
      <c r="M10" s="46">
        <v>0.8</v>
      </c>
      <c r="N10" s="46">
        <v>1</v>
      </c>
      <c r="O10" s="46">
        <v>3.3333333333333333E-2</v>
      </c>
      <c r="P10" s="46">
        <v>78.433333333333337</v>
      </c>
      <c r="Q10" s="46"/>
      <c r="R10" s="46"/>
      <c r="S10" s="80"/>
      <c r="T10" s="81"/>
      <c r="U10" s="49"/>
      <c r="V10" s="50"/>
      <c r="W10" s="82"/>
      <c r="X10" s="181"/>
    </row>
    <row r="11" spans="2:61" ht="14.25" customHeight="1" x14ac:dyDescent="0.2">
      <c r="B11" s="13" t="s">
        <v>84</v>
      </c>
      <c r="C11" s="101"/>
      <c r="D11" s="42">
        <v>30</v>
      </c>
      <c r="E11" s="13">
        <v>55</v>
      </c>
      <c r="F11" s="43">
        <v>4</v>
      </c>
      <c r="G11" s="44">
        <v>17</v>
      </c>
      <c r="H11" s="45">
        <v>1</v>
      </c>
      <c r="I11" s="46">
        <v>2</v>
      </c>
      <c r="J11" s="46">
        <v>0</v>
      </c>
      <c r="K11" s="46">
        <v>10</v>
      </c>
      <c r="L11" s="46">
        <v>23</v>
      </c>
      <c r="M11" s="46">
        <v>0.76666666666666672</v>
      </c>
      <c r="N11" s="46">
        <v>0</v>
      </c>
      <c r="O11" s="46">
        <v>0</v>
      </c>
      <c r="P11" s="46">
        <v>77.25</v>
      </c>
      <c r="Q11" s="46"/>
      <c r="R11" s="46"/>
      <c r="S11" s="80"/>
      <c r="T11" s="81"/>
      <c r="U11" s="49"/>
      <c r="V11" s="50"/>
      <c r="W11" s="82"/>
      <c r="X11" s="181"/>
    </row>
    <row r="12" spans="2:61" ht="14.25" customHeight="1" x14ac:dyDescent="0.2">
      <c r="B12" s="13" t="s">
        <v>85</v>
      </c>
      <c r="C12" s="101"/>
      <c r="D12" s="42">
        <v>30</v>
      </c>
      <c r="E12" s="13">
        <v>54</v>
      </c>
      <c r="F12" s="43">
        <v>8</v>
      </c>
      <c r="G12" s="44">
        <v>17</v>
      </c>
      <c r="H12" s="45">
        <v>1</v>
      </c>
      <c r="I12" s="46">
        <v>1</v>
      </c>
      <c r="J12" s="46">
        <v>0</v>
      </c>
      <c r="K12" s="46">
        <v>11</v>
      </c>
      <c r="L12" s="46">
        <v>25</v>
      </c>
      <c r="M12" s="46">
        <v>0.83333333333333337</v>
      </c>
      <c r="N12" s="46">
        <v>0</v>
      </c>
      <c r="O12" s="46">
        <v>0</v>
      </c>
      <c r="P12" s="46">
        <v>77.666666666666671</v>
      </c>
      <c r="Q12" s="46"/>
      <c r="R12" s="46"/>
      <c r="S12" s="80"/>
      <c r="T12" s="81"/>
      <c r="U12" s="49"/>
      <c r="V12" s="50"/>
      <c r="W12" s="82"/>
      <c r="X12" s="181"/>
    </row>
    <row r="13" spans="2:61" ht="14.25" customHeight="1" x14ac:dyDescent="0.2">
      <c r="B13" s="13" t="s">
        <v>86</v>
      </c>
      <c r="C13" s="101"/>
      <c r="D13" s="42">
        <v>30</v>
      </c>
      <c r="E13" s="13">
        <v>58</v>
      </c>
      <c r="F13" s="43">
        <v>2</v>
      </c>
      <c r="G13" s="44">
        <v>19</v>
      </c>
      <c r="H13" s="45">
        <v>0</v>
      </c>
      <c r="I13" s="46">
        <v>1</v>
      </c>
      <c r="J13" s="46">
        <v>0</v>
      </c>
      <c r="K13" s="46">
        <v>10</v>
      </c>
      <c r="L13" s="46">
        <v>25</v>
      </c>
      <c r="M13" s="46">
        <v>0.83333333333333337</v>
      </c>
      <c r="N13" s="46">
        <v>0</v>
      </c>
      <c r="O13" s="46">
        <v>0</v>
      </c>
      <c r="P13" s="46">
        <v>80.3</v>
      </c>
      <c r="Q13" s="46"/>
      <c r="R13" s="46"/>
      <c r="S13" s="80"/>
      <c r="T13" s="81"/>
      <c r="U13" s="49"/>
      <c r="V13" s="50"/>
      <c r="W13" s="82"/>
      <c r="X13" s="181"/>
    </row>
    <row r="14" spans="2:61" ht="14.25" customHeight="1" thickBot="1" x14ac:dyDescent="0.25">
      <c r="B14" s="14" t="s">
        <v>87</v>
      </c>
      <c r="C14" s="102"/>
      <c r="D14" s="53">
        <v>30</v>
      </c>
      <c r="E14" s="14">
        <v>65</v>
      </c>
      <c r="F14" s="54">
        <v>1</v>
      </c>
      <c r="G14" s="55">
        <v>21</v>
      </c>
      <c r="H14" s="56">
        <v>1</v>
      </c>
      <c r="I14" s="57">
        <v>0</v>
      </c>
      <c r="J14" s="57">
        <v>0</v>
      </c>
      <c r="K14" s="57">
        <v>8</v>
      </c>
      <c r="L14" s="57">
        <v>27</v>
      </c>
      <c r="M14" s="57">
        <v>0.9</v>
      </c>
      <c r="N14" s="57">
        <v>0</v>
      </c>
      <c r="O14" s="57">
        <v>0</v>
      </c>
      <c r="P14" s="57">
        <v>79.283333333333331</v>
      </c>
      <c r="Q14" s="57"/>
      <c r="R14" s="57"/>
      <c r="S14" s="84"/>
      <c r="T14" s="85"/>
      <c r="U14" s="58"/>
      <c r="V14" s="59"/>
      <c r="W14" s="86"/>
      <c r="X14" s="182"/>
    </row>
    <row r="15" spans="2:61" ht="14.25" customHeight="1" thickBot="1" x14ac:dyDescent="0.25">
      <c r="B15" s="60"/>
      <c r="C15" s="148"/>
      <c r="D15" s="173">
        <v>1</v>
      </c>
      <c r="E15" s="171">
        <v>2</v>
      </c>
      <c r="F15" s="172">
        <v>3</v>
      </c>
      <c r="G15" s="64">
        <v>4</v>
      </c>
      <c r="H15" s="65">
        <v>5</v>
      </c>
      <c r="I15" s="66">
        <v>6</v>
      </c>
      <c r="J15" s="66">
        <v>7</v>
      </c>
      <c r="K15" s="66">
        <v>8</v>
      </c>
      <c r="L15" s="66">
        <v>9</v>
      </c>
      <c r="M15" s="66">
        <v>10</v>
      </c>
      <c r="N15" s="66">
        <v>11</v>
      </c>
      <c r="O15" s="66">
        <v>12</v>
      </c>
      <c r="P15" s="66">
        <v>13</v>
      </c>
      <c r="Q15" s="66"/>
      <c r="R15" s="66"/>
      <c r="S15" s="67"/>
      <c r="T15" s="190">
        <f>SUM(T5:T14)</f>
        <v>0</v>
      </c>
      <c r="U15" s="191" t="e">
        <f>AVERAGE(U5:U14)</f>
        <v>#DIV/0!</v>
      </c>
      <c r="V15" s="192">
        <f>SUM(V5:V14)</f>
        <v>0</v>
      </c>
      <c r="W15" s="191" t="e">
        <f>AVERAGE(W5:W14)</f>
        <v>#DIV/0!</v>
      </c>
      <c r="X15" s="193" t="e">
        <f>AVERAGE(X5:X14)</f>
        <v>#DIV/0!</v>
      </c>
    </row>
    <row r="16" spans="2:61" ht="14.25" customHeight="1" x14ac:dyDescent="0.2">
      <c r="B16" s="178"/>
      <c r="C16" s="177"/>
      <c r="D16" s="176">
        <v>1</v>
      </c>
      <c r="E16" s="176">
        <v>2</v>
      </c>
      <c r="F16" s="176">
        <v>3</v>
      </c>
      <c r="G16" s="176">
        <v>4</v>
      </c>
      <c r="H16" s="176">
        <v>5</v>
      </c>
      <c r="I16" s="176">
        <v>6</v>
      </c>
      <c r="J16" s="176">
        <v>7</v>
      </c>
      <c r="K16" s="176">
        <v>8</v>
      </c>
      <c r="L16" s="176">
        <v>9</v>
      </c>
      <c r="M16" s="176">
        <v>10</v>
      </c>
      <c r="N16" s="176">
        <v>11</v>
      </c>
      <c r="O16" s="176">
        <v>12</v>
      </c>
      <c r="P16" s="176">
        <v>13</v>
      </c>
      <c r="Q16" s="176"/>
      <c r="R16" s="176"/>
      <c r="S16" s="176"/>
      <c r="T16" s="176"/>
      <c r="U16" s="176"/>
      <c r="V16" s="176"/>
      <c r="W16" s="176"/>
      <c r="X16" s="176"/>
    </row>
    <row r="17" spans="2:61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</row>
    <row r="18" spans="2:61" ht="18" customHeight="1" thickBot="1" x14ac:dyDescent="0.25">
      <c r="B18" s="17" t="s">
        <v>23</v>
      </c>
      <c r="C18" s="17"/>
      <c r="U18" s="74"/>
      <c r="V18" s="74"/>
      <c r="W18" s="74"/>
      <c r="X18" s="75"/>
    </row>
    <row r="19" spans="2:61" s="6" customFormat="1" ht="15.75" customHeight="1" x14ac:dyDescent="0.2">
      <c r="B19" s="385" t="s">
        <v>1</v>
      </c>
      <c r="C19" s="387" t="s">
        <v>77</v>
      </c>
      <c r="D19" s="389" t="s">
        <v>2</v>
      </c>
      <c r="E19" s="385" t="s">
        <v>3</v>
      </c>
      <c r="F19" s="391" t="s">
        <v>4</v>
      </c>
      <c r="G19" s="389" t="s">
        <v>5</v>
      </c>
      <c r="H19" s="406"/>
      <c r="I19" s="406"/>
      <c r="J19" s="406"/>
      <c r="K19" s="406"/>
      <c r="L19" s="406"/>
      <c r="M19" s="406"/>
      <c r="N19" s="406"/>
      <c r="O19" s="406"/>
      <c r="P19" s="406"/>
      <c r="Q19" s="406"/>
      <c r="R19" s="406"/>
      <c r="S19" s="391"/>
      <c r="T19" s="410" t="s">
        <v>6</v>
      </c>
      <c r="U19" s="399"/>
      <c r="V19" s="399"/>
      <c r="W19" s="399"/>
      <c r="X19" s="400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</row>
    <row r="20" spans="2:61" s="6" customFormat="1" ht="36" customHeight="1" thickBot="1" x14ac:dyDescent="0.25">
      <c r="B20" s="386"/>
      <c r="C20" s="388"/>
      <c r="D20" s="390"/>
      <c r="E20" s="397"/>
      <c r="F20" s="392"/>
      <c r="G20" s="7" t="s">
        <v>98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</row>
    <row r="21" spans="2:61" ht="15.75" customHeight="1" x14ac:dyDescent="0.2">
      <c r="B21" s="12" t="s">
        <v>78</v>
      </c>
      <c r="C21" s="100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180"/>
    </row>
    <row r="22" spans="2:61" ht="15.75" customHeight="1" x14ac:dyDescent="0.2">
      <c r="B22" s="13" t="s">
        <v>79</v>
      </c>
      <c r="C22" s="101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181"/>
    </row>
    <row r="23" spans="2:61" ht="15.75" customHeight="1" x14ac:dyDescent="0.2">
      <c r="B23" s="13" t="s">
        <v>80</v>
      </c>
      <c r="C23" s="101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181"/>
    </row>
    <row r="24" spans="2:61" ht="15.75" customHeight="1" x14ac:dyDescent="0.2">
      <c r="B24" s="13" t="s">
        <v>81</v>
      </c>
      <c r="C24" s="101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181"/>
    </row>
    <row r="25" spans="2:61" ht="15.75" customHeight="1" x14ac:dyDescent="0.2">
      <c r="B25" s="13" t="s">
        <v>82</v>
      </c>
      <c r="C25" s="101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181"/>
    </row>
    <row r="26" spans="2:61" ht="15.75" customHeight="1" x14ac:dyDescent="0.2">
      <c r="B26" s="13" t="s">
        <v>83</v>
      </c>
      <c r="C26" s="101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181"/>
    </row>
    <row r="27" spans="2:61" ht="15.75" customHeight="1" x14ac:dyDescent="0.2">
      <c r="B27" s="13" t="s">
        <v>84</v>
      </c>
      <c r="C27" s="101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181"/>
    </row>
    <row r="28" spans="2:61" ht="15.75" customHeight="1" x14ac:dyDescent="0.2">
      <c r="B28" s="13" t="s">
        <v>85</v>
      </c>
      <c r="C28" s="101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181"/>
    </row>
    <row r="29" spans="2:61" ht="15.75" customHeight="1" x14ac:dyDescent="0.2">
      <c r="B29" s="13" t="s">
        <v>86</v>
      </c>
      <c r="C29" s="101"/>
      <c r="D29" s="42"/>
      <c r="E29" s="13"/>
      <c r="F29" s="43"/>
      <c r="G29" s="44"/>
      <c r="H29" s="45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80"/>
      <c r="T29" s="81"/>
      <c r="U29" s="49"/>
      <c r="V29" s="50"/>
      <c r="W29" s="82"/>
      <c r="X29" s="181"/>
    </row>
    <row r="30" spans="2:61" ht="15.75" customHeight="1" thickBot="1" x14ac:dyDescent="0.25">
      <c r="B30" s="14" t="s">
        <v>87</v>
      </c>
      <c r="C30" s="102"/>
      <c r="D30" s="53"/>
      <c r="E30" s="14"/>
      <c r="F30" s="54"/>
      <c r="G30" s="55"/>
      <c r="H30" s="56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84"/>
      <c r="T30" s="85"/>
      <c r="U30" s="58"/>
      <c r="V30" s="59"/>
      <c r="W30" s="86"/>
      <c r="X30" s="182"/>
    </row>
    <row r="31" spans="2:61" ht="15.75" customHeight="1" thickBot="1" x14ac:dyDescent="0.25">
      <c r="B31" s="60"/>
      <c r="C31" s="148"/>
      <c r="D31" s="173"/>
      <c r="E31" s="171"/>
      <c r="F31" s="172"/>
      <c r="G31" s="64"/>
      <c r="H31" s="65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7"/>
      <c r="T31" s="190">
        <f>SUM(T21:T30)</f>
        <v>0</v>
      </c>
      <c r="U31" s="191" t="e">
        <f>AVERAGE(U21:U30)</f>
        <v>#DIV/0!</v>
      </c>
      <c r="V31" s="192">
        <f>SUM(V21:V30)</f>
        <v>0</v>
      </c>
      <c r="W31" s="191" t="e">
        <f>AVERAGE(W21:W30)</f>
        <v>#DIV/0!</v>
      </c>
      <c r="X31" s="193" t="e">
        <f>AVERAGE(X21:X30)</f>
        <v>#DIV/0!</v>
      </c>
    </row>
    <row r="32" spans="2:61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</row>
    <row r="33" spans="2:61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</row>
    <row r="34" spans="2:61" ht="15" customHeight="1" thickBot="1" x14ac:dyDescent="0.25">
      <c r="B34" s="17" t="s">
        <v>25</v>
      </c>
      <c r="C34" s="17"/>
      <c r="U34" s="90"/>
      <c r="V34" s="90"/>
      <c r="W34" s="90"/>
    </row>
    <row r="35" spans="2:61" s="6" customFormat="1" ht="12" customHeight="1" x14ac:dyDescent="0.2">
      <c r="B35" s="385" t="s">
        <v>1</v>
      </c>
      <c r="C35" s="387" t="s">
        <v>77</v>
      </c>
      <c r="D35" s="389" t="s">
        <v>2</v>
      </c>
      <c r="E35" s="385" t="s">
        <v>3</v>
      </c>
      <c r="F35" s="391" t="s">
        <v>4</v>
      </c>
      <c r="G35" s="389" t="s">
        <v>5</v>
      </c>
      <c r="H35" s="406"/>
      <c r="I35" s="406"/>
      <c r="J35" s="406"/>
      <c r="K35" s="406"/>
      <c r="L35" s="406"/>
      <c r="M35" s="406"/>
      <c r="N35" s="406"/>
      <c r="O35" s="406"/>
      <c r="P35" s="406"/>
      <c r="Q35" s="406"/>
      <c r="R35" s="406"/>
      <c r="S35" s="391"/>
      <c r="T35" s="398" t="s">
        <v>6</v>
      </c>
      <c r="U35" s="399"/>
      <c r="V35" s="399"/>
      <c r="W35" s="399"/>
      <c r="X35" s="400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</row>
    <row r="36" spans="2:61" s="6" customFormat="1" ht="33" customHeight="1" thickBot="1" x14ac:dyDescent="0.25">
      <c r="B36" s="386"/>
      <c r="C36" s="388"/>
      <c r="D36" s="390"/>
      <c r="E36" s="397"/>
      <c r="F36" s="392"/>
      <c r="G36" s="7" t="s">
        <v>98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</row>
    <row r="37" spans="2:61" ht="15" customHeight="1" x14ac:dyDescent="0.2">
      <c r="B37" s="12" t="s">
        <v>78</v>
      </c>
      <c r="C37" s="100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180"/>
    </row>
    <row r="38" spans="2:61" ht="15" customHeight="1" x14ac:dyDescent="0.2">
      <c r="B38" s="13" t="s">
        <v>79</v>
      </c>
      <c r="C38" s="101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181"/>
    </row>
    <row r="39" spans="2:61" ht="15" customHeight="1" x14ac:dyDescent="0.2">
      <c r="B39" s="13" t="s">
        <v>80</v>
      </c>
      <c r="C39" s="101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181"/>
    </row>
    <row r="40" spans="2:61" ht="15" customHeight="1" x14ac:dyDescent="0.2">
      <c r="B40" s="13" t="s">
        <v>81</v>
      </c>
      <c r="C40" s="101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181"/>
    </row>
    <row r="41" spans="2:61" ht="15" customHeight="1" x14ac:dyDescent="0.2">
      <c r="B41" s="13" t="s">
        <v>82</v>
      </c>
      <c r="C41" s="101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181"/>
    </row>
    <row r="42" spans="2:61" ht="15" customHeight="1" x14ac:dyDescent="0.2">
      <c r="B42" s="13" t="s">
        <v>83</v>
      </c>
      <c r="C42" s="101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181"/>
    </row>
    <row r="43" spans="2:61" ht="15" customHeight="1" x14ac:dyDescent="0.2">
      <c r="B43" s="13" t="s">
        <v>84</v>
      </c>
      <c r="C43" s="101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181"/>
    </row>
    <row r="44" spans="2:61" ht="15" customHeight="1" x14ac:dyDescent="0.2">
      <c r="B44" s="13" t="s">
        <v>85</v>
      </c>
      <c r="C44" s="101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181"/>
    </row>
    <row r="45" spans="2:61" ht="15" customHeight="1" x14ac:dyDescent="0.2">
      <c r="B45" s="13" t="s">
        <v>86</v>
      </c>
      <c r="C45" s="101"/>
      <c r="D45" s="42"/>
      <c r="E45" s="13"/>
      <c r="F45" s="43"/>
      <c r="G45" s="44"/>
      <c r="H45" s="45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80"/>
      <c r="T45" s="81"/>
      <c r="U45" s="49"/>
      <c r="V45" s="50"/>
      <c r="W45" s="82"/>
      <c r="X45" s="181"/>
    </row>
    <row r="46" spans="2:61" ht="15" customHeight="1" thickBot="1" x14ac:dyDescent="0.25">
      <c r="B46" s="14" t="s">
        <v>87</v>
      </c>
      <c r="C46" s="102"/>
      <c r="D46" s="53"/>
      <c r="E46" s="14"/>
      <c r="F46" s="54"/>
      <c r="G46" s="55"/>
      <c r="H46" s="56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84"/>
      <c r="T46" s="85"/>
      <c r="U46" s="58"/>
      <c r="V46" s="59"/>
      <c r="W46" s="86"/>
      <c r="X46" s="182"/>
    </row>
    <row r="47" spans="2:61" ht="15" customHeight="1" thickBot="1" x14ac:dyDescent="0.25">
      <c r="B47" s="60"/>
      <c r="C47" s="148"/>
      <c r="D47" s="173"/>
      <c r="E47" s="171"/>
      <c r="F47" s="172"/>
      <c r="G47" s="64"/>
      <c r="H47" s="65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7"/>
      <c r="T47" s="190">
        <f>SUM(T37:T46)</f>
        <v>0</v>
      </c>
      <c r="U47" s="191" t="e">
        <f>AVERAGE(U37:U46)</f>
        <v>#DIV/0!</v>
      </c>
      <c r="V47" s="192">
        <f>SUM(V37:V46)</f>
        <v>0</v>
      </c>
      <c r="W47" s="191" t="e">
        <f>AVERAGE(W37:W46)</f>
        <v>#DIV/0!</v>
      </c>
      <c r="X47" s="193" t="e">
        <f>AVERAGE(X37:X46)</f>
        <v>#DIV/0!</v>
      </c>
    </row>
    <row r="48" spans="2:61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</row>
    <row r="50" spans="2:24" ht="15.75" customHeight="1" thickBot="1" x14ac:dyDescent="0.25">
      <c r="B50" s="17" t="s">
        <v>72</v>
      </c>
      <c r="C50" s="17"/>
      <c r="U50" s="90"/>
      <c r="V50" s="90"/>
      <c r="W50" s="90"/>
    </row>
    <row r="51" spans="2:24" ht="15.75" customHeight="1" x14ac:dyDescent="0.2">
      <c r="B51" s="385" t="s">
        <v>1</v>
      </c>
      <c r="C51" s="387" t="s">
        <v>77</v>
      </c>
      <c r="D51" s="389" t="s">
        <v>2</v>
      </c>
      <c r="E51" s="385" t="s">
        <v>24</v>
      </c>
      <c r="F51" s="406" t="s">
        <v>4</v>
      </c>
      <c r="G51" s="389" t="s">
        <v>5</v>
      </c>
      <c r="H51" s="406"/>
      <c r="I51" s="406"/>
      <c r="J51" s="406"/>
      <c r="K51" s="406"/>
      <c r="L51" s="406"/>
      <c r="M51" s="406"/>
      <c r="N51" s="406"/>
      <c r="O51" s="406"/>
      <c r="P51" s="406"/>
      <c r="Q51" s="406"/>
      <c r="R51" s="406"/>
      <c r="S51" s="391"/>
      <c r="T51" s="410" t="s">
        <v>6</v>
      </c>
      <c r="U51" s="399"/>
      <c r="V51" s="399"/>
      <c r="W51" s="399"/>
      <c r="X51" s="400"/>
    </row>
    <row r="52" spans="2:24" ht="33" customHeight="1" thickBot="1" x14ac:dyDescent="0.25">
      <c r="B52" s="397"/>
      <c r="C52" s="388"/>
      <c r="D52" s="390"/>
      <c r="E52" s="386"/>
      <c r="F52" s="405"/>
      <c r="G52" s="7" t="s">
        <v>98</v>
      </c>
      <c r="H52" s="11" t="s">
        <v>26</v>
      </c>
      <c r="I52" s="9" t="s">
        <v>27</v>
      </c>
      <c r="J52" s="9" t="s">
        <v>28</v>
      </c>
      <c r="K52" s="9" t="s">
        <v>29</v>
      </c>
      <c r="L52" s="9" t="s">
        <v>30</v>
      </c>
      <c r="M52" s="9" t="s">
        <v>31</v>
      </c>
      <c r="N52" s="9" t="s">
        <v>32</v>
      </c>
      <c r="O52" s="9" t="s">
        <v>33</v>
      </c>
      <c r="P52" s="9" t="s">
        <v>34</v>
      </c>
      <c r="Q52" s="9" t="s">
        <v>35</v>
      </c>
      <c r="R52" s="9" t="s">
        <v>36</v>
      </c>
      <c r="S52" s="10">
        <v>70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</row>
    <row r="53" spans="2:24" ht="15.75" customHeight="1" x14ac:dyDescent="0.2">
      <c r="B53" s="12" t="s">
        <v>78</v>
      </c>
      <c r="C53" s="100"/>
      <c r="D53" s="31"/>
      <c r="E53" s="12"/>
      <c r="F53" s="32"/>
      <c r="G53" s="33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180"/>
    </row>
    <row r="54" spans="2:24" ht="15.75" customHeight="1" x14ac:dyDescent="0.2">
      <c r="B54" s="13" t="s">
        <v>79</v>
      </c>
      <c r="C54" s="101"/>
      <c r="D54" s="42"/>
      <c r="E54" s="13"/>
      <c r="F54" s="43"/>
      <c r="G54" s="44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181"/>
    </row>
    <row r="55" spans="2:24" ht="15.75" customHeight="1" x14ac:dyDescent="0.2">
      <c r="B55" s="13" t="s">
        <v>80</v>
      </c>
      <c r="C55" s="101"/>
      <c r="D55" s="42"/>
      <c r="E55" s="13"/>
      <c r="F55" s="43"/>
      <c r="G55" s="44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181"/>
    </row>
    <row r="56" spans="2:24" ht="15.75" customHeight="1" x14ac:dyDescent="0.2">
      <c r="B56" s="13" t="s">
        <v>81</v>
      </c>
      <c r="C56" s="101"/>
      <c r="D56" s="42"/>
      <c r="E56" s="13"/>
      <c r="F56" s="43"/>
      <c r="G56" s="44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181"/>
    </row>
    <row r="57" spans="2:24" ht="15.75" customHeight="1" x14ac:dyDescent="0.2">
      <c r="B57" s="13" t="s">
        <v>82</v>
      </c>
      <c r="C57" s="101"/>
      <c r="D57" s="42"/>
      <c r="E57" s="13"/>
      <c r="F57" s="43"/>
      <c r="G57" s="44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181"/>
    </row>
    <row r="58" spans="2:24" ht="15.75" customHeight="1" x14ac:dyDescent="0.2">
      <c r="B58" s="13" t="s">
        <v>83</v>
      </c>
      <c r="C58" s="101"/>
      <c r="D58" s="42"/>
      <c r="E58" s="13"/>
      <c r="F58" s="43"/>
      <c r="G58" s="44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181"/>
    </row>
    <row r="59" spans="2:24" ht="15.75" customHeight="1" x14ac:dyDescent="0.2">
      <c r="B59" s="13" t="s">
        <v>84</v>
      </c>
      <c r="C59" s="101"/>
      <c r="D59" s="42"/>
      <c r="E59" s="13"/>
      <c r="F59" s="43"/>
      <c r="G59" s="44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181"/>
    </row>
    <row r="60" spans="2:24" ht="15.75" customHeight="1" x14ac:dyDescent="0.2">
      <c r="B60" s="13" t="s">
        <v>85</v>
      </c>
      <c r="C60" s="101"/>
      <c r="D60" s="42"/>
      <c r="E60" s="13"/>
      <c r="F60" s="43"/>
      <c r="G60" s="44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181"/>
    </row>
    <row r="61" spans="2:24" ht="15.75" customHeight="1" x14ac:dyDescent="0.2">
      <c r="B61" s="13" t="s">
        <v>86</v>
      </c>
      <c r="C61" s="101"/>
      <c r="D61" s="42"/>
      <c r="E61" s="13"/>
      <c r="F61" s="43"/>
      <c r="G61" s="44"/>
      <c r="H61" s="45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80"/>
      <c r="T61" s="81"/>
      <c r="U61" s="49"/>
      <c r="V61" s="50"/>
      <c r="W61" s="82"/>
      <c r="X61" s="181"/>
    </row>
    <row r="62" spans="2:24" ht="15.75" customHeight="1" thickBot="1" x14ac:dyDescent="0.25">
      <c r="B62" s="14" t="s">
        <v>87</v>
      </c>
      <c r="C62" s="102"/>
      <c r="D62" s="53"/>
      <c r="E62" s="14"/>
      <c r="F62" s="54"/>
      <c r="G62" s="55"/>
      <c r="H62" s="56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84"/>
      <c r="T62" s="85"/>
      <c r="U62" s="58"/>
      <c r="V62" s="59"/>
      <c r="W62" s="86"/>
      <c r="X62" s="182"/>
    </row>
    <row r="63" spans="2:24" ht="15.75" customHeight="1" thickBot="1" x14ac:dyDescent="0.25">
      <c r="B63" s="96"/>
      <c r="C63" s="148"/>
      <c r="D63" s="173"/>
      <c r="E63" s="171"/>
      <c r="F63" s="172"/>
      <c r="G63" s="64"/>
      <c r="H63" s="65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7"/>
      <c r="T63" s="190">
        <f>SUM(T53:T62)</f>
        <v>0</v>
      </c>
      <c r="U63" s="191" t="e">
        <f>AVERAGE(U53:U62)</f>
        <v>#DIV/0!</v>
      </c>
      <c r="V63" s="192">
        <f>SUM(V53:V62)</f>
        <v>0</v>
      </c>
      <c r="W63" s="191" t="e">
        <f>AVERAGE(W53:W62)</f>
        <v>#DIV/0!</v>
      </c>
      <c r="X63" s="193" t="e">
        <f>AVERAGE(X53:X62)</f>
        <v>#DIV/0!</v>
      </c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</row>
    <row r="65" spans="2:61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</row>
    <row r="66" spans="2:61" ht="17.25" customHeight="1" thickBot="1" x14ac:dyDescent="0.25">
      <c r="B66" s="17" t="s">
        <v>37</v>
      </c>
      <c r="C66" s="17"/>
      <c r="U66" s="90"/>
      <c r="V66" s="90"/>
      <c r="W66" s="90"/>
    </row>
    <row r="67" spans="2:61" s="6" customFormat="1" ht="11.25" customHeight="1" x14ac:dyDescent="0.2">
      <c r="B67" s="385" t="s">
        <v>1</v>
      </c>
      <c r="C67" s="387" t="s">
        <v>77</v>
      </c>
      <c r="D67" s="389" t="s">
        <v>2</v>
      </c>
      <c r="E67" s="385" t="s">
        <v>24</v>
      </c>
      <c r="F67" s="406" t="s">
        <v>4</v>
      </c>
      <c r="G67" s="389" t="s">
        <v>5</v>
      </c>
      <c r="H67" s="406"/>
      <c r="I67" s="406"/>
      <c r="J67" s="406"/>
      <c r="K67" s="406"/>
      <c r="L67" s="406"/>
      <c r="M67" s="406"/>
      <c r="N67" s="406"/>
      <c r="O67" s="406"/>
      <c r="P67" s="406"/>
      <c r="Q67" s="406"/>
      <c r="R67" s="406"/>
      <c r="S67" s="391"/>
      <c r="T67" s="410" t="s">
        <v>6</v>
      </c>
      <c r="U67" s="399"/>
      <c r="V67" s="399"/>
      <c r="W67" s="399"/>
      <c r="X67" s="400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</row>
    <row r="68" spans="2:61" s="6" customFormat="1" ht="31.5" customHeight="1" thickBot="1" x14ac:dyDescent="0.25">
      <c r="B68" s="397"/>
      <c r="C68" s="388"/>
      <c r="D68" s="390"/>
      <c r="E68" s="386"/>
      <c r="F68" s="405"/>
      <c r="G68" s="7" t="s">
        <v>98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</row>
    <row r="69" spans="2:61" ht="14.25" customHeight="1" x14ac:dyDescent="0.2">
      <c r="B69" s="12" t="s">
        <v>78</v>
      </c>
      <c r="C69" s="100"/>
      <c r="D69" s="31"/>
      <c r="E69" s="12"/>
      <c r="F69" s="32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180"/>
    </row>
    <row r="70" spans="2:61" ht="14.25" customHeight="1" x14ac:dyDescent="0.2">
      <c r="B70" s="13" t="s">
        <v>79</v>
      </c>
      <c r="C70" s="101"/>
      <c r="D70" s="42"/>
      <c r="E70" s="13"/>
      <c r="F70" s="43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181"/>
    </row>
    <row r="71" spans="2:61" ht="14.25" customHeight="1" x14ac:dyDescent="0.2">
      <c r="B71" s="13" t="s">
        <v>80</v>
      </c>
      <c r="C71" s="101"/>
      <c r="D71" s="42"/>
      <c r="E71" s="13"/>
      <c r="F71" s="43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181"/>
    </row>
    <row r="72" spans="2:61" ht="14.25" customHeight="1" x14ac:dyDescent="0.2">
      <c r="B72" s="13" t="s">
        <v>81</v>
      </c>
      <c r="C72" s="101"/>
      <c r="D72" s="42"/>
      <c r="E72" s="13"/>
      <c r="F72" s="43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181"/>
    </row>
    <row r="73" spans="2:61" ht="14.25" customHeight="1" x14ac:dyDescent="0.2">
      <c r="B73" s="13" t="s">
        <v>82</v>
      </c>
      <c r="C73" s="101"/>
      <c r="D73" s="42"/>
      <c r="E73" s="13"/>
      <c r="F73" s="43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181"/>
    </row>
    <row r="74" spans="2:61" ht="14.25" customHeight="1" x14ac:dyDescent="0.2">
      <c r="B74" s="13" t="s">
        <v>83</v>
      </c>
      <c r="C74" s="101"/>
      <c r="D74" s="42"/>
      <c r="E74" s="13"/>
      <c r="F74" s="43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181"/>
    </row>
    <row r="75" spans="2:61" ht="14.25" customHeight="1" x14ac:dyDescent="0.2">
      <c r="B75" s="13" t="s">
        <v>84</v>
      </c>
      <c r="C75" s="101"/>
      <c r="D75" s="42"/>
      <c r="E75" s="13"/>
      <c r="F75" s="43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181"/>
    </row>
    <row r="76" spans="2:61" ht="14.25" customHeight="1" x14ac:dyDescent="0.2">
      <c r="B76" s="13" t="s">
        <v>85</v>
      </c>
      <c r="C76" s="101"/>
      <c r="D76" s="42"/>
      <c r="E76" s="13"/>
      <c r="F76" s="43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181"/>
    </row>
    <row r="77" spans="2:61" ht="14.25" customHeight="1" x14ac:dyDescent="0.2">
      <c r="B77" s="13" t="s">
        <v>86</v>
      </c>
      <c r="C77" s="101"/>
      <c r="D77" s="42"/>
      <c r="E77" s="13"/>
      <c r="F77" s="43"/>
      <c r="G77" s="44"/>
      <c r="H77" s="45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80"/>
      <c r="T77" s="81"/>
      <c r="U77" s="49"/>
      <c r="V77" s="50"/>
      <c r="W77" s="82"/>
      <c r="X77" s="181"/>
    </row>
    <row r="78" spans="2:61" ht="14.25" customHeight="1" thickBot="1" x14ac:dyDescent="0.25">
      <c r="B78" s="14" t="s">
        <v>87</v>
      </c>
      <c r="C78" s="102"/>
      <c r="D78" s="53"/>
      <c r="E78" s="14"/>
      <c r="F78" s="54"/>
      <c r="G78" s="55"/>
      <c r="H78" s="56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84"/>
      <c r="T78" s="85"/>
      <c r="U78" s="58"/>
      <c r="V78" s="59"/>
      <c r="W78" s="86"/>
      <c r="X78" s="182"/>
    </row>
    <row r="79" spans="2:61" ht="14.25" customHeight="1" thickBot="1" x14ac:dyDescent="0.25">
      <c r="B79" s="96"/>
      <c r="C79" s="148"/>
      <c r="D79" s="173"/>
      <c r="E79" s="171"/>
      <c r="F79" s="172"/>
      <c r="G79" s="64"/>
      <c r="H79" s="65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7"/>
      <c r="T79" s="190">
        <f>SUM(T69:T78)</f>
        <v>0</v>
      </c>
      <c r="U79" s="191" t="e">
        <f>AVERAGE(U69:U78)</f>
        <v>#DIV/0!</v>
      </c>
      <c r="V79" s="192">
        <f>SUM(V69:V78)</f>
        <v>0</v>
      </c>
      <c r="W79" s="191" t="e">
        <f>AVERAGE(W69:W78)</f>
        <v>#DIV/0!</v>
      </c>
      <c r="X79" s="193" t="e">
        <f>AVERAGE(X69:X78)</f>
        <v>#DIV/0!</v>
      </c>
    </row>
    <row r="80" spans="2:61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</row>
    <row r="81" spans="2:61" ht="73.5" customHeight="1" x14ac:dyDescent="0.2">
      <c r="U81" s="90"/>
      <c r="V81" s="90"/>
      <c r="W81" s="90"/>
    </row>
    <row r="82" spans="2:61" ht="13.5" customHeight="1" thickBot="1" x14ac:dyDescent="0.25">
      <c r="B82" s="17" t="s">
        <v>48</v>
      </c>
      <c r="C82" s="17"/>
      <c r="U82" s="90"/>
      <c r="V82" s="90"/>
      <c r="W82" s="90"/>
    </row>
    <row r="83" spans="2:61" s="6" customFormat="1" ht="15" customHeight="1" x14ac:dyDescent="0.2">
      <c r="B83" s="385" t="s">
        <v>1</v>
      </c>
      <c r="C83" s="387" t="s">
        <v>77</v>
      </c>
      <c r="D83" s="389" t="s">
        <v>2</v>
      </c>
      <c r="E83" s="385" t="s">
        <v>24</v>
      </c>
      <c r="F83" s="391" t="s">
        <v>4</v>
      </c>
      <c r="G83" s="389" t="s">
        <v>5</v>
      </c>
      <c r="H83" s="406"/>
      <c r="I83" s="406"/>
      <c r="J83" s="406"/>
      <c r="K83" s="406"/>
      <c r="L83" s="406"/>
      <c r="M83" s="406"/>
      <c r="N83" s="406"/>
      <c r="O83" s="406"/>
      <c r="P83" s="406"/>
      <c r="Q83" s="406"/>
      <c r="R83" s="406"/>
      <c r="S83" s="391"/>
      <c r="T83" s="398" t="s">
        <v>6</v>
      </c>
      <c r="U83" s="399"/>
      <c r="V83" s="399"/>
      <c r="W83" s="399"/>
      <c r="X83" s="400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</row>
    <row r="84" spans="2:61" s="6" customFormat="1" ht="27.75" customHeight="1" thickBot="1" x14ac:dyDescent="0.25">
      <c r="B84" s="397"/>
      <c r="C84" s="388"/>
      <c r="D84" s="390"/>
      <c r="E84" s="386"/>
      <c r="F84" s="392"/>
      <c r="G84" s="7" t="s">
        <v>98</v>
      </c>
      <c r="H84" s="11" t="s">
        <v>26</v>
      </c>
      <c r="I84" s="9" t="s">
        <v>27</v>
      </c>
      <c r="J84" s="9" t="s">
        <v>28</v>
      </c>
      <c r="K84" s="9" t="s">
        <v>29</v>
      </c>
      <c r="L84" s="9" t="s">
        <v>30</v>
      </c>
      <c r="M84" s="9" t="s">
        <v>31</v>
      </c>
      <c r="N84" s="9" t="s">
        <v>32</v>
      </c>
      <c r="O84" s="9" t="s">
        <v>33</v>
      </c>
      <c r="P84" s="18" t="s">
        <v>34</v>
      </c>
      <c r="Q84" s="9" t="s">
        <v>35</v>
      </c>
      <c r="R84" s="9" t="s">
        <v>36</v>
      </c>
      <c r="S84" s="10">
        <v>70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</row>
    <row r="85" spans="2:61" ht="15" customHeight="1" x14ac:dyDescent="0.2">
      <c r="B85" s="12" t="s">
        <v>78</v>
      </c>
      <c r="C85" s="100"/>
      <c r="D85" s="31"/>
      <c r="E85" s="12"/>
      <c r="F85" s="32"/>
      <c r="G85" s="33"/>
      <c r="H85" s="34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76"/>
      <c r="T85" s="77"/>
      <c r="U85" s="38"/>
      <c r="V85" s="39"/>
      <c r="W85" s="78"/>
      <c r="X85" s="180"/>
    </row>
    <row r="86" spans="2:61" ht="15" customHeight="1" x14ac:dyDescent="0.2">
      <c r="B86" s="13" t="s">
        <v>79</v>
      </c>
      <c r="C86" s="101"/>
      <c r="D86" s="42"/>
      <c r="E86" s="13"/>
      <c r="F86" s="43"/>
      <c r="G86" s="44"/>
      <c r="H86" s="45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80"/>
      <c r="T86" s="81"/>
      <c r="U86" s="49"/>
      <c r="V86" s="50"/>
      <c r="W86" s="82"/>
      <c r="X86" s="181"/>
    </row>
    <row r="87" spans="2:61" ht="15" customHeight="1" x14ac:dyDescent="0.2">
      <c r="B87" s="13" t="s">
        <v>80</v>
      </c>
      <c r="C87" s="101"/>
      <c r="D87" s="42"/>
      <c r="E87" s="13"/>
      <c r="F87" s="43"/>
      <c r="G87" s="44"/>
      <c r="H87" s="45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80"/>
      <c r="T87" s="81"/>
      <c r="U87" s="49"/>
      <c r="V87" s="50"/>
      <c r="W87" s="82"/>
      <c r="X87" s="181"/>
    </row>
    <row r="88" spans="2:61" ht="15" customHeight="1" x14ac:dyDescent="0.2">
      <c r="B88" s="13" t="s">
        <v>81</v>
      </c>
      <c r="C88" s="101"/>
      <c r="D88" s="42"/>
      <c r="E88" s="13"/>
      <c r="F88" s="43"/>
      <c r="G88" s="44"/>
      <c r="H88" s="45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80"/>
      <c r="T88" s="81"/>
      <c r="U88" s="49"/>
      <c r="V88" s="50"/>
      <c r="W88" s="82"/>
      <c r="X88" s="181"/>
    </row>
    <row r="89" spans="2:61" ht="15" customHeight="1" x14ac:dyDescent="0.2">
      <c r="B89" s="13" t="s">
        <v>82</v>
      </c>
      <c r="C89" s="101"/>
      <c r="D89" s="42"/>
      <c r="E89" s="13"/>
      <c r="F89" s="43"/>
      <c r="G89" s="44"/>
      <c r="H89" s="45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80"/>
      <c r="T89" s="81"/>
      <c r="U89" s="49"/>
      <c r="V89" s="50"/>
      <c r="W89" s="82"/>
      <c r="X89" s="181"/>
    </row>
    <row r="90" spans="2:61" ht="15" customHeight="1" x14ac:dyDescent="0.2">
      <c r="B90" s="13" t="s">
        <v>83</v>
      </c>
      <c r="C90" s="101"/>
      <c r="D90" s="42"/>
      <c r="E90" s="13"/>
      <c r="F90" s="43"/>
      <c r="G90" s="44"/>
      <c r="H90" s="45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80"/>
      <c r="T90" s="81"/>
      <c r="U90" s="49"/>
      <c r="V90" s="50"/>
      <c r="W90" s="82"/>
      <c r="X90" s="181"/>
    </row>
    <row r="91" spans="2:61" ht="15" customHeight="1" x14ac:dyDescent="0.2">
      <c r="B91" s="13" t="s">
        <v>84</v>
      </c>
      <c r="C91" s="101"/>
      <c r="D91" s="42"/>
      <c r="E91" s="13"/>
      <c r="F91" s="43"/>
      <c r="G91" s="44"/>
      <c r="H91" s="45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80"/>
      <c r="T91" s="81"/>
      <c r="U91" s="49"/>
      <c r="V91" s="50"/>
      <c r="W91" s="82"/>
      <c r="X91" s="181"/>
    </row>
    <row r="92" spans="2:61" ht="15" customHeight="1" x14ac:dyDescent="0.2">
      <c r="B92" s="13" t="s">
        <v>85</v>
      </c>
      <c r="C92" s="101"/>
      <c r="D92" s="42"/>
      <c r="E92" s="13"/>
      <c r="F92" s="43"/>
      <c r="G92" s="44"/>
      <c r="H92" s="45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80"/>
      <c r="T92" s="81"/>
      <c r="U92" s="49"/>
      <c r="V92" s="50"/>
      <c r="W92" s="82"/>
      <c r="X92" s="181"/>
    </row>
    <row r="93" spans="2:61" ht="15" customHeight="1" x14ac:dyDescent="0.2">
      <c r="B93" s="13" t="s">
        <v>86</v>
      </c>
      <c r="C93" s="101"/>
      <c r="D93" s="42"/>
      <c r="E93" s="13"/>
      <c r="F93" s="43"/>
      <c r="G93" s="44"/>
      <c r="H93" s="45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80"/>
      <c r="T93" s="81"/>
      <c r="U93" s="49"/>
      <c r="V93" s="50"/>
      <c r="W93" s="82"/>
      <c r="X93" s="181"/>
    </row>
    <row r="94" spans="2:61" ht="15" customHeight="1" thickBot="1" x14ac:dyDescent="0.25">
      <c r="B94" s="14" t="s">
        <v>87</v>
      </c>
      <c r="C94" s="102"/>
      <c r="D94" s="53"/>
      <c r="E94" s="14"/>
      <c r="F94" s="54"/>
      <c r="G94" s="55"/>
      <c r="H94" s="56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84"/>
      <c r="T94" s="85"/>
      <c r="U94" s="58"/>
      <c r="V94" s="59"/>
      <c r="W94" s="86"/>
      <c r="X94" s="182"/>
    </row>
    <row r="95" spans="2:61" ht="15" customHeight="1" thickBot="1" x14ac:dyDescent="0.25">
      <c r="B95" s="96"/>
      <c r="C95" s="148"/>
      <c r="D95" s="173"/>
      <c r="E95" s="171"/>
      <c r="F95" s="172"/>
      <c r="G95" s="64"/>
      <c r="H95" s="65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7"/>
      <c r="T95" s="190">
        <f>SUM(T85:T94)</f>
        <v>0</v>
      </c>
      <c r="U95" s="191" t="e">
        <f>AVERAGE(U85:U94)</f>
        <v>#DIV/0!</v>
      </c>
      <c r="V95" s="192">
        <f>SUM(V85:V94)</f>
        <v>0</v>
      </c>
      <c r="W95" s="191" t="e">
        <f>AVERAGE(W85:W94)</f>
        <v>#DIV/0!</v>
      </c>
      <c r="X95" s="193" t="e">
        <f>AVERAGE(X85:X94)</f>
        <v>#DIV/0!</v>
      </c>
    </row>
    <row r="96" spans="2:61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</row>
    <row r="97" spans="2:61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</row>
    <row r="98" spans="2:61" ht="15" customHeight="1" thickBot="1" x14ac:dyDescent="0.25">
      <c r="B98" s="17" t="s">
        <v>49</v>
      </c>
      <c r="C98" s="17"/>
      <c r="U98" s="90"/>
      <c r="V98" s="90"/>
      <c r="W98" s="90"/>
    </row>
    <row r="99" spans="2:61" ht="13.5" customHeight="1" x14ac:dyDescent="0.2">
      <c r="B99" s="385" t="s">
        <v>1</v>
      </c>
      <c r="C99" s="387" t="s">
        <v>77</v>
      </c>
      <c r="D99" s="389" t="s">
        <v>2</v>
      </c>
      <c r="E99" s="385" t="s">
        <v>24</v>
      </c>
      <c r="F99" s="406" t="s">
        <v>4</v>
      </c>
      <c r="G99" s="389" t="s">
        <v>5</v>
      </c>
      <c r="H99" s="406"/>
      <c r="I99" s="406"/>
      <c r="J99" s="406"/>
      <c r="K99" s="406"/>
      <c r="L99" s="406"/>
      <c r="M99" s="406"/>
      <c r="N99" s="406"/>
      <c r="O99" s="406"/>
      <c r="P99" s="406"/>
      <c r="Q99" s="406"/>
      <c r="R99" s="406"/>
      <c r="S99" s="391"/>
      <c r="T99" s="410" t="s">
        <v>6</v>
      </c>
      <c r="U99" s="399"/>
      <c r="V99" s="399"/>
      <c r="W99" s="399"/>
      <c r="X99" s="400"/>
    </row>
    <row r="100" spans="2:61" s="6" customFormat="1" ht="30.75" customHeight="1" thickBot="1" x14ac:dyDescent="0.25">
      <c r="B100" s="397"/>
      <c r="C100" s="388"/>
      <c r="D100" s="390"/>
      <c r="E100" s="386"/>
      <c r="F100" s="405"/>
      <c r="G100" s="7" t="s">
        <v>98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</row>
    <row r="101" spans="2:61" s="6" customFormat="1" ht="15" customHeight="1" x14ac:dyDescent="0.2">
      <c r="B101" s="12" t="s">
        <v>78</v>
      </c>
      <c r="C101" s="100"/>
      <c r="D101" s="31"/>
      <c r="E101" s="12"/>
      <c r="F101" s="32"/>
      <c r="G101" s="33"/>
      <c r="H101" s="34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76"/>
      <c r="T101" s="77"/>
      <c r="U101" s="38"/>
      <c r="V101" s="39"/>
      <c r="W101" s="78"/>
      <c r="X101" s="180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</row>
    <row r="102" spans="2:61" ht="15" customHeight="1" x14ac:dyDescent="0.2">
      <c r="B102" s="13" t="s">
        <v>79</v>
      </c>
      <c r="C102" s="101"/>
      <c r="D102" s="42"/>
      <c r="E102" s="13"/>
      <c r="F102" s="43"/>
      <c r="G102" s="44"/>
      <c r="H102" s="45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80"/>
      <c r="T102" s="81"/>
      <c r="U102" s="49"/>
      <c r="V102" s="50"/>
      <c r="W102" s="82"/>
      <c r="X102" s="181"/>
    </row>
    <row r="103" spans="2:61" ht="15" customHeight="1" x14ac:dyDescent="0.2">
      <c r="B103" s="13" t="s">
        <v>80</v>
      </c>
      <c r="C103" s="101"/>
      <c r="D103" s="42"/>
      <c r="E103" s="13"/>
      <c r="F103" s="43"/>
      <c r="G103" s="44"/>
      <c r="H103" s="45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80"/>
      <c r="T103" s="81"/>
      <c r="U103" s="49"/>
      <c r="V103" s="50"/>
      <c r="W103" s="82"/>
      <c r="X103" s="181"/>
    </row>
    <row r="104" spans="2:61" ht="15" customHeight="1" x14ac:dyDescent="0.2">
      <c r="B104" s="13" t="s">
        <v>81</v>
      </c>
      <c r="C104" s="101"/>
      <c r="D104" s="42"/>
      <c r="E104" s="13"/>
      <c r="F104" s="43"/>
      <c r="G104" s="44"/>
      <c r="H104" s="45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80"/>
      <c r="T104" s="81"/>
      <c r="U104" s="49"/>
      <c r="V104" s="50"/>
      <c r="W104" s="82"/>
      <c r="X104" s="181"/>
    </row>
    <row r="105" spans="2:61" ht="15" customHeight="1" x14ac:dyDescent="0.2">
      <c r="B105" s="13" t="s">
        <v>82</v>
      </c>
      <c r="C105" s="101"/>
      <c r="D105" s="42"/>
      <c r="E105" s="13"/>
      <c r="F105" s="43"/>
      <c r="G105" s="44"/>
      <c r="H105" s="45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80"/>
      <c r="T105" s="81"/>
      <c r="U105" s="49"/>
      <c r="V105" s="50"/>
      <c r="W105" s="82"/>
      <c r="X105" s="181"/>
    </row>
    <row r="106" spans="2:61" ht="15" customHeight="1" x14ac:dyDescent="0.2">
      <c r="B106" s="13" t="s">
        <v>83</v>
      </c>
      <c r="C106" s="101"/>
      <c r="D106" s="42"/>
      <c r="E106" s="13"/>
      <c r="F106" s="43"/>
      <c r="G106" s="44"/>
      <c r="H106" s="45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80"/>
      <c r="T106" s="81"/>
      <c r="U106" s="49"/>
      <c r="V106" s="50"/>
      <c r="W106" s="82"/>
      <c r="X106" s="181"/>
    </row>
    <row r="107" spans="2:61" ht="15" customHeight="1" x14ac:dyDescent="0.2">
      <c r="B107" s="13" t="s">
        <v>84</v>
      </c>
      <c r="C107" s="101"/>
      <c r="D107" s="42"/>
      <c r="E107" s="13"/>
      <c r="F107" s="43"/>
      <c r="G107" s="44"/>
      <c r="H107" s="45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80"/>
      <c r="T107" s="81"/>
      <c r="U107" s="49"/>
      <c r="V107" s="50"/>
      <c r="W107" s="82"/>
      <c r="X107" s="181"/>
    </row>
    <row r="108" spans="2:61" ht="15" customHeight="1" x14ac:dyDescent="0.2">
      <c r="B108" s="13" t="s">
        <v>85</v>
      </c>
      <c r="C108" s="101"/>
      <c r="D108" s="42"/>
      <c r="E108" s="13"/>
      <c r="F108" s="43"/>
      <c r="G108" s="44"/>
      <c r="H108" s="45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80"/>
      <c r="T108" s="81"/>
      <c r="U108" s="49"/>
      <c r="V108" s="50"/>
      <c r="W108" s="82"/>
      <c r="X108" s="181"/>
    </row>
    <row r="109" spans="2:61" ht="15" customHeight="1" x14ac:dyDescent="0.2">
      <c r="B109" s="13" t="s">
        <v>86</v>
      </c>
      <c r="C109" s="101"/>
      <c r="D109" s="42"/>
      <c r="E109" s="13"/>
      <c r="F109" s="43"/>
      <c r="G109" s="44"/>
      <c r="H109" s="45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80"/>
      <c r="T109" s="81"/>
      <c r="U109" s="49"/>
      <c r="V109" s="50"/>
      <c r="W109" s="82"/>
      <c r="X109" s="181"/>
    </row>
    <row r="110" spans="2:61" ht="15" customHeight="1" thickBot="1" x14ac:dyDescent="0.25">
      <c r="B110" s="14" t="s">
        <v>87</v>
      </c>
      <c r="C110" s="102"/>
      <c r="D110" s="53"/>
      <c r="E110" s="14"/>
      <c r="F110" s="54"/>
      <c r="G110" s="55"/>
      <c r="H110" s="56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84"/>
      <c r="T110" s="85"/>
      <c r="U110" s="58"/>
      <c r="V110" s="59"/>
      <c r="W110" s="86"/>
      <c r="X110" s="182"/>
    </row>
    <row r="111" spans="2:61" ht="15" customHeight="1" thickBot="1" x14ac:dyDescent="0.25">
      <c r="B111" s="96"/>
      <c r="C111" s="148"/>
      <c r="D111" s="173"/>
      <c r="E111" s="171"/>
      <c r="F111" s="172"/>
      <c r="G111" s="64"/>
      <c r="H111" s="65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7"/>
      <c r="T111" s="190">
        <f>SUM(T101:T110)</f>
        <v>0</v>
      </c>
      <c r="U111" s="191" t="e">
        <f>AVERAGE(U101:U110)</f>
        <v>#DIV/0!</v>
      </c>
      <c r="V111" s="192">
        <f>SUM(V101:V110)</f>
        <v>0</v>
      </c>
      <c r="W111" s="191" t="e">
        <f>AVERAGE(W101:W110)</f>
        <v>#DIV/0!</v>
      </c>
      <c r="X111" s="193" t="e">
        <f>AVERAGE(X101:X110)</f>
        <v>#DIV/0!</v>
      </c>
    </row>
    <row r="112" spans="2:61" ht="15" customHeight="1" x14ac:dyDescent="0.2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16"/>
      <c r="V112" s="16"/>
      <c r="W112" s="16"/>
      <c r="X112" s="4"/>
    </row>
    <row r="113" spans="2:24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16"/>
      <c r="V113" s="16"/>
      <c r="W113" s="16"/>
      <c r="X113" s="4"/>
    </row>
    <row r="114" spans="2:24" ht="5.25" hidden="1" customHeight="1" x14ac:dyDescent="0.2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16"/>
      <c r="V114" s="16"/>
      <c r="W114" s="16"/>
      <c r="X114" s="4"/>
    </row>
    <row r="115" spans="2:24" ht="5.25" hidden="1" customHeight="1" x14ac:dyDescent="0.2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16"/>
      <c r="V115" s="16"/>
      <c r="W115" s="16"/>
      <c r="X115" s="4"/>
    </row>
    <row r="116" spans="2:24" ht="5.25" hidden="1" customHeight="1" x14ac:dyDescent="0.2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16"/>
      <c r="V116" s="16"/>
      <c r="W116" s="16"/>
      <c r="X116" s="4"/>
    </row>
    <row r="117" spans="2:24" ht="5.25" hidden="1" customHeight="1" x14ac:dyDescent="0.2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16"/>
      <c r="V117" s="16"/>
      <c r="W117" s="16"/>
      <c r="X117" s="4"/>
    </row>
    <row r="118" spans="2:24" ht="5.25" hidden="1" customHeight="1" x14ac:dyDescent="0.2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16"/>
      <c r="V118" s="16"/>
      <c r="W118" s="16"/>
      <c r="X118" s="4"/>
    </row>
    <row r="119" spans="2:24" ht="5.25" hidden="1" customHeight="1" x14ac:dyDescent="0.2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16"/>
      <c r="V119" s="16"/>
      <c r="W119" s="16"/>
      <c r="X119" s="4"/>
    </row>
    <row r="120" spans="2:24" ht="5.25" hidden="1" customHeight="1" x14ac:dyDescent="0.2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16"/>
      <c r="V120" s="16"/>
      <c r="W120" s="16"/>
      <c r="X120" s="4"/>
    </row>
    <row r="121" spans="2:24" ht="5.25" hidden="1" customHeight="1" x14ac:dyDescent="0.2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16"/>
      <c r="V121" s="16"/>
      <c r="W121" s="16"/>
      <c r="X121" s="4"/>
    </row>
    <row r="122" spans="2:24" ht="5.25" hidden="1" customHeight="1" x14ac:dyDescent="0.2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16"/>
      <c r="V122" s="16"/>
      <c r="W122" s="16"/>
      <c r="X122" s="4"/>
    </row>
    <row r="123" spans="2:24" ht="5.25" hidden="1" customHeight="1" x14ac:dyDescent="0.2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16"/>
      <c r="V123" s="16"/>
      <c r="W123" s="16"/>
      <c r="X123" s="4"/>
    </row>
    <row r="124" spans="2:24" ht="5.25" hidden="1" customHeight="1" x14ac:dyDescent="0.2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16"/>
      <c r="V124" s="16"/>
      <c r="W124" s="16"/>
      <c r="X124" s="4"/>
    </row>
    <row r="125" spans="2:24" ht="5.25" hidden="1" customHeight="1" x14ac:dyDescent="0.2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16"/>
      <c r="V125" s="16"/>
      <c r="W125" s="16"/>
      <c r="X125" s="4"/>
    </row>
    <row r="126" spans="2:24" ht="12" customHeight="1" x14ac:dyDescent="0.2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16"/>
      <c r="V126" s="16"/>
      <c r="W126" s="16"/>
      <c r="X126" s="4"/>
    </row>
    <row r="127" spans="2:24" ht="12" customHeight="1" x14ac:dyDescent="0.2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16"/>
      <c r="V127" s="16"/>
      <c r="W127" s="16"/>
      <c r="X127" s="4"/>
    </row>
    <row r="128" spans="2:24" ht="12" customHeight="1" x14ac:dyDescent="0.2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16"/>
      <c r="V128" s="16"/>
      <c r="W128" s="16"/>
      <c r="X128" s="4"/>
    </row>
    <row r="129" spans="1:25" s="24" customFormat="1" ht="12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91"/>
      <c r="Y129" s="1"/>
    </row>
    <row r="130" spans="1:25" s="24" customFormat="1" ht="12.95" customHeight="1" thickBot="1" x14ac:dyDescent="0.25">
      <c r="A130" s="1"/>
      <c r="B130" s="17" t="s">
        <v>50</v>
      </c>
      <c r="C130" s="17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90"/>
      <c r="V130" s="90"/>
      <c r="W130" s="90"/>
      <c r="X130" s="91"/>
      <c r="Y130" s="1"/>
    </row>
    <row r="131" spans="1:25" s="24" customFormat="1" ht="12.95" customHeight="1" thickBot="1" x14ac:dyDescent="0.25">
      <c r="A131" s="1"/>
      <c r="B131" s="389" t="s">
        <v>1</v>
      </c>
      <c r="C131" s="387" t="s">
        <v>77</v>
      </c>
      <c r="D131" s="389" t="s">
        <v>51</v>
      </c>
      <c r="E131" s="385" t="s">
        <v>4</v>
      </c>
      <c r="F131" s="406" t="s">
        <v>3</v>
      </c>
      <c r="G131" s="398" t="s">
        <v>52</v>
      </c>
      <c r="H131" s="399"/>
      <c r="I131" s="399"/>
      <c r="J131" s="399"/>
      <c r="K131" s="399"/>
      <c r="L131" s="399"/>
      <c r="M131" s="399"/>
      <c r="N131" s="399"/>
      <c r="O131" s="399"/>
      <c r="P131" s="400"/>
      <c r="Q131" s="393" t="s">
        <v>53</v>
      </c>
      <c r="R131" s="394"/>
      <c r="S131" s="394"/>
      <c r="T131" s="394"/>
      <c r="U131" s="394"/>
      <c r="V131" s="394"/>
      <c r="W131" s="395"/>
    </row>
    <row r="132" spans="1:25" s="24" customFormat="1" ht="27" customHeight="1" thickBot="1" x14ac:dyDescent="0.25">
      <c r="A132" s="1"/>
      <c r="B132" s="396"/>
      <c r="C132" s="388"/>
      <c r="D132" s="390"/>
      <c r="E132" s="397"/>
      <c r="F132" s="405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</row>
    <row r="133" spans="1:25" s="24" customFormat="1" ht="15" customHeight="1" x14ac:dyDescent="0.2">
      <c r="A133" s="1"/>
      <c r="B133" s="12" t="s">
        <v>78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56"/>
      <c r="R133" s="157"/>
      <c r="S133" s="157"/>
      <c r="T133" s="157"/>
      <c r="U133" s="158"/>
      <c r="V133" s="158"/>
      <c r="W133" s="159"/>
    </row>
    <row r="134" spans="1:25" s="24" customFormat="1" ht="15" customHeight="1" x14ac:dyDescent="0.2">
      <c r="A134" s="1"/>
      <c r="B134" s="13" t="s">
        <v>79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</row>
    <row r="135" spans="1:25" s="24" customFormat="1" ht="15" customHeight="1" x14ac:dyDescent="0.2">
      <c r="A135" s="1"/>
      <c r="B135" s="13" t="s">
        <v>80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</row>
    <row r="136" spans="1:25" s="24" customFormat="1" ht="15" customHeight="1" x14ac:dyDescent="0.2">
      <c r="A136" s="1"/>
      <c r="B136" s="13" t="s">
        <v>81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</row>
    <row r="137" spans="1:25" s="24" customFormat="1" ht="15" customHeight="1" x14ac:dyDescent="0.2">
      <c r="A137" s="1"/>
      <c r="B137" s="13" t="s">
        <v>82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</row>
    <row r="138" spans="1:25" s="24" customFormat="1" ht="15" customHeight="1" x14ac:dyDescent="0.2">
      <c r="A138" s="1"/>
      <c r="B138" s="13" t="s">
        <v>83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</row>
    <row r="139" spans="1:25" s="24" customFormat="1" ht="15" customHeight="1" x14ac:dyDescent="0.2">
      <c r="A139" s="1"/>
      <c r="B139" s="13" t="s">
        <v>84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</row>
    <row r="140" spans="1:25" s="24" customFormat="1" ht="15" customHeight="1" x14ac:dyDescent="0.2">
      <c r="A140" s="1"/>
      <c r="B140" s="13" t="s">
        <v>85</v>
      </c>
      <c r="C140" s="146"/>
      <c r="D140" s="143"/>
      <c r="E140" s="13"/>
      <c r="F140" s="43"/>
      <c r="G140" s="45"/>
      <c r="H140" s="46"/>
      <c r="I140" s="46"/>
      <c r="J140" s="46"/>
      <c r="K140" s="46"/>
      <c r="L140" s="46"/>
      <c r="M140" s="46"/>
      <c r="N140" s="46"/>
      <c r="O140" s="46"/>
      <c r="P140" s="160"/>
      <c r="Q140" s="161"/>
      <c r="R140" s="162"/>
      <c r="S140" s="162"/>
      <c r="T140" s="162"/>
      <c r="U140" s="163"/>
      <c r="V140" s="163"/>
      <c r="W140" s="164"/>
    </row>
    <row r="141" spans="1:25" s="24" customFormat="1" ht="15" customHeight="1" x14ac:dyDescent="0.2">
      <c r="A141" s="1"/>
      <c r="B141" s="13" t="s">
        <v>86</v>
      </c>
      <c r="C141" s="146"/>
      <c r="D141" s="143"/>
      <c r="E141" s="13"/>
      <c r="F141" s="43"/>
      <c r="G141" s="45"/>
      <c r="H141" s="46"/>
      <c r="I141" s="46"/>
      <c r="J141" s="46"/>
      <c r="K141" s="46"/>
      <c r="L141" s="46"/>
      <c r="M141" s="46"/>
      <c r="N141" s="46"/>
      <c r="O141" s="46"/>
      <c r="P141" s="160"/>
      <c r="Q141" s="161"/>
      <c r="R141" s="162"/>
      <c r="S141" s="162"/>
      <c r="T141" s="162"/>
      <c r="U141" s="163"/>
      <c r="V141" s="163"/>
      <c r="W141" s="164"/>
    </row>
    <row r="142" spans="1:25" s="24" customFormat="1" ht="15" customHeight="1" thickBot="1" x14ac:dyDescent="0.25">
      <c r="A142" s="1"/>
      <c r="B142" s="14" t="s">
        <v>87</v>
      </c>
      <c r="C142" s="147"/>
      <c r="D142" s="144"/>
      <c r="E142" s="14"/>
      <c r="F142" s="54"/>
      <c r="G142" s="56"/>
      <c r="H142" s="57"/>
      <c r="I142" s="57"/>
      <c r="J142" s="57"/>
      <c r="K142" s="57"/>
      <c r="L142" s="57"/>
      <c r="M142" s="57"/>
      <c r="N142" s="57"/>
      <c r="O142" s="57"/>
      <c r="P142" s="165"/>
      <c r="Q142" s="166"/>
      <c r="R142" s="167"/>
      <c r="S142" s="167"/>
      <c r="T142" s="167"/>
      <c r="U142" s="168"/>
      <c r="V142" s="168"/>
      <c r="W142" s="169"/>
    </row>
  </sheetData>
  <sheetProtection autoFilter="0"/>
  <mergeCells count="56">
    <mergeCell ref="B3:B4"/>
    <mergeCell ref="C3:C4"/>
    <mergeCell ref="D3:D4"/>
    <mergeCell ref="E3:E4"/>
    <mergeCell ref="F3:F4"/>
    <mergeCell ref="G3:S3"/>
    <mergeCell ref="T3:X3"/>
    <mergeCell ref="T35:X35"/>
    <mergeCell ref="B19:B20"/>
    <mergeCell ref="C19:C20"/>
    <mergeCell ref="D19:D20"/>
    <mergeCell ref="E19:E20"/>
    <mergeCell ref="F19:F20"/>
    <mergeCell ref="G19:S19"/>
    <mergeCell ref="T19:X19"/>
    <mergeCell ref="B35:B36"/>
    <mergeCell ref="C35:C36"/>
    <mergeCell ref="D35:D36"/>
    <mergeCell ref="E35:E36"/>
    <mergeCell ref="F35:F36"/>
    <mergeCell ref="G35:S35"/>
    <mergeCell ref="B131:B132"/>
    <mergeCell ref="T51:X51"/>
    <mergeCell ref="B67:B68"/>
    <mergeCell ref="C67:C68"/>
    <mergeCell ref="D67:D68"/>
    <mergeCell ref="E67:E68"/>
    <mergeCell ref="F67:F68"/>
    <mergeCell ref="G67:S67"/>
    <mergeCell ref="T67:X67"/>
    <mergeCell ref="B51:B52"/>
    <mergeCell ref="C51:C52"/>
    <mergeCell ref="D51:D52"/>
    <mergeCell ref="E51:E52"/>
    <mergeCell ref="F51:F52"/>
    <mergeCell ref="G51:S51"/>
    <mergeCell ref="Q131:W131"/>
    <mergeCell ref="T83:X83"/>
    <mergeCell ref="B99:B100"/>
    <mergeCell ref="C99:C100"/>
    <mergeCell ref="D99:D100"/>
    <mergeCell ref="E99:E100"/>
    <mergeCell ref="F99:F100"/>
    <mergeCell ref="G99:S99"/>
    <mergeCell ref="T99:X99"/>
    <mergeCell ref="B83:B84"/>
    <mergeCell ref="C83:C84"/>
    <mergeCell ref="D83:D84"/>
    <mergeCell ref="E83:E84"/>
    <mergeCell ref="F83:F84"/>
    <mergeCell ref="G83:S83"/>
    <mergeCell ref="C131:C132"/>
    <mergeCell ref="D131:D132"/>
    <mergeCell ref="E131:E132"/>
    <mergeCell ref="F131:F132"/>
    <mergeCell ref="G131:P131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36F76-F2E8-46BF-BDF2-0E84A51F9555}">
  <sheetPr codeName="Sheet22">
    <tabColor theme="4" tint="-0.249977111117893"/>
  </sheetPr>
  <dimension ref="B1:DG162"/>
  <sheetViews>
    <sheetView zoomScaleNormal="100" zoomScaleSheetLayoutView="100" workbookViewId="0">
      <selection activeCell="AA128" sqref="AA128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4.75" style="1" customWidth="1"/>
    <col min="23" max="23" width="6.375" style="1" customWidth="1"/>
    <col min="24" max="24" width="5.375" style="91" customWidth="1"/>
    <col min="25" max="25" width="2.75" style="1" customWidth="1"/>
    <col min="26" max="111" width="9" style="24"/>
    <col min="112" max="16384" width="9" style="1"/>
  </cols>
  <sheetData>
    <row r="1" spans="2:111" ht="17.25" customHeight="1" x14ac:dyDescent="0.2">
      <c r="B1" s="415" t="s">
        <v>102</v>
      </c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5"/>
      <c r="U1" s="415"/>
      <c r="V1" s="415"/>
      <c r="W1" s="415"/>
      <c r="X1" s="415"/>
      <c r="Y1" s="23"/>
    </row>
    <row r="2" spans="2:111" s="5" customFormat="1" ht="15" customHeight="1" thickBot="1" x14ac:dyDescent="0.25">
      <c r="B2" s="2" t="s">
        <v>0</v>
      </c>
      <c r="C2" s="2"/>
      <c r="V2" s="25"/>
      <c r="W2" s="26"/>
      <c r="X2" s="27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</row>
    <row r="3" spans="2:111" s="6" customFormat="1" ht="13.5" customHeight="1" x14ac:dyDescent="0.2">
      <c r="B3" s="385" t="s">
        <v>1</v>
      </c>
      <c r="C3" s="387" t="s">
        <v>77</v>
      </c>
      <c r="D3" s="389" t="s">
        <v>2</v>
      </c>
      <c r="E3" s="385" t="s">
        <v>3</v>
      </c>
      <c r="F3" s="391" t="s">
        <v>4</v>
      </c>
      <c r="G3" s="389" t="s">
        <v>5</v>
      </c>
      <c r="H3" s="406"/>
      <c r="I3" s="406"/>
      <c r="J3" s="406"/>
      <c r="K3" s="406"/>
      <c r="L3" s="406"/>
      <c r="M3" s="406"/>
      <c r="N3" s="406"/>
      <c r="O3" s="406"/>
      <c r="P3" s="406"/>
      <c r="Q3" s="406"/>
      <c r="R3" s="406"/>
      <c r="S3" s="391"/>
      <c r="T3" s="410" t="s">
        <v>6</v>
      </c>
      <c r="U3" s="399"/>
      <c r="V3" s="399"/>
      <c r="W3" s="399"/>
      <c r="X3" s="400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</row>
    <row r="4" spans="2:111" s="6" customFormat="1" ht="40.5" customHeight="1" thickBot="1" x14ac:dyDescent="0.25">
      <c r="B4" s="386"/>
      <c r="C4" s="388"/>
      <c r="D4" s="390"/>
      <c r="E4" s="386"/>
      <c r="F4" s="392"/>
      <c r="G4" s="7" t="s">
        <v>103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9" t="s">
        <v>18</v>
      </c>
      <c r="U4" s="9" t="s">
        <v>19</v>
      </c>
      <c r="V4" s="11" t="s">
        <v>20</v>
      </c>
      <c r="W4" s="194" t="s">
        <v>21</v>
      </c>
      <c r="X4" s="195" t="s">
        <v>22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</row>
    <row r="5" spans="2:111" ht="14.25" customHeight="1" x14ac:dyDescent="0.2">
      <c r="B5" s="12" t="s">
        <v>64</v>
      </c>
      <c r="C5" s="145"/>
      <c r="D5" s="31"/>
      <c r="E5" s="12"/>
      <c r="F5" s="32"/>
      <c r="G5" s="33"/>
      <c r="H5" s="34"/>
      <c r="I5" s="35"/>
      <c r="J5" s="35"/>
      <c r="K5" s="35"/>
      <c r="L5" s="35"/>
      <c r="M5" s="35"/>
      <c r="N5" s="35"/>
      <c r="O5" s="35"/>
      <c r="P5" s="35"/>
      <c r="Q5" s="35"/>
      <c r="R5" s="35"/>
      <c r="S5" s="36"/>
      <c r="T5" s="37"/>
      <c r="U5" s="38"/>
      <c r="V5" s="39"/>
      <c r="W5" s="40"/>
      <c r="X5" s="41"/>
    </row>
    <row r="6" spans="2:111" ht="14.25" customHeight="1" x14ac:dyDescent="0.2">
      <c r="B6" s="13" t="s">
        <v>65</v>
      </c>
      <c r="C6" s="146"/>
      <c r="D6" s="42"/>
      <c r="E6" s="13"/>
      <c r="F6" s="43"/>
      <c r="G6" s="44"/>
      <c r="H6" s="45"/>
      <c r="I6" s="46"/>
      <c r="J6" s="46"/>
      <c r="K6" s="46"/>
      <c r="L6" s="46"/>
      <c r="M6" s="46"/>
      <c r="N6" s="46"/>
      <c r="O6" s="46"/>
      <c r="P6" s="46"/>
      <c r="Q6" s="46"/>
      <c r="R6" s="46"/>
      <c r="S6" s="47"/>
      <c r="T6" s="48"/>
      <c r="U6" s="49"/>
      <c r="V6" s="50"/>
      <c r="W6" s="51"/>
      <c r="X6" s="52"/>
    </row>
    <row r="7" spans="2:111" ht="14.25" customHeight="1" x14ac:dyDescent="0.2">
      <c r="B7" s="13" t="s">
        <v>66</v>
      </c>
      <c r="C7" s="146"/>
      <c r="D7" s="42"/>
      <c r="E7" s="13"/>
      <c r="F7" s="43"/>
      <c r="G7" s="44"/>
      <c r="H7" s="45"/>
      <c r="I7" s="46"/>
      <c r="J7" s="46"/>
      <c r="K7" s="46"/>
      <c r="L7" s="46"/>
      <c r="M7" s="46"/>
      <c r="N7" s="46"/>
      <c r="O7" s="46"/>
      <c r="P7" s="46"/>
      <c r="Q7" s="46"/>
      <c r="R7" s="46"/>
      <c r="S7" s="47"/>
      <c r="T7" s="48"/>
      <c r="U7" s="49"/>
      <c r="V7" s="50"/>
      <c r="W7" s="51"/>
      <c r="X7" s="52"/>
    </row>
    <row r="8" spans="2:111" ht="14.25" customHeight="1" x14ac:dyDescent="0.2">
      <c r="B8" s="13" t="s">
        <v>67</v>
      </c>
      <c r="C8" s="146"/>
      <c r="D8" s="42"/>
      <c r="E8" s="13"/>
      <c r="F8" s="43"/>
      <c r="G8" s="44"/>
      <c r="H8" s="45"/>
      <c r="I8" s="46"/>
      <c r="J8" s="46"/>
      <c r="K8" s="46"/>
      <c r="L8" s="46"/>
      <c r="M8" s="46"/>
      <c r="N8" s="46"/>
      <c r="O8" s="46"/>
      <c r="P8" s="46"/>
      <c r="Q8" s="46"/>
      <c r="R8" s="46"/>
      <c r="S8" s="47"/>
      <c r="T8" s="48"/>
      <c r="U8" s="49"/>
      <c r="V8" s="50"/>
      <c r="W8" s="51"/>
      <c r="X8" s="52"/>
    </row>
    <row r="9" spans="2:111" ht="14.25" customHeight="1" x14ac:dyDescent="0.2">
      <c r="B9" s="13" t="s">
        <v>68</v>
      </c>
      <c r="C9" s="146"/>
      <c r="D9" s="42"/>
      <c r="E9" s="13"/>
      <c r="F9" s="43"/>
      <c r="G9" s="44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7"/>
      <c r="T9" s="48"/>
      <c r="U9" s="49"/>
      <c r="V9" s="50"/>
      <c r="W9" s="51"/>
      <c r="X9" s="52"/>
    </row>
    <row r="10" spans="2:111" ht="14.25" customHeight="1" x14ac:dyDescent="0.2">
      <c r="B10" s="13" t="s">
        <v>69</v>
      </c>
      <c r="C10" s="146"/>
      <c r="D10" s="42"/>
      <c r="E10" s="13"/>
      <c r="F10" s="43"/>
      <c r="G10" s="44"/>
      <c r="H10" s="45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7"/>
      <c r="T10" s="48"/>
      <c r="U10" s="49"/>
      <c r="V10" s="50"/>
      <c r="W10" s="51"/>
      <c r="X10" s="52"/>
    </row>
    <row r="11" spans="2:111" ht="14.25" customHeight="1" x14ac:dyDescent="0.2">
      <c r="B11" s="13" t="s">
        <v>70</v>
      </c>
      <c r="C11" s="146"/>
      <c r="D11" s="42"/>
      <c r="E11" s="13"/>
      <c r="F11" s="43"/>
      <c r="G11" s="44"/>
      <c r="H11" s="45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7"/>
      <c r="T11" s="48"/>
      <c r="U11" s="49"/>
      <c r="V11" s="50"/>
      <c r="W11" s="51"/>
      <c r="X11" s="52"/>
    </row>
    <row r="12" spans="2:111" ht="14.25" customHeight="1" thickBot="1" x14ac:dyDescent="0.25">
      <c r="B12" s="13" t="s">
        <v>71</v>
      </c>
      <c r="C12" s="146"/>
      <c r="D12" s="42"/>
      <c r="E12" s="13"/>
      <c r="F12" s="43"/>
      <c r="G12" s="44"/>
      <c r="H12" s="45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7"/>
      <c r="T12" s="48"/>
      <c r="U12" s="49"/>
      <c r="V12" s="50"/>
      <c r="W12" s="51"/>
      <c r="X12" s="52"/>
    </row>
    <row r="13" spans="2:111" ht="14.25" customHeight="1" thickBot="1" x14ac:dyDescent="0.25">
      <c r="B13" s="60"/>
      <c r="C13" s="148"/>
      <c r="D13" s="173"/>
      <c r="E13" s="171"/>
      <c r="F13" s="172"/>
      <c r="G13" s="64"/>
      <c r="H13" s="65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>
        <f>SUM(T5:T12)</f>
        <v>0</v>
      </c>
      <c r="U13" s="69" t="e">
        <f>AVERAGE(U5:U12)</f>
        <v>#DIV/0!</v>
      </c>
      <c r="V13" s="70">
        <f>SUM(V5:V12)</f>
        <v>0</v>
      </c>
      <c r="W13" s="69" t="e">
        <f>AVERAGE(W5:W12)</f>
        <v>#DIV/0!</v>
      </c>
      <c r="X13" s="71" t="e">
        <f>AVERAGE(X5:X12)</f>
        <v>#DIV/0!</v>
      </c>
    </row>
    <row r="14" spans="2:111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  <c r="V14" s="176"/>
      <c r="W14" s="177"/>
      <c r="X14" s="178"/>
    </row>
    <row r="15" spans="2:111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77"/>
      <c r="V15" s="176"/>
      <c r="W15" s="177"/>
      <c r="X15" s="178"/>
    </row>
    <row r="16" spans="2:111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6"/>
      <c r="U16" s="177"/>
      <c r="V16" s="176"/>
      <c r="W16" s="177"/>
      <c r="X16" s="178"/>
    </row>
    <row r="17" spans="2:111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</row>
    <row r="18" spans="2:111" ht="18" customHeight="1" thickBot="1" x14ac:dyDescent="0.25">
      <c r="B18" s="17" t="s">
        <v>23</v>
      </c>
      <c r="C18" s="17"/>
      <c r="U18" s="74"/>
      <c r="V18" s="74"/>
      <c r="W18" s="74"/>
      <c r="X18" s="75"/>
    </row>
    <row r="19" spans="2:111" s="6" customFormat="1" ht="15.75" customHeight="1" x14ac:dyDescent="0.2">
      <c r="B19" s="385" t="s">
        <v>1</v>
      </c>
      <c r="C19" s="387" t="s">
        <v>77</v>
      </c>
      <c r="D19" s="398" t="s">
        <v>2</v>
      </c>
      <c r="E19" s="399" t="s">
        <v>3</v>
      </c>
      <c r="F19" s="400" t="s">
        <v>4</v>
      </c>
      <c r="G19" s="389" t="s">
        <v>5</v>
      </c>
      <c r="H19" s="406"/>
      <c r="I19" s="406"/>
      <c r="J19" s="406"/>
      <c r="K19" s="406"/>
      <c r="L19" s="406"/>
      <c r="M19" s="406"/>
      <c r="N19" s="406"/>
      <c r="O19" s="406"/>
      <c r="P19" s="406"/>
      <c r="Q19" s="406"/>
      <c r="R19" s="406"/>
      <c r="S19" s="391"/>
      <c r="T19" s="410" t="s">
        <v>6</v>
      </c>
      <c r="U19" s="399"/>
      <c r="V19" s="399"/>
      <c r="W19" s="399"/>
      <c r="X19" s="400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</row>
    <row r="20" spans="2:111" s="6" customFormat="1" ht="36" customHeight="1" thickBot="1" x14ac:dyDescent="0.25">
      <c r="B20" s="386"/>
      <c r="C20" s="388"/>
      <c r="D20" s="412"/>
      <c r="E20" s="413"/>
      <c r="F20" s="414"/>
      <c r="G20" s="7" t="s">
        <v>103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</row>
    <row r="21" spans="2:111" ht="15.75" customHeight="1" x14ac:dyDescent="0.2">
      <c r="B21" s="12" t="s">
        <v>64</v>
      </c>
      <c r="C21" s="145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79"/>
    </row>
    <row r="22" spans="2:111" ht="15.75" customHeight="1" x14ac:dyDescent="0.2">
      <c r="B22" s="13" t="s">
        <v>65</v>
      </c>
      <c r="C22" s="146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83"/>
    </row>
    <row r="23" spans="2:111" ht="15.75" customHeight="1" x14ac:dyDescent="0.2">
      <c r="B23" s="13" t="s">
        <v>66</v>
      </c>
      <c r="C23" s="146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83"/>
    </row>
    <row r="24" spans="2:111" ht="15.75" customHeight="1" x14ac:dyDescent="0.2">
      <c r="B24" s="13" t="s">
        <v>67</v>
      </c>
      <c r="C24" s="146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83"/>
    </row>
    <row r="25" spans="2:111" ht="15.75" customHeight="1" x14ac:dyDescent="0.2">
      <c r="B25" s="13" t="s">
        <v>68</v>
      </c>
      <c r="C25" s="146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83"/>
    </row>
    <row r="26" spans="2:111" ht="15.75" customHeight="1" x14ac:dyDescent="0.2">
      <c r="B26" s="13" t="s">
        <v>69</v>
      </c>
      <c r="C26" s="146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83"/>
    </row>
    <row r="27" spans="2:111" ht="15.75" customHeight="1" x14ac:dyDescent="0.2">
      <c r="B27" s="13" t="s">
        <v>70</v>
      </c>
      <c r="C27" s="146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83"/>
    </row>
    <row r="28" spans="2:111" ht="15.75" customHeight="1" thickBot="1" x14ac:dyDescent="0.25">
      <c r="B28" s="13" t="s">
        <v>71</v>
      </c>
      <c r="C28" s="146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83"/>
    </row>
    <row r="29" spans="2:111" ht="15.75" customHeight="1" thickBot="1" x14ac:dyDescent="0.25">
      <c r="B29" s="60"/>
      <c r="C29" s="148"/>
      <c r="D29" s="173"/>
      <c r="E29" s="171"/>
      <c r="F29" s="172"/>
      <c r="G29" s="64"/>
      <c r="H29" s="87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88"/>
      <c r="T29" s="89">
        <f>SUM(T21:T28)</f>
        <v>0</v>
      </c>
      <c r="U29" s="69" t="e">
        <f>AVERAGE(U21:U28)</f>
        <v>#DIV/0!</v>
      </c>
      <c r="V29" s="70">
        <f>SUM(V21:V28)</f>
        <v>0</v>
      </c>
      <c r="W29" s="69" t="e">
        <f>AVERAGE(W21:W28)</f>
        <v>#DIV/0!</v>
      </c>
      <c r="X29" s="70" t="e">
        <f>AVERAGE(X21:X28)</f>
        <v>#DIV/0!</v>
      </c>
    </row>
    <row r="30" spans="2:111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77"/>
      <c r="V30" s="176"/>
      <c r="W30" s="177"/>
      <c r="X30" s="176"/>
    </row>
    <row r="31" spans="2:111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77"/>
      <c r="V31" s="176"/>
      <c r="W31" s="177"/>
      <c r="X31" s="176"/>
    </row>
    <row r="32" spans="2:111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</row>
    <row r="33" spans="2:111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</row>
    <row r="34" spans="2:111" ht="15" customHeight="1" thickBot="1" x14ac:dyDescent="0.25">
      <c r="B34" s="17" t="s">
        <v>25</v>
      </c>
      <c r="C34" s="17"/>
      <c r="U34" s="90"/>
      <c r="V34" s="90"/>
      <c r="W34" s="90"/>
    </row>
    <row r="35" spans="2:111" s="6" customFormat="1" ht="12" customHeight="1" x14ac:dyDescent="0.2">
      <c r="B35" s="385" t="s">
        <v>1</v>
      </c>
      <c r="C35" s="387" t="s">
        <v>77</v>
      </c>
      <c r="D35" s="398" t="s">
        <v>2</v>
      </c>
      <c r="E35" s="399" t="s">
        <v>3</v>
      </c>
      <c r="F35" s="400" t="s">
        <v>4</v>
      </c>
      <c r="G35" s="389" t="s">
        <v>5</v>
      </c>
      <c r="H35" s="406"/>
      <c r="I35" s="406"/>
      <c r="J35" s="406"/>
      <c r="K35" s="406"/>
      <c r="L35" s="406"/>
      <c r="M35" s="406"/>
      <c r="N35" s="406"/>
      <c r="O35" s="406"/>
      <c r="P35" s="406"/>
      <c r="Q35" s="406"/>
      <c r="R35" s="406"/>
      <c r="S35" s="391"/>
      <c r="T35" s="398" t="s">
        <v>6</v>
      </c>
      <c r="U35" s="399"/>
      <c r="V35" s="399"/>
      <c r="W35" s="399"/>
      <c r="X35" s="400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</row>
    <row r="36" spans="2:111" s="6" customFormat="1" ht="33" customHeight="1" thickBot="1" x14ac:dyDescent="0.25">
      <c r="B36" s="386"/>
      <c r="C36" s="388"/>
      <c r="D36" s="412"/>
      <c r="E36" s="413"/>
      <c r="F36" s="414"/>
      <c r="G36" s="7" t="s">
        <v>103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</row>
    <row r="37" spans="2:111" ht="15" customHeight="1" x14ac:dyDescent="0.2">
      <c r="B37" s="12" t="s">
        <v>64</v>
      </c>
      <c r="C37" s="145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79"/>
    </row>
    <row r="38" spans="2:111" ht="15" customHeight="1" x14ac:dyDescent="0.2">
      <c r="B38" s="13" t="s">
        <v>65</v>
      </c>
      <c r="C38" s="146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83"/>
    </row>
    <row r="39" spans="2:111" ht="15" customHeight="1" x14ac:dyDescent="0.2">
      <c r="B39" s="13" t="s">
        <v>66</v>
      </c>
      <c r="C39" s="146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83"/>
    </row>
    <row r="40" spans="2:111" ht="15" customHeight="1" x14ac:dyDescent="0.2">
      <c r="B40" s="13" t="s">
        <v>67</v>
      </c>
      <c r="C40" s="146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83"/>
    </row>
    <row r="41" spans="2:111" ht="15" customHeight="1" x14ac:dyDescent="0.2">
      <c r="B41" s="13" t="s">
        <v>68</v>
      </c>
      <c r="C41" s="146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83"/>
    </row>
    <row r="42" spans="2:111" ht="15" customHeight="1" x14ac:dyDescent="0.2">
      <c r="B42" s="13" t="s">
        <v>69</v>
      </c>
      <c r="C42" s="146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83"/>
    </row>
    <row r="43" spans="2:111" ht="15" customHeight="1" x14ac:dyDescent="0.2">
      <c r="B43" s="13" t="s">
        <v>70</v>
      </c>
      <c r="C43" s="146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83"/>
    </row>
    <row r="44" spans="2:111" ht="15" customHeight="1" thickBot="1" x14ac:dyDescent="0.25">
      <c r="B44" s="13" t="s">
        <v>71</v>
      </c>
      <c r="C44" s="146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83"/>
    </row>
    <row r="45" spans="2:111" ht="15" customHeight="1" thickBot="1" x14ac:dyDescent="0.25">
      <c r="B45" s="60"/>
      <c r="C45" s="148"/>
      <c r="D45" s="148"/>
      <c r="E45" s="171"/>
      <c r="F45" s="172"/>
      <c r="G45" s="64"/>
      <c r="H45" s="87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88"/>
      <c r="T45" s="89">
        <f>SUM(T37:T44)</f>
        <v>0</v>
      </c>
      <c r="U45" s="69" t="e">
        <f>AVERAGE(U37:U44)</f>
        <v>#DIV/0!</v>
      </c>
      <c r="V45" s="70">
        <f>SUM(V37:V44)</f>
        <v>0</v>
      </c>
      <c r="W45" s="69" t="e">
        <f>AVERAGE(W37:W44)</f>
        <v>#DIV/0!</v>
      </c>
      <c r="X45" s="93" t="e">
        <f>AVERAGE(X37:X44)</f>
        <v>#DIV/0!</v>
      </c>
    </row>
    <row r="46" spans="2:111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6"/>
      <c r="U46" s="177"/>
      <c r="V46" s="176"/>
      <c r="W46" s="177"/>
      <c r="X46" s="179"/>
    </row>
    <row r="47" spans="2:111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6"/>
      <c r="U47" s="177"/>
      <c r="V47" s="176"/>
      <c r="W47" s="177"/>
      <c r="X47" s="179"/>
    </row>
    <row r="48" spans="2:111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</row>
    <row r="50" spans="2:24" ht="15.75" customHeight="1" thickBot="1" x14ac:dyDescent="0.25">
      <c r="B50" s="17" t="s">
        <v>72</v>
      </c>
      <c r="C50" s="17"/>
      <c r="U50" s="90"/>
      <c r="V50" s="90"/>
      <c r="W50" s="90"/>
    </row>
    <row r="51" spans="2:24" ht="15.75" customHeight="1" x14ac:dyDescent="0.2">
      <c r="B51" s="385" t="s">
        <v>1</v>
      </c>
      <c r="C51" s="387" t="s">
        <v>77</v>
      </c>
      <c r="D51" s="389" t="s">
        <v>2</v>
      </c>
      <c r="E51" s="385" t="s">
        <v>24</v>
      </c>
      <c r="F51" s="406" t="s">
        <v>4</v>
      </c>
      <c r="G51" s="389" t="s">
        <v>5</v>
      </c>
      <c r="H51" s="406"/>
      <c r="I51" s="406"/>
      <c r="J51" s="406"/>
      <c r="K51" s="406"/>
      <c r="L51" s="406"/>
      <c r="M51" s="406"/>
      <c r="N51" s="406"/>
      <c r="O51" s="406"/>
      <c r="P51" s="406"/>
      <c r="Q51" s="406"/>
      <c r="R51" s="406"/>
      <c r="S51" s="391"/>
      <c r="T51" s="410" t="s">
        <v>6</v>
      </c>
      <c r="U51" s="399"/>
      <c r="V51" s="399"/>
      <c r="W51" s="399"/>
      <c r="X51" s="400"/>
    </row>
    <row r="52" spans="2:24" ht="33" customHeight="1" thickBot="1" x14ac:dyDescent="0.25">
      <c r="B52" s="397"/>
      <c r="C52" s="388"/>
      <c r="D52" s="390"/>
      <c r="E52" s="386"/>
      <c r="F52" s="405"/>
      <c r="G52" s="7" t="s">
        <v>103</v>
      </c>
      <c r="H52" s="11" t="s">
        <v>26</v>
      </c>
      <c r="I52" s="9" t="s">
        <v>27</v>
      </c>
      <c r="J52" s="9" t="s">
        <v>28</v>
      </c>
      <c r="K52" s="9" t="s">
        <v>29</v>
      </c>
      <c r="L52" s="9" t="s">
        <v>30</v>
      </c>
      <c r="M52" s="9" t="s">
        <v>31</v>
      </c>
      <c r="N52" s="9" t="s">
        <v>32</v>
      </c>
      <c r="O52" s="9" t="s">
        <v>33</v>
      </c>
      <c r="P52" s="9" t="s">
        <v>34</v>
      </c>
      <c r="Q52" s="9" t="s">
        <v>35</v>
      </c>
      <c r="R52" s="9" t="s">
        <v>36</v>
      </c>
      <c r="S52" s="10">
        <v>70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</row>
    <row r="53" spans="2:24" ht="15.75" customHeight="1" x14ac:dyDescent="0.2">
      <c r="B53" s="12" t="s">
        <v>64</v>
      </c>
      <c r="C53" s="145"/>
      <c r="D53" s="31"/>
      <c r="E53" s="12"/>
      <c r="F53" s="32"/>
      <c r="G53" s="94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79"/>
    </row>
    <row r="54" spans="2:24" ht="15.75" customHeight="1" x14ac:dyDescent="0.2">
      <c r="B54" s="13" t="s">
        <v>65</v>
      </c>
      <c r="C54" s="146"/>
      <c r="D54" s="42"/>
      <c r="E54" s="13"/>
      <c r="F54" s="43"/>
      <c r="G54" s="95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83"/>
    </row>
    <row r="55" spans="2:24" ht="15.75" customHeight="1" x14ac:dyDescent="0.2">
      <c r="B55" s="13" t="s">
        <v>66</v>
      </c>
      <c r="C55" s="146"/>
      <c r="D55" s="42"/>
      <c r="E55" s="13"/>
      <c r="F55" s="43"/>
      <c r="G55" s="95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83"/>
    </row>
    <row r="56" spans="2:24" ht="15.75" customHeight="1" x14ac:dyDescent="0.2">
      <c r="B56" s="13" t="s">
        <v>67</v>
      </c>
      <c r="C56" s="146"/>
      <c r="D56" s="42"/>
      <c r="E56" s="13"/>
      <c r="F56" s="43"/>
      <c r="G56" s="95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83"/>
    </row>
    <row r="57" spans="2:24" ht="15.75" customHeight="1" x14ac:dyDescent="0.2">
      <c r="B57" s="13" t="s">
        <v>68</v>
      </c>
      <c r="C57" s="146"/>
      <c r="D57" s="42"/>
      <c r="E57" s="13"/>
      <c r="F57" s="43"/>
      <c r="G57" s="95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83"/>
    </row>
    <row r="58" spans="2:24" ht="15.75" customHeight="1" x14ac:dyDescent="0.2">
      <c r="B58" s="13" t="s">
        <v>69</v>
      </c>
      <c r="C58" s="146"/>
      <c r="D58" s="42"/>
      <c r="E58" s="13"/>
      <c r="F58" s="43"/>
      <c r="G58" s="95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83"/>
    </row>
    <row r="59" spans="2:24" ht="15.75" customHeight="1" x14ac:dyDescent="0.2">
      <c r="B59" s="13" t="s">
        <v>70</v>
      </c>
      <c r="C59" s="146"/>
      <c r="D59" s="42"/>
      <c r="E59" s="13"/>
      <c r="F59" s="43"/>
      <c r="G59" s="95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83"/>
    </row>
    <row r="60" spans="2:24" ht="15.75" customHeight="1" thickBot="1" x14ac:dyDescent="0.25">
      <c r="B60" s="13" t="s">
        <v>71</v>
      </c>
      <c r="C60" s="146"/>
      <c r="D60" s="42"/>
      <c r="E60" s="13"/>
      <c r="F60" s="43"/>
      <c r="G60" s="95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83"/>
    </row>
    <row r="61" spans="2:24" ht="15.75" customHeight="1" thickBot="1" x14ac:dyDescent="0.25">
      <c r="B61" s="96"/>
      <c r="C61" s="149"/>
      <c r="D61" s="149"/>
      <c r="E61" s="171"/>
      <c r="F61" s="170"/>
      <c r="G61" s="99"/>
      <c r="H61" s="65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88"/>
      <c r="T61" s="89">
        <f>SUM(T53:T60)</f>
        <v>0</v>
      </c>
      <c r="U61" s="69" t="e">
        <f>AVERAGE(U53:U60)</f>
        <v>#DIV/0!</v>
      </c>
      <c r="V61" s="70">
        <f>SUM(V53:V60)</f>
        <v>0</v>
      </c>
      <c r="W61" s="69" t="e">
        <f>AVERAGE(W53:W60)</f>
        <v>#DIV/0!</v>
      </c>
      <c r="X61" s="93" t="e">
        <f>AVERAGE(X53:X60)</f>
        <v>#DIV/0!</v>
      </c>
    </row>
    <row r="62" spans="2:24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6"/>
      <c r="U62" s="177"/>
      <c r="V62" s="176"/>
      <c r="W62" s="177"/>
      <c r="X62" s="179"/>
    </row>
    <row r="63" spans="2:24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6"/>
      <c r="U63" s="177"/>
      <c r="V63" s="176"/>
      <c r="W63" s="177"/>
      <c r="X63" s="179"/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</row>
    <row r="65" spans="2:111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</row>
    <row r="66" spans="2:111" ht="17.25" customHeight="1" thickBot="1" x14ac:dyDescent="0.25">
      <c r="B66" s="17" t="s">
        <v>74</v>
      </c>
      <c r="C66" s="17"/>
      <c r="U66" s="90"/>
      <c r="V66" s="90"/>
      <c r="W66" s="90"/>
    </row>
    <row r="67" spans="2:111" s="6" customFormat="1" ht="11.25" customHeight="1" x14ac:dyDescent="0.2">
      <c r="B67" s="385" t="s">
        <v>1</v>
      </c>
      <c r="C67" s="387" t="s">
        <v>77</v>
      </c>
      <c r="D67" s="389" t="s">
        <v>2</v>
      </c>
      <c r="E67" s="385" t="s">
        <v>24</v>
      </c>
      <c r="F67" s="406" t="s">
        <v>4</v>
      </c>
      <c r="G67" s="389" t="s">
        <v>5</v>
      </c>
      <c r="H67" s="406"/>
      <c r="I67" s="406"/>
      <c r="J67" s="406"/>
      <c r="K67" s="406"/>
      <c r="L67" s="406"/>
      <c r="M67" s="406"/>
      <c r="N67" s="406"/>
      <c r="O67" s="406"/>
      <c r="P67" s="406"/>
      <c r="Q67" s="406"/>
      <c r="R67" s="406"/>
      <c r="S67" s="391"/>
      <c r="T67" s="410" t="s">
        <v>6</v>
      </c>
      <c r="U67" s="399"/>
      <c r="V67" s="399"/>
      <c r="W67" s="399"/>
      <c r="X67" s="400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</row>
    <row r="68" spans="2:111" s="6" customFormat="1" ht="31.5" customHeight="1" thickBot="1" x14ac:dyDescent="0.25">
      <c r="B68" s="397"/>
      <c r="C68" s="388"/>
      <c r="D68" s="390"/>
      <c r="E68" s="386"/>
      <c r="F68" s="405"/>
      <c r="G68" s="7" t="s">
        <v>103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</row>
    <row r="69" spans="2:111" ht="14.25" customHeight="1" x14ac:dyDescent="0.2">
      <c r="B69" s="12" t="s">
        <v>64</v>
      </c>
      <c r="C69" s="145"/>
      <c r="D69" s="31"/>
      <c r="E69" s="12"/>
      <c r="F69" s="100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79"/>
    </row>
    <row r="70" spans="2:111" ht="14.25" customHeight="1" x14ac:dyDescent="0.2">
      <c r="B70" s="13" t="s">
        <v>65</v>
      </c>
      <c r="C70" s="146"/>
      <c r="D70" s="42"/>
      <c r="E70" s="13"/>
      <c r="F70" s="101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83"/>
    </row>
    <row r="71" spans="2:111" ht="14.25" customHeight="1" x14ac:dyDescent="0.2">
      <c r="B71" s="13" t="s">
        <v>66</v>
      </c>
      <c r="C71" s="146"/>
      <c r="D71" s="42"/>
      <c r="E71" s="13"/>
      <c r="F71" s="101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83"/>
    </row>
    <row r="72" spans="2:111" ht="14.25" customHeight="1" x14ac:dyDescent="0.2">
      <c r="B72" s="13" t="s">
        <v>67</v>
      </c>
      <c r="C72" s="146"/>
      <c r="D72" s="42"/>
      <c r="E72" s="13"/>
      <c r="F72" s="101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83"/>
    </row>
    <row r="73" spans="2:111" ht="14.25" customHeight="1" x14ac:dyDescent="0.2">
      <c r="B73" s="13" t="s">
        <v>68</v>
      </c>
      <c r="C73" s="146"/>
      <c r="D73" s="42"/>
      <c r="E73" s="13"/>
      <c r="F73" s="101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83"/>
    </row>
    <row r="74" spans="2:111" ht="14.25" customHeight="1" x14ac:dyDescent="0.2">
      <c r="B74" s="13" t="s">
        <v>69</v>
      </c>
      <c r="C74" s="146"/>
      <c r="D74" s="42"/>
      <c r="E74" s="13"/>
      <c r="F74" s="101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83"/>
    </row>
    <row r="75" spans="2:111" ht="14.25" customHeight="1" x14ac:dyDescent="0.2">
      <c r="B75" s="13" t="s">
        <v>70</v>
      </c>
      <c r="C75" s="146"/>
      <c r="D75" s="42"/>
      <c r="E75" s="13"/>
      <c r="F75" s="101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83"/>
    </row>
    <row r="76" spans="2:111" ht="14.25" customHeight="1" thickBot="1" x14ac:dyDescent="0.25">
      <c r="B76" s="13" t="s">
        <v>71</v>
      </c>
      <c r="C76" s="146"/>
      <c r="D76" s="42"/>
      <c r="E76" s="13"/>
      <c r="F76" s="101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83"/>
    </row>
    <row r="77" spans="2:111" ht="14.25" customHeight="1" thickBot="1" x14ac:dyDescent="0.25">
      <c r="B77" s="96"/>
      <c r="C77" s="149"/>
      <c r="D77" s="149"/>
      <c r="E77" s="171"/>
      <c r="F77" s="170"/>
      <c r="G77" s="99"/>
      <c r="H77" s="65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88"/>
      <c r="T77" s="89">
        <f>SUM(T69:T76)</f>
        <v>0</v>
      </c>
      <c r="U77" s="69" t="e">
        <f>AVERAGE(U69:U76)</f>
        <v>#DIV/0!</v>
      </c>
      <c r="V77" s="70">
        <f>SUM(V69:V76)</f>
        <v>0</v>
      </c>
      <c r="W77" s="69" t="e">
        <f>AVERAGE(W69:W76)</f>
        <v>#DIV/0!</v>
      </c>
      <c r="X77" s="93" t="e">
        <f>AVERAGE(X69:X76)</f>
        <v>#DIV/0!</v>
      </c>
    </row>
    <row r="78" spans="2:111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6"/>
      <c r="U78" s="177"/>
      <c r="V78" s="176"/>
      <c r="W78" s="177"/>
      <c r="X78" s="179"/>
    </row>
    <row r="79" spans="2:111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6"/>
      <c r="U79" s="177"/>
      <c r="V79" s="176"/>
      <c r="W79" s="177"/>
      <c r="X79" s="179"/>
    </row>
    <row r="80" spans="2:111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</row>
    <row r="81" spans="2:111" ht="73.5" customHeight="1" x14ac:dyDescent="0.2">
      <c r="U81" s="90"/>
      <c r="V81" s="90"/>
      <c r="W81" s="90"/>
    </row>
    <row r="82" spans="2:111" ht="13.5" customHeight="1" thickBot="1" x14ac:dyDescent="0.25">
      <c r="B82" s="17" t="s">
        <v>48</v>
      </c>
      <c r="C82" s="17"/>
      <c r="U82" s="90"/>
      <c r="V82" s="90"/>
      <c r="W82" s="90"/>
    </row>
    <row r="83" spans="2:111" s="6" customFormat="1" ht="15" customHeight="1" x14ac:dyDescent="0.2">
      <c r="B83" s="385" t="s">
        <v>1</v>
      </c>
      <c r="C83" s="387" t="s">
        <v>77</v>
      </c>
      <c r="D83" s="389" t="s">
        <v>2</v>
      </c>
      <c r="E83" s="385" t="s">
        <v>24</v>
      </c>
      <c r="F83" s="391" t="s">
        <v>4</v>
      </c>
      <c r="G83" s="389" t="s">
        <v>5</v>
      </c>
      <c r="H83" s="406"/>
      <c r="I83" s="406"/>
      <c r="J83" s="406"/>
      <c r="K83" s="406"/>
      <c r="L83" s="406"/>
      <c r="M83" s="406"/>
      <c r="N83" s="406"/>
      <c r="O83" s="406"/>
      <c r="P83" s="406"/>
      <c r="Q83" s="406"/>
      <c r="R83" s="406"/>
      <c r="S83" s="391"/>
      <c r="T83" s="398" t="s">
        <v>6</v>
      </c>
      <c r="U83" s="399"/>
      <c r="V83" s="399"/>
      <c r="W83" s="399"/>
      <c r="X83" s="400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</row>
    <row r="84" spans="2:111" s="6" customFormat="1" ht="27.75" customHeight="1" thickBot="1" x14ac:dyDescent="0.25">
      <c r="B84" s="397"/>
      <c r="C84" s="388"/>
      <c r="D84" s="390"/>
      <c r="E84" s="386"/>
      <c r="F84" s="392"/>
      <c r="G84" s="7" t="s">
        <v>103</v>
      </c>
      <c r="H84" s="11" t="s">
        <v>38</v>
      </c>
      <c r="I84" s="9" t="s">
        <v>39</v>
      </c>
      <c r="J84" s="9" t="s">
        <v>40</v>
      </c>
      <c r="K84" s="9" t="s">
        <v>41</v>
      </c>
      <c r="L84" s="9" t="s">
        <v>42</v>
      </c>
      <c r="M84" s="9" t="s">
        <v>43</v>
      </c>
      <c r="N84" s="9" t="s">
        <v>44</v>
      </c>
      <c r="O84" s="9" t="s">
        <v>45</v>
      </c>
      <c r="P84" s="18" t="s">
        <v>29</v>
      </c>
      <c r="Q84" s="9" t="s">
        <v>46</v>
      </c>
      <c r="R84" s="9" t="s">
        <v>47</v>
      </c>
      <c r="S84" s="10">
        <v>50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</row>
    <row r="85" spans="2:111" ht="15" customHeight="1" x14ac:dyDescent="0.15">
      <c r="B85" s="12" t="s">
        <v>64</v>
      </c>
      <c r="C85" s="145"/>
      <c r="D85" s="31"/>
      <c r="E85" s="12"/>
      <c r="F85" s="32"/>
      <c r="G85" s="33"/>
      <c r="H85" s="103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5"/>
      <c r="T85" s="77"/>
      <c r="U85" s="38"/>
      <c r="V85" s="39"/>
      <c r="W85" s="78"/>
      <c r="X85" s="106"/>
    </row>
    <row r="86" spans="2:111" ht="15" customHeight="1" x14ac:dyDescent="0.15">
      <c r="B86" s="13" t="s">
        <v>65</v>
      </c>
      <c r="C86" s="146"/>
      <c r="D86" s="42"/>
      <c r="E86" s="13"/>
      <c r="F86" s="43"/>
      <c r="G86" s="44"/>
      <c r="H86" s="107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9"/>
      <c r="T86" s="81"/>
      <c r="U86" s="49"/>
      <c r="V86" s="50"/>
      <c r="W86" s="82"/>
      <c r="X86" s="110"/>
    </row>
    <row r="87" spans="2:111" ht="15" customHeight="1" x14ac:dyDescent="0.15">
      <c r="B87" s="13" t="s">
        <v>66</v>
      </c>
      <c r="C87" s="146"/>
      <c r="D87" s="42"/>
      <c r="E87" s="13"/>
      <c r="F87" s="43"/>
      <c r="G87" s="44"/>
      <c r="H87" s="107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9"/>
      <c r="T87" s="81"/>
      <c r="U87" s="49"/>
      <c r="V87" s="50"/>
      <c r="W87" s="82"/>
      <c r="X87" s="110"/>
    </row>
    <row r="88" spans="2:111" ht="15" customHeight="1" x14ac:dyDescent="0.15">
      <c r="B88" s="13" t="s">
        <v>67</v>
      </c>
      <c r="C88" s="146"/>
      <c r="D88" s="42"/>
      <c r="E88" s="13"/>
      <c r="F88" s="43"/>
      <c r="G88" s="44"/>
      <c r="H88" s="107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9"/>
      <c r="T88" s="81"/>
      <c r="U88" s="49"/>
      <c r="V88" s="50"/>
      <c r="W88" s="82"/>
      <c r="X88" s="110"/>
    </row>
    <row r="89" spans="2:111" ht="15" customHeight="1" x14ac:dyDescent="0.15">
      <c r="B89" s="13" t="s">
        <v>68</v>
      </c>
      <c r="C89" s="146"/>
      <c r="D89" s="42"/>
      <c r="E89" s="13"/>
      <c r="F89" s="43"/>
      <c r="G89" s="44"/>
      <c r="H89" s="107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9"/>
      <c r="T89" s="81"/>
      <c r="U89" s="49"/>
      <c r="V89" s="50"/>
      <c r="W89" s="82"/>
      <c r="X89" s="110"/>
    </row>
    <row r="90" spans="2:111" ht="15" customHeight="1" x14ac:dyDescent="0.15">
      <c r="B90" s="13" t="s">
        <v>69</v>
      </c>
      <c r="C90" s="146"/>
      <c r="D90" s="42"/>
      <c r="E90" s="13"/>
      <c r="F90" s="43"/>
      <c r="G90" s="44"/>
      <c r="H90" s="107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9"/>
      <c r="T90" s="81"/>
      <c r="U90" s="49"/>
      <c r="V90" s="50"/>
      <c r="W90" s="82"/>
      <c r="X90" s="110"/>
    </row>
    <row r="91" spans="2:111" ht="15" customHeight="1" x14ac:dyDescent="0.15">
      <c r="B91" s="13" t="s">
        <v>70</v>
      </c>
      <c r="C91" s="146"/>
      <c r="D91" s="42"/>
      <c r="E91" s="13"/>
      <c r="F91" s="43"/>
      <c r="G91" s="44"/>
      <c r="H91" s="107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9"/>
      <c r="T91" s="81"/>
      <c r="U91" s="49"/>
      <c r="V91" s="50"/>
      <c r="W91" s="82"/>
      <c r="X91" s="110"/>
    </row>
    <row r="92" spans="2:111" ht="15" customHeight="1" thickBot="1" x14ac:dyDescent="0.2">
      <c r="B92" s="13" t="s">
        <v>71</v>
      </c>
      <c r="C92" s="146"/>
      <c r="D92" s="42"/>
      <c r="E92" s="13"/>
      <c r="F92" s="43"/>
      <c r="G92" s="44"/>
      <c r="H92" s="107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9"/>
      <c r="T92" s="81"/>
      <c r="U92" s="49"/>
      <c r="V92" s="50"/>
      <c r="W92" s="82"/>
      <c r="X92" s="110"/>
    </row>
    <row r="93" spans="2:111" ht="15" customHeight="1" thickBot="1" x14ac:dyDescent="0.25">
      <c r="B93" s="96"/>
      <c r="C93" s="149"/>
      <c r="D93" s="149"/>
      <c r="E93" s="171"/>
      <c r="F93" s="170"/>
      <c r="G93" s="99"/>
      <c r="H93" s="97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98"/>
      <c r="T93" s="89">
        <f>SUM(T85:T92)</f>
        <v>0</v>
      </c>
      <c r="U93" s="69" t="e">
        <f>AVERAGE(U85:U92)</f>
        <v>#DIV/0!</v>
      </c>
      <c r="V93" s="70">
        <f>SUM(V85:V92)</f>
        <v>0</v>
      </c>
      <c r="W93" s="69" t="e">
        <f>AVERAGE(W85:W92)</f>
        <v>#DIV/0!</v>
      </c>
      <c r="X93" s="93" t="e">
        <f>AVERAGE(X85:X92)</f>
        <v>#DIV/0!</v>
      </c>
    </row>
    <row r="94" spans="2:111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6"/>
      <c r="U94" s="177"/>
      <c r="V94" s="176"/>
      <c r="W94" s="177"/>
      <c r="X94" s="179"/>
    </row>
    <row r="95" spans="2:111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6"/>
      <c r="U95" s="177"/>
      <c r="V95" s="176"/>
      <c r="W95" s="177"/>
      <c r="X95" s="179"/>
    </row>
    <row r="96" spans="2:111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</row>
    <row r="97" spans="2:111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</row>
    <row r="98" spans="2:111" ht="15" customHeight="1" thickBot="1" x14ac:dyDescent="0.25">
      <c r="B98" s="17" t="s">
        <v>49</v>
      </c>
      <c r="C98" s="17"/>
      <c r="U98" s="90"/>
      <c r="V98" s="90"/>
      <c r="W98" s="90"/>
    </row>
    <row r="99" spans="2:111" ht="13.5" customHeight="1" x14ac:dyDescent="0.2">
      <c r="B99" s="385" t="s">
        <v>1</v>
      </c>
      <c r="C99" s="387" t="s">
        <v>77</v>
      </c>
      <c r="D99" s="389" t="s">
        <v>2</v>
      </c>
      <c r="E99" s="385" t="s">
        <v>24</v>
      </c>
      <c r="F99" s="406" t="s">
        <v>4</v>
      </c>
      <c r="G99" s="389" t="s">
        <v>5</v>
      </c>
      <c r="H99" s="406"/>
      <c r="I99" s="406"/>
      <c r="J99" s="406"/>
      <c r="K99" s="406"/>
      <c r="L99" s="406"/>
      <c r="M99" s="406"/>
      <c r="N99" s="406"/>
      <c r="O99" s="406"/>
      <c r="P99" s="406"/>
      <c r="Q99" s="406"/>
      <c r="R99" s="406"/>
      <c r="S99" s="391"/>
      <c r="T99" s="410" t="s">
        <v>6</v>
      </c>
      <c r="U99" s="399"/>
      <c r="V99" s="399"/>
      <c r="W99" s="399"/>
      <c r="X99" s="400"/>
    </row>
    <row r="100" spans="2:111" s="6" customFormat="1" ht="30.75" customHeight="1" thickBot="1" x14ac:dyDescent="0.25">
      <c r="B100" s="397"/>
      <c r="C100" s="388"/>
      <c r="D100" s="390"/>
      <c r="E100" s="386"/>
      <c r="F100" s="405"/>
      <c r="G100" s="7" t="s">
        <v>103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</row>
    <row r="101" spans="2:111" s="6" customFormat="1" ht="15" customHeight="1" x14ac:dyDescent="0.2">
      <c r="B101" s="12" t="s">
        <v>64</v>
      </c>
      <c r="C101" s="145"/>
      <c r="D101" s="31"/>
      <c r="E101" s="12"/>
      <c r="F101" s="32"/>
      <c r="G101" s="33"/>
      <c r="H101" s="112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4"/>
      <c r="T101" s="77"/>
      <c r="U101" s="38"/>
      <c r="V101" s="39"/>
      <c r="W101" s="78"/>
      <c r="X101" s="7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</row>
    <row r="102" spans="2:111" ht="15" customHeight="1" x14ac:dyDescent="0.2">
      <c r="B102" s="13" t="s">
        <v>65</v>
      </c>
      <c r="C102" s="146"/>
      <c r="D102" s="42"/>
      <c r="E102" s="13"/>
      <c r="F102" s="43"/>
      <c r="G102" s="44"/>
      <c r="H102" s="107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9"/>
      <c r="T102" s="81"/>
      <c r="U102" s="49"/>
      <c r="V102" s="50"/>
      <c r="W102" s="82"/>
      <c r="X102" s="83"/>
    </row>
    <row r="103" spans="2:111" ht="15" customHeight="1" x14ac:dyDescent="0.2">
      <c r="B103" s="13" t="s">
        <v>66</v>
      </c>
      <c r="C103" s="146"/>
      <c r="D103" s="42"/>
      <c r="E103" s="13"/>
      <c r="F103" s="43"/>
      <c r="G103" s="44"/>
      <c r="H103" s="10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9"/>
      <c r="T103" s="81"/>
      <c r="U103" s="49"/>
      <c r="V103" s="50"/>
      <c r="W103" s="82"/>
      <c r="X103" s="83"/>
    </row>
    <row r="104" spans="2:111" ht="15" customHeight="1" x14ac:dyDescent="0.2">
      <c r="B104" s="13" t="s">
        <v>67</v>
      </c>
      <c r="C104" s="146"/>
      <c r="D104" s="42"/>
      <c r="E104" s="13"/>
      <c r="F104" s="43"/>
      <c r="G104" s="44"/>
      <c r="H104" s="107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9"/>
      <c r="T104" s="81"/>
      <c r="U104" s="49"/>
      <c r="V104" s="50"/>
      <c r="W104" s="82"/>
      <c r="X104" s="83"/>
    </row>
    <row r="105" spans="2:111" ht="15" customHeight="1" x14ac:dyDescent="0.2">
      <c r="B105" s="13" t="s">
        <v>68</v>
      </c>
      <c r="C105" s="146"/>
      <c r="D105" s="42"/>
      <c r="E105" s="13"/>
      <c r="F105" s="43"/>
      <c r="G105" s="44"/>
      <c r="H105" s="107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9"/>
      <c r="T105" s="81"/>
      <c r="U105" s="49"/>
      <c r="V105" s="50"/>
      <c r="W105" s="82"/>
      <c r="X105" s="83"/>
    </row>
    <row r="106" spans="2:111" ht="15" customHeight="1" x14ac:dyDescent="0.2">
      <c r="B106" s="13" t="s">
        <v>69</v>
      </c>
      <c r="C106" s="146"/>
      <c r="D106" s="42"/>
      <c r="E106" s="13"/>
      <c r="F106" s="43"/>
      <c r="G106" s="44"/>
      <c r="H106" s="107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9"/>
      <c r="T106" s="81"/>
      <c r="U106" s="49"/>
      <c r="V106" s="50"/>
      <c r="W106" s="82"/>
      <c r="X106" s="83"/>
    </row>
    <row r="107" spans="2:111" ht="15" customHeight="1" x14ac:dyDescent="0.2">
      <c r="B107" s="13" t="s">
        <v>70</v>
      </c>
      <c r="C107" s="146"/>
      <c r="D107" s="42"/>
      <c r="E107" s="13"/>
      <c r="F107" s="43"/>
      <c r="G107" s="44"/>
      <c r="H107" s="107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9"/>
      <c r="T107" s="81"/>
      <c r="U107" s="49"/>
      <c r="V107" s="50"/>
      <c r="W107" s="82"/>
      <c r="X107" s="83"/>
    </row>
    <row r="108" spans="2:111" ht="15" customHeight="1" thickBot="1" x14ac:dyDescent="0.25">
      <c r="B108" s="13" t="s">
        <v>71</v>
      </c>
      <c r="C108" s="146"/>
      <c r="D108" s="42"/>
      <c r="E108" s="13"/>
      <c r="F108" s="43"/>
      <c r="G108" s="44"/>
      <c r="H108" s="107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9"/>
      <c r="T108" s="81"/>
      <c r="U108" s="49"/>
      <c r="V108" s="50"/>
      <c r="W108" s="82"/>
      <c r="X108" s="83"/>
    </row>
    <row r="109" spans="2:111" ht="15" customHeight="1" thickBot="1" x14ac:dyDescent="0.25">
      <c r="B109" s="96"/>
      <c r="C109" s="149"/>
      <c r="D109" s="149"/>
      <c r="E109" s="171"/>
      <c r="F109" s="170"/>
      <c r="G109" s="115"/>
      <c r="H109" s="97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98"/>
      <c r="T109" s="89">
        <f>SUM(T101:T108)</f>
        <v>0</v>
      </c>
      <c r="U109" s="69" t="e">
        <f>AVERAGE(U101:U108)</f>
        <v>#DIV/0!</v>
      </c>
      <c r="V109" s="70">
        <f>SUM(V101:V108)</f>
        <v>0</v>
      </c>
      <c r="W109" s="69" t="e">
        <f>AVERAGE(W101:W108)</f>
        <v>#DIV/0!</v>
      </c>
      <c r="X109" s="93" t="e">
        <f>AVERAGE(X101:X108)</f>
        <v>#DIV/0!</v>
      </c>
    </row>
    <row r="110" spans="2:111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6"/>
      <c r="U110" s="177"/>
      <c r="V110" s="176"/>
      <c r="W110" s="177"/>
      <c r="X110" s="179"/>
    </row>
    <row r="111" spans="2:111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76"/>
      <c r="U111" s="177"/>
      <c r="V111" s="176"/>
      <c r="W111" s="177"/>
      <c r="X111" s="179"/>
    </row>
    <row r="112" spans="2:111" ht="15" customHeight="1" x14ac:dyDescent="0.2">
      <c r="B112" s="3"/>
      <c r="C112" s="3"/>
      <c r="D112" s="3"/>
      <c r="E112" s="15"/>
      <c r="F112" s="3"/>
      <c r="G112" s="187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76"/>
      <c r="U112" s="177"/>
      <c r="V112" s="176"/>
      <c r="W112" s="177"/>
      <c r="X112" s="179"/>
    </row>
    <row r="113" spans="2:111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16"/>
      <c r="V113" s="16"/>
      <c r="W113" s="16"/>
      <c r="X113" s="4"/>
    </row>
    <row r="114" spans="2:111" ht="16.5" customHeight="1" thickBot="1" x14ac:dyDescent="0.25">
      <c r="B114" s="17" t="s">
        <v>73</v>
      </c>
      <c r="C114" s="17"/>
      <c r="U114" s="74"/>
      <c r="V114" s="74"/>
      <c r="W114" s="74"/>
      <c r="X114" s="116"/>
    </row>
    <row r="115" spans="2:111" ht="11.25" customHeight="1" x14ac:dyDescent="0.2">
      <c r="B115" s="385" t="s">
        <v>1</v>
      </c>
      <c r="C115" s="387" t="s">
        <v>77</v>
      </c>
      <c r="D115" s="389" t="s">
        <v>2</v>
      </c>
      <c r="E115" s="385" t="s">
        <v>24</v>
      </c>
      <c r="F115" s="406" t="s">
        <v>4</v>
      </c>
      <c r="G115" s="402" t="s">
        <v>5</v>
      </c>
      <c r="H115" s="403"/>
      <c r="I115" s="403"/>
      <c r="J115" s="403"/>
      <c r="K115" s="403"/>
      <c r="L115" s="403"/>
      <c r="M115" s="403"/>
      <c r="N115" s="403"/>
      <c r="O115" s="403"/>
      <c r="P115" s="403"/>
      <c r="Q115" s="403"/>
      <c r="R115" s="403"/>
      <c r="S115" s="411"/>
      <c r="T115" s="398" t="s">
        <v>6</v>
      </c>
      <c r="U115" s="399"/>
      <c r="V115" s="399"/>
      <c r="W115" s="399"/>
      <c r="X115" s="400"/>
    </row>
    <row r="116" spans="2:111" s="6" customFormat="1" ht="30.75" customHeight="1" thickBot="1" x14ac:dyDescent="0.25">
      <c r="B116" s="397"/>
      <c r="C116" s="388"/>
      <c r="D116" s="390"/>
      <c r="E116" s="386"/>
      <c r="F116" s="405"/>
      <c r="G116" s="7" t="s">
        <v>103</v>
      </c>
      <c r="H116" s="22" t="s">
        <v>38</v>
      </c>
      <c r="I116" s="19" t="s">
        <v>39</v>
      </c>
      <c r="J116" s="19" t="s">
        <v>40</v>
      </c>
      <c r="K116" s="19" t="s">
        <v>41</v>
      </c>
      <c r="L116" s="19" t="s">
        <v>42</v>
      </c>
      <c r="M116" s="19" t="s">
        <v>43</v>
      </c>
      <c r="N116" s="19" t="s">
        <v>44</v>
      </c>
      <c r="O116" s="19" t="s">
        <v>45</v>
      </c>
      <c r="P116" s="20" t="s">
        <v>29</v>
      </c>
      <c r="Q116" s="19" t="s">
        <v>46</v>
      </c>
      <c r="R116" s="19" t="s">
        <v>47</v>
      </c>
      <c r="S116" s="21">
        <v>50</v>
      </c>
      <c r="T116" s="9" t="s">
        <v>18</v>
      </c>
      <c r="U116" s="9" t="s">
        <v>19</v>
      </c>
      <c r="V116" s="11" t="s">
        <v>20</v>
      </c>
      <c r="W116" s="194" t="s">
        <v>21</v>
      </c>
      <c r="X116" s="195" t="s">
        <v>22</v>
      </c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</row>
    <row r="117" spans="2:111" s="6" customFormat="1" ht="15" customHeight="1" x14ac:dyDescent="0.2">
      <c r="B117" s="12" t="s">
        <v>64</v>
      </c>
      <c r="C117" s="145"/>
      <c r="D117" s="31"/>
      <c r="E117" s="117"/>
      <c r="F117" s="100"/>
      <c r="G117" s="33"/>
      <c r="H117" s="118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20"/>
      <c r="T117" s="121"/>
      <c r="U117" s="122"/>
      <c r="V117" s="123"/>
      <c r="W117" s="124"/>
      <c r="X117" s="7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</row>
    <row r="118" spans="2:111" ht="15" customHeight="1" x14ac:dyDescent="0.2">
      <c r="B118" s="13" t="s">
        <v>65</v>
      </c>
      <c r="C118" s="146"/>
      <c r="D118" s="42"/>
      <c r="E118" s="125"/>
      <c r="F118" s="101"/>
      <c r="G118" s="44"/>
      <c r="H118" s="126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8"/>
      <c r="T118" s="129"/>
      <c r="U118" s="130"/>
      <c r="V118" s="131"/>
      <c r="W118" s="132"/>
      <c r="X118" s="83"/>
    </row>
    <row r="119" spans="2:111" ht="15" customHeight="1" x14ac:dyDescent="0.2">
      <c r="B119" s="13" t="s">
        <v>66</v>
      </c>
      <c r="C119" s="146"/>
      <c r="D119" s="42"/>
      <c r="E119" s="125"/>
      <c r="F119" s="101"/>
      <c r="G119" s="44"/>
      <c r="H119" s="126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8"/>
      <c r="T119" s="129"/>
      <c r="U119" s="130"/>
      <c r="V119" s="131"/>
      <c r="W119" s="132"/>
      <c r="X119" s="83"/>
    </row>
    <row r="120" spans="2:111" ht="15" customHeight="1" x14ac:dyDescent="0.2">
      <c r="B120" s="13" t="s">
        <v>67</v>
      </c>
      <c r="C120" s="146"/>
      <c r="D120" s="42"/>
      <c r="E120" s="125"/>
      <c r="F120" s="101"/>
      <c r="G120" s="44"/>
      <c r="H120" s="126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8"/>
      <c r="T120" s="129"/>
      <c r="U120" s="130"/>
      <c r="V120" s="131"/>
      <c r="W120" s="132"/>
      <c r="X120" s="83"/>
    </row>
    <row r="121" spans="2:111" ht="15" customHeight="1" x14ac:dyDescent="0.2">
      <c r="B121" s="13" t="s">
        <v>68</v>
      </c>
      <c r="C121" s="146"/>
      <c r="D121" s="42"/>
      <c r="E121" s="125"/>
      <c r="F121" s="101"/>
      <c r="G121" s="44"/>
      <c r="H121" s="126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8"/>
      <c r="T121" s="129"/>
      <c r="U121" s="130"/>
      <c r="V121" s="131"/>
      <c r="W121" s="132"/>
      <c r="X121" s="83"/>
    </row>
    <row r="122" spans="2:111" ht="15" customHeight="1" x14ac:dyDescent="0.2">
      <c r="B122" s="13" t="s">
        <v>69</v>
      </c>
      <c r="C122" s="146"/>
      <c r="D122" s="42"/>
      <c r="E122" s="125"/>
      <c r="F122" s="101"/>
      <c r="G122" s="44"/>
      <c r="H122" s="126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8"/>
      <c r="T122" s="129"/>
      <c r="U122" s="130"/>
      <c r="V122" s="131"/>
      <c r="W122" s="132"/>
      <c r="X122" s="83"/>
    </row>
    <row r="123" spans="2:111" ht="15" customHeight="1" x14ac:dyDescent="0.2">
      <c r="B123" s="13" t="s">
        <v>70</v>
      </c>
      <c r="C123" s="146"/>
      <c r="D123" s="42"/>
      <c r="E123" s="125"/>
      <c r="F123" s="101"/>
      <c r="G123" s="44"/>
      <c r="H123" s="126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8"/>
      <c r="T123" s="129"/>
      <c r="U123" s="130"/>
      <c r="V123" s="131"/>
      <c r="W123" s="132"/>
      <c r="X123" s="83"/>
    </row>
    <row r="124" spans="2:111" ht="15" customHeight="1" thickBot="1" x14ac:dyDescent="0.25">
      <c r="B124" s="13" t="s">
        <v>71</v>
      </c>
      <c r="C124" s="146"/>
      <c r="D124" s="42"/>
      <c r="E124" s="125"/>
      <c r="F124" s="101"/>
      <c r="G124" s="44"/>
      <c r="H124" s="126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8"/>
      <c r="T124" s="129"/>
      <c r="U124" s="130"/>
      <c r="V124" s="131"/>
      <c r="W124" s="132"/>
      <c r="X124" s="83"/>
    </row>
    <row r="125" spans="2:111" ht="15" customHeight="1" thickBot="1" x14ac:dyDescent="0.25">
      <c r="B125" s="133"/>
      <c r="C125" s="150"/>
      <c r="D125" s="150"/>
      <c r="E125" s="189"/>
      <c r="F125" s="188"/>
      <c r="G125" s="115"/>
      <c r="H125" s="134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6"/>
      <c r="T125" s="137">
        <f>SUM(T117:T124)</f>
        <v>0</v>
      </c>
      <c r="U125" s="138" t="e">
        <f>AVERAGE(U117:U124)</f>
        <v>#DIV/0!</v>
      </c>
      <c r="V125" s="139">
        <f>SUM(V117:V124)</f>
        <v>0</v>
      </c>
      <c r="W125" s="138" t="e">
        <f>AVERAGE(W117:W124)</f>
        <v>#DIV/0!</v>
      </c>
      <c r="X125" s="93" t="e">
        <f>AVERAGE(X117:X124)</f>
        <v>#DIV/0!</v>
      </c>
    </row>
    <row r="126" spans="2:111" ht="15" customHeight="1" x14ac:dyDescent="0.2"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98"/>
      <c r="U126" s="199"/>
      <c r="V126" s="198"/>
      <c r="W126" s="199"/>
      <c r="X126" s="179"/>
    </row>
    <row r="127" spans="2:111" ht="15" customHeight="1" x14ac:dyDescent="0.2"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98"/>
      <c r="U127" s="199"/>
      <c r="V127" s="198"/>
      <c r="W127" s="199"/>
      <c r="X127" s="179"/>
    </row>
    <row r="128" spans="2:111" ht="59.25" customHeight="1" x14ac:dyDescent="0.2"/>
    <row r="129" spans="2:25" ht="11.25" customHeight="1" x14ac:dyDescent="0.2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16"/>
      <c r="V129" s="16"/>
      <c r="W129" s="16"/>
      <c r="X129" s="4"/>
    </row>
    <row r="130" spans="2:25" ht="12.95" customHeight="1" thickBot="1" x14ac:dyDescent="0.25">
      <c r="B130" s="401" t="s">
        <v>50</v>
      </c>
      <c r="C130" s="401"/>
      <c r="U130" s="90"/>
      <c r="V130" s="90"/>
      <c r="W130" s="90"/>
    </row>
    <row r="131" spans="2:25" ht="12.95" customHeight="1" thickBot="1" x14ac:dyDescent="0.25">
      <c r="B131" s="389" t="s">
        <v>1</v>
      </c>
      <c r="C131" s="387" t="s">
        <v>77</v>
      </c>
      <c r="D131" s="389" t="s">
        <v>51</v>
      </c>
      <c r="E131" s="385" t="s">
        <v>4</v>
      </c>
      <c r="F131" s="406" t="s">
        <v>3</v>
      </c>
      <c r="G131" s="398" t="s">
        <v>52</v>
      </c>
      <c r="H131" s="399"/>
      <c r="I131" s="399"/>
      <c r="J131" s="399"/>
      <c r="K131" s="399"/>
      <c r="L131" s="399"/>
      <c r="M131" s="399"/>
      <c r="N131" s="399"/>
      <c r="O131" s="399"/>
      <c r="P131" s="400"/>
      <c r="Q131" s="393" t="s">
        <v>53</v>
      </c>
      <c r="R131" s="394"/>
      <c r="S131" s="394"/>
      <c r="T131" s="394"/>
      <c r="U131" s="394"/>
      <c r="V131" s="394"/>
      <c r="W131" s="395"/>
      <c r="X131" s="24"/>
      <c r="Y131" s="24"/>
    </row>
    <row r="132" spans="2:25" ht="27" customHeight="1" thickBot="1" x14ac:dyDescent="0.25">
      <c r="B132" s="396"/>
      <c r="C132" s="388"/>
      <c r="D132" s="390"/>
      <c r="E132" s="397"/>
      <c r="F132" s="405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  <c r="X132" s="24"/>
      <c r="Y132" s="24"/>
    </row>
    <row r="133" spans="2:25" ht="15" customHeight="1" x14ac:dyDescent="0.2">
      <c r="B133" s="12" t="s">
        <v>75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83"/>
      <c r="R133" s="184"/>
      <c r="S133" s="184"/>
      <c r="T133" s="184"/>
      <c r="U133" s="185"/>
      <c r="V133" s="185"/>
      <c r="W133" s="186"/>
      <c r="X133" s="24"/>
      <c r="Y133" s="24"/>
    </row>
    <row r="134" spans="2:25" ht="15" customHeight="1" x14ac:dyDescent="0.2">
      <c r="B134" s="13" t="s">
        <v>76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  <c r="X134" s="24"/>
      <c r="Y134" s="24"/>
    </row>
    <row r="135" spans="2:25" ht="15" customHeight="1" x14ac:dyDescent="0.2">
      <c r="B135" s="13" t="s">
        <v>66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  <c r="X135" s="24"/>
      <c r="Y135" s="24"/>
    </row>
    <row r="136" spans="2:25" ht="15" customHeight="1" x14ac:dyDescent="0.2">
      <c r="B136" s="13" t="s">
        <v>67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  <c r="X136" s="24"/>
      <c r="Y136" s="24"/>
    </row>
    <row r="137" spans="2:25" ht="15" customHeight="1" x14ac:dyDescent="0.2">
      <c r="B137" s="13" t="s">
        <v>68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  <c r="X137" s="24"/>
      <c r="Y137" s="24"/>
    </row>
    <row r="138" spans="2:25" ht="15" customHeight="1" x14ac:dyDescent="0.2">
      <c r="B138" s="13" t="s">
        <v>69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  <c r="X138" s="24"/>
      <c r="Y138" s="24"/>
    </row>
    <row r="139" spans="2:25" ht="15" customHeight="1" x14ac:dyDescent="0.2">
      <c r="B139" s="13" t="s">
        <v>70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  <c r="X139" s="24"/>
      <c r="Y139" s="24"/>
    </row>
    <row r="140" spans="2:25" ht="15" customHeight="1" thickBot="1" x14ac:dyDescent="0.25">
      <c r="B140" s="14" t="s">
        <v>71</v>
      </c>
      <c r="C140" s="147"/>
      <c r="D140" s="144"/>
      <c r="E140" s="14"/>
      <c r="F140" s="54"/>
      <c r="G140" s="56"/>
      <c r="H140" s="57"/>
      <c r="I140" s="57"/>
      <c r="J140" s="57"/>
      <c r="K140" s="57"/>
      <c r="L140" s="57"/>
      <c r="M140" s="57"/>
      <c r="N140" s="57"/>
      <c r="O140" s="57"/>
      <c r="P140" s="165"/>
      <c r="Q140" s="166"/>
      <c r="R140" s="167"/>
      <c r="S140" s="167"/>
      <c r="T140" s="167"/>
      <c r="U140" s="168"/>
      <c r="V140" s="168"/>
      <c r="W140" s="169"/>
      <c r="X140" s="24"/>
      <c r="Y140" s="24"/>
    </row>
    <row r="147" spans="111:111" ht="12.95" customHeight="1" x14ac:dyDescent="0.2">
      <c r="DG147" s="1"/>
    </row>
    <row r="148" spans="111:111" ht="12.95" customHeight="1" x14ac:dyDescent="0.2">
      <c r="DG148" s="1"/>
    </row>
    <row r="149" spans="111:111" ht="12.95" customHeight="1" x14ac:dyDescent="0.2">
      <c r="DG149" s="1"/>
    </row>
    <row r="150" spans="111:111" ht="12.95" customHeight="1" x14ac:dyDescent="0.2">
      <c r="DG150" s="1"/>
    </row>
    <row r="151" spans="111:111" ht="12.95" customHeight="1" x14ac:dyDescent="0.2">
      <c r="DG151" s="1"/>
    </row>
    <row r="152" spans="111:111" ht="12.95" customHeight="1" x14ac:dyDescent="0.2">
      <c r="DG152" s="1"/>
    </row>
    <row r="153" spans="111:111" ht="12.95" customHeight="1" x14ac:dyDescent="0.2">
      <c r="DG153" s="1"/>
    </row>
    <row r="154" spans="111:111" ht="12.95" customHeight="1" x14ac:dyDescent="0.2">
      <c r="DG154" s="1"/>
    </row>
    <row r="155" spans="111:111" ht="12.95" customHeight="1" x14ac:dyDescent="0.2">
      <c r="DG155" s="1"/>
    </row>
    <row r="156" spans="111:111" ht="12.95" customHeight="1" x14ac:dyDescent="0.2">
      <c r="DG156" s="1"/>
    </row>
    <row r="157" spans="111:111" ht="12.95" customHeight="1" x14ac:dyDescent="0.2">
      <c r="DG157" s="1"/>
    </row>
    <row r="158" spans="111:111" ht="12.95" customHeight="1" x14ac:dyDescent="0.2">
      <c r="DG158" s="1"/>
    </row>
    <row r="159" spans="111:111" ht="12.95" customHeight="1" x14ac:dyDescent="0.2">
      <c r="DG159" s="1"/>
    </row>
    <row r="160" spans="111:111" ht="12.95" customHeight="1" x14ac:dyDescent="0.2">
      <c r="DG160" s="1"/>
    </row>
    <row r="161" spans="111:111" ht="12.95" customHeight="1" x14ac:dyDescent="0.2">
      <c r="DG161" s="1"/>
    </row>
    <row r="162" spans="111:111" ht="12.95" customHeight="1" x14ac:dyDescent="0.2">
      <c r="DG162" s="1"/>
    </row>
  </sheetData>
  <sheetProtection autoFilter="0"/>
  <mergeCells count="65">
    <mergeCell ref="B1:X1"/>
    <mergeCell ref="B3:B4"/>
    <mergeCell ref="D3:D4"/>
    <mergeCell ref="E3:E4"/>
    <mergeCell ref="F3:F4"/>
    <mergeCell ref="G3:S3"/>
    <mergeCell ref="T3:X3"/>
    <mergeCell ref="C3:C4"/>
    <mergeCell ref="T35:X35"/>
    <mergeCell ref="B19:B20"/>
    <mergeCell ref="D19:D20"/>
    <mergeCell ref="E19:E20"/>
    <mergeCell ref="F19:F20"/>
    <mergeCell ref="G19:S19"/>
    <mergeCell ref="T19:X19"/>
    <mergeCell ref="B35:B36"/>
    <mergeCell ref="D35:D36"/>
    <mergeCell ref="E35:E36"/>
    <mergeCell ref="F35:F36"/>
    <mergeCell ref="G35:S35"/>
    <mergeCell ref="C19:C20"/>
    <mergeCell ref="C35:C36"/>
    <mergeCell ref="T67:X67"/>
    <mergeCell ref="B51:B52"/>
    <mergeCell ref="D51:D52"/>
    <mergeCell ref="E51:E52"/>
    <mergeCell ref="F51:F52"/>
    <mergeCell ref="G51:S51"/>
    <mergeCell ref="T51:X51"/>
    <mergeCell ref="B67:B68"/>
    <mergeCell ref="D67:D68"/>
    <mergeCell ref="E67:E68"/>
    <mergeCell ref="F67:F68"/>
    <mergeCell ref="G67:S67"/>
    <mergeCell ref="C51:C52"/>
    <mergeCell ref="C67:C68"/>
    <mergeCell ref="T99:X99"/>
    <mergeCell ref="B83:B84"/>
    <mergeCell ref="D83:D84"/>
    <mergeCell ref="E83:E84"/>
    <mergeCell ref="F83:F84"/>
    <mergeCell ref="G83:S83"/>
    <mergeCell ref="T83:X83"/>
    <mergeCell ref="B99:B100"/>
    <mergeCell ref="D99:D100"/>
    <mergeCell ref="E99:E100"/>
    <mergeCell ref="F99:F100"/>
    <mergeCell ref="G99:S99"/>
    <mergeCell ref="C83:C84"/>
    <mergeCell ref="C99:C100"/>
    <mergeCell ref="T115:X115"/>
    <mergeCell ref="B131:B132"/>
    <mergeCell ref="D131:D132"/>
    <mergeCell ref="E131:E132"/>
    <mergeCell ref="F131:F132"/>
    <mergeCell ref="G131:P131"/>
    <mergeCell ref="C115:C116"/>
    <mergeCell ref="C131:C132"/>
    <mergeCell ref="B130:C130"/>
    <mergeCell ref="Q131:W131"/>
    <mergeCell ref="B115:B116"/>
    <mergeCell ref="D115:D116"/>
    <mergeCell ref="E115:E116"/>
    <mergeCell ref="F115:F116"/>
    <mergeCell ref="G115:S115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16DFC-5107-4A0E-8679-B451E72FD4B7}">
  <sheetPr>
    <tabColor theme="4" tint="-0.249977111117893"/>
  </sheetPr>
  <dimension ref="B1:DG162"/>
  <sheetViews>
    <sheetView topLeftCell="A46" zoomScaleNormal="100" zoomScaleSheetLayoutView="100" workbookViewId="0">
      <selection activeCell="G31" sqref="G31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4.75" style="1" customWidth="1"/>
    <col min="23" max="23" width="6.375" style="1" customWidth="1"/>
    <col min="24" max="24" width="5.375" style="91" customWidth="1"/>
    <col min="25" max="25" width="2.75" style="1" customWidth="1"/>
    <col min="26" max="111" width="9" style="24"/>
    <col min="112" max="16384" width="9" style="1"/>
  </cols>
  <sheetData>
    <row r="1" spans="2:111" ht="17.25" customHeight="1" x14ac:dyDescent="0.2">
      <c r="B1" s="415" t="s">
        <v>102</v>
      </c>
      <c r="C1" s="415"/>
      <c r="D1" s="415"/>
      <c r="E1" s="415"/>
      <c r="F1" s="415"/>
      <c r="G1" s="415"/>
      <c r="H1" s="415"/>
      <c r="I1" s="415"/>
      <c r="J1" s="415"/>
      <c r="K1" s="415"/>
      <c r="L1" s="415"/>
      <c r="M1" s="415"/>
      <c r="N1" s="415"/>
      <c r="O1" s="415"/>
      <c r="P1" s="415"/>
      <c r="Q1" s="415"/>
      <c r="R1" s="415"/>
      <c r="S1" s="415"/>
      <c r="T1" s="415"/>
      <c r="U1" s="415"/>
      <c r="V1" s="415"/>
      <c r="W1" s="415"/>
      <c r="X1" s="415"/>
      <c r="Y1" s="23"/>
    </row>
    <row r="2" spans="2:111" s="5" customFormat="1" ht="15" customHeight="1" thickBot="1" x14ac:dyDescent="0.25">
      <c r="B2" s="2" t="s">
        <v>0</v>
      </c>
      <c r="C2" s="2"/>
      <c r="V2" s="25"/>
      <c r="W2" s="26"/>
      <c r="X2" s="27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</row>
    <row r="3" spans="2:111" s="6" customFormat="1" ht="13.5" customHeight="1" thickBot="1" x14ac:dyDescent="0.25">
      <c r="B3" s="385" t="s">
        <v>1</v>
      </c>
      <c r="C3" s="387" t="s">
        <v>77</v>
      </c>
      <c r="D3" s="389" t="s">
        <v>2</v>
      </c>
      <c r="E3" s="385" t="s">
        <v>3</v>
      </c>
      <c r="F3" s="391" t="s">
        <v>111</v>
      </c>
      <c r="G3" s="213"/>
      <c r="H3" s="254" t="s">
        <v>5</v>
      </c>
      <c r="I3" s="254"/>
      <c r="J3" s="254"/>
      <c r="K3" s="254"/>
      <c r="L3" s="254"/>
      <c r="M3" s="254"/>
      <c r="N3" s="247" t="s">
        <v>6</v>
      </c>
      <c r="O3" s="248"/>
      <c r="P3" s="248"/>
      <c r="Q3" s="248"/>
      <c r="R3" s="248"/>
      <c r="S3" s="248"/>
      <c r="T3" s="248"/>
      <c r="U3" s="248"/>
      <c r="V3" s="248"/>
      <c r="W3" s="249"/>
      <c r="X3" s="24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</row>
    <row r="4" spans="2:111" s="6" customFormat="1" ht="40.5" customHeight="1" thickBot="1" x14ac:dyDescent="0.25">
      <c r="B4" s="386"/>
      <c r="C4" s="388"/>
      <c r="D4" s="390"/>
      <c r="E4" s="386"/>
      <c r="F4" s="392"/>
      <c r="G4" s="256" t="s">
        <v>123</v>
      </c>
      <c r="H4" s="153" t="s">
        <v>125</v>
      </c>
      <c r="I4" s="153" t="s">
        <v>127</v>
      </c>
      <c r="J4" s="153" t="s">
        <v>129</v>
      </c>
      <c r="K4" s="153" t="s">
        <v>130</v>
      </c>
      <c r="L4" s="153" t="s">
        <v>131</v>
      </c>
      <c r="M4" s="258" t="s">
        <v>132</v>
      </c>
      <c r="N4" s="304" t="s">
        <v>106</v>
      </c>
      <c r="O4" s="207" t="s">
        <v>18</v>
      </c>
      <c r="P4" s="207" t="s">
        <v>19</v>
      </c>
      <c r="Q4" s="207" t="s">
        <v>110</v>
      </c>
      <c r="R4" s="207" t="s">
        <v>20</v>
      </c>
      <c r="S4" s="305" t="s">
        <v>21</v>
      </c>
      <c r="T4" s="305" t="s">
        <v>109</v>
      </c>
      <c r="U4" s="306" t="s">
        <v>22</v>
      </c>
      <c r="V4" s="315" t="s">
        <v>110</v>
      </c>
      <c r="W4" s="304" t="s">
        <v>134</v>
      </c>
      <c r="X4" s="307" t="s">
        <v>111</v>
      </c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</row>
    <row r="5" spans="2:111" ht="14.25" customHeight="1" x14ac:dyDescent="0.35">
      <c r="B5" s="259" t="s">
        <v>88</v>
      </c>
      <c r="C5" s="260"/>
      <c r="D5" s="261"/>
      <c r="E5" s="262"/>
      <c r="F5" s="263"/>
      <c r="G5" s="264"/>
      <c r="H5" s="265"/>
      <c r="I5" s="265"/>
      <c r="J5" s="265"/>
      <c r="K5" s="265"/>
      <c r="L5" s="265"/>
      <c r="M5" s="266"/>
      <c r="N5" s="308"/>
      <c r="O5" s="309"/>
      <c r="P5" s="310"/>
      <c r="Q5" s="309"/>
      <c r="R5" s="309"/>
      <c r="S5" s="311"/>
      <c r="T5" s="312"/>
      <c r="U5" s="313"/>
      <c r="V5" s="316"/>
      <c r="W5" s="319">
        <f>Q5*3+T5*1+V5*1</f>
        <v>0</v>
      </c>
      <c r="X5" s="314"/>
    </row>
    <row r="6" spans="2:111" ht="14.25" customHeight="1" x14ac:dyDescent="0.35">
      <c r="B6" s="267" t="s">
        <v>89</v>
      </c>
      <c r="C6" s="268"/>
      <c r="D6" s="269"/>
      <c r="E6" s="270"/>
      <c r="F6" s="271"/>
      <c r="G6" s="272"/>
      <c r="H6" s="273"/>
      <c r="I6" s="273"/>
      <c r="J6" s="273"/>
      <c r="K6" s="273"/>
      <c r="L6" s="273"/>
      <c r="M6" s="274"/>
      <c r="N6" s="275"/>
      <c r="O6" s="276"/>
      <c r="P6" s="277"/>
      <c r="Q6" s="276"/>
      <c r="R6" s="276"/>
      <c r="S6" s="278"/>
      <c r="T6" s="279"/>
      <c r="U6" s="280"/>
      <c r="V6" s="317"/>
      <c r="W6" s="320">
        <f>Q6*3+T6*1+V6*1</f>
        <v>0</v>
      </c>
      <c r="X6" s="281"/>
    </row>
    <row r="7" spans="2:111" ht="14.25" customHeight="1" x14ac:dyDescent="0.35">
      <c r="B7" s="267" t="s">
        <v>90</v>
      </c>
      <c r="C7" s="268"/>
      <c r="D7" s="269"/>
      <c r="E7" s="270"/>
      <c r="F7" s="271"/>
      <c r="G7" s="272"/>
      <c r="H7" s="273"/>
      <c r="I7" s="273"/>
      <c r="J7" s="273"/>
      <c r="K7" s="273"/>
      <c r="L7" s="273"/>
      <c r="M7" s="274"/>
      <c r="N7" s="275"/>
      <c r="O7" s="276"/>
      <c r="P7" s="277"/>
      <c r="Q7" s="276"/>
      <c r="R7" s="276"/>
      <c r="S7" s="278"/>
      <c r="T7" s="279"/>
      <c r="U7" s="280"/>
      <c r="V7" s="317"/>
      <c r="W7" s="320">
        <f t="shared" ref="W7:W12" si="0">Q7*3+T7*1+V7*1</f>
        <v>0</v>
      </c>
      <c r="X7" s="281"/>
    </row>
    <row r="8" spans="2:111" ht="14.25" customHeight="1" x14ac:dyDescent="0.35">
      <c r="B8" s="267" t="s">
        <v>91</v>
      </c>
      <c r="C8" s="268"/>
      <c r="D8" s="269"/>
      <c r="E8" s="270"/>
      <c r="F8" s="271"/>
      <c r="G8" s="272"/>
      <c r="H8" s="273"/>
      <c r="I8" s="273"/>
      <c r="J8" s="273"/>
      <c r="K8" s="273"/>
      <c r="L8" s="273"/>
      <c r="M8" s="274"/>
      <c r="N8" s="275"/>
      <c r="O8" s="276"/>
      <c r="P8" s="277"/>
      <c r="Q8" s="276"/>
      <c r="R8" s="276"/>
      <c r="S8" s="278"/>
      <c r="T8" s="279"/>
      <c r="U8" s="280"/>
      <c r="V8" s="317"/>
      <c r="W8" s="320">
        <f t="shared" si="0"/>
        <v>0</v>
      </c>
      <c r="X8" s="281"/>
    </row>
    <row r="9" spans="2:111" ht="14.25" customHeight="1" x14ac:dyDescent="0.35">
      <c r="B9" s="267" t="s">
        <v>92</v>
      </c>
      <c r="C9" s="268"/>
      <c r="D9" s="269"/>
      <c r="E9" s="270"/>
      <c r="F9" s="271"/>
      <c r="G9" s="272"/>
      <c r="H9" s="273"/>
      <c r="I9" s="273"/>
      <c r="J9" s="273"/>
      <c r="K9" s="273"/>
      <c r="L9" s="273"/>
      <c r="M9" s="274"/>
      <c r="N9" s="275"/>
      <c r="O9" s="276"/>
      <c r="P9" s="277"/>
      <c r="Q9" s="276"/>
      <c r="R9" s="276"/>
      <c r="S9" s="278"/>
      <c r="T9" s="279"/>
      <c r="U9" s="280"/>
      <c r="V9" s="317"/>
      <c r="W9" s="320">
        <f t="shared" si="0"/>
        <v>0</v>
      </c>
      <c r="X9" s="281"/>
    </row>
    <row r="10" spans="2:111" ht="14.25" customHeight="1" x14ac:dyDescent="0.35">
      <c r="B10" s="267" t="s">
        <v>93</v>
      </c>
      <c r="C10" s="268"/>
      <c r="D10" s="269"/>
      <c r="E10" s="270"/>
      <c r="F10" s="271"/>
      <c r="G10" s="272"/>
      <c r="H10" s="273"/>
      <c r="I10" s="273"/>
      <c r="J10" s="273"/>
      <c r="K10" s="273"/>
      <c r="L10" s="273"/>
      <c r="M10" s="274"/>
      <c r="N10" s="275"/>
      <c r="O10" s="276"/>
      <c r="P10" s="277"/>
      <c r="Q10" s="276"/>
      <c r="R10" s="276"/>
      <c r="S10" s="278"/>
      <c r="T10" s="279"/>
      <c r="U10" s="280"/>
      <c r="V10" s="317"/>
      <c r="W10" s="320">
        <f t="shared" si="0"/>
        <v>0</v>
      </c>
      <c r="X10" s="281"/>
    </row>
    <row r="11" spans="2:111" ht="14.25" customHeight="1" x14ac:dyDescent="0.35">
      <c r="B11" s="267" t="s">
        <v>94</v>
      </c>
      <c r="C11" s="268"/>
      <c r="D11" s="269"/>
      <c r="E11" s="270"/>
      <c r="F11" s="271"/>
      <c r="G11" s="272"/>
      <c r="H11" s="273"/>
      <c r="I11" s="273"/>
      <c r="J11" s="273"/>
      <c r="K11" s="273"/>
      <c r="L11" s="273"/>
      <c r="M11" s="274"/>
      <c r="N11" s="275"/>
      <c r="O11" s="276"/>
      <c r="P11" s="277"/>
      <c r="Q11" s="276"/>
      <c r="R11" s="276"/>
      <c r="S11" s="278"/>
      <c r="T11" s="279"/>
      <c r="U11" s="280"/>
      <c r="V11" s="317"/>
      <c r="W11" s="320">
        <f t="shared" si="0"/>
        <v>0</v>
      </c>
      <c r="X11" s="281"/>
    </row>
    <row r="12" spans="2:111" ht="14.25" customHeight="1" thickBot="1" x14ac:dyDescent="0.4">
      <c r="B12" s="282" t="s">
        <v>95</v>
      </c>
      <c r="C12" s="283"/>
      <c r="D12" s="284"/>
      <c r="E12" s="285"/>
      <c r="F12" s="286"/>
      <c r="G12" s="287"/>
      <c r="H12" s="288"/>
      <c r="I12" s="288"/>
      <c r="J12" s="288"/>
      <c r="K12" s="288"/>
      <c r="L12" s="288"/>
      <c r="M12" s="289"/>
      <c r="N12" s="290"/>
      <c r="O12" s="291"/>
      <c r="P12" s="292"/>
      <c r="Q12" s="291"/>
      <c r="R12" s="291"/>
      <c r="S12" s="293"/>
      <c r="T12" s="294"/>
      <c r="U12" s="295"/>
      <c r="V12" s="318"/>
      <c r="W12" s="321">
        <f t="shared" si="0"/>
        <v>0</v>
      </c>
      <c r="X12" s="296"/>
    </row>
    <row r="13" spans="2:111" ht="14.25" customHeight="1" thickBot="1" x14ac:dyDescent="0.25">
      <c r="B13" s="171"/>
      <c r="C13" s="241"/>
      <c r="D13" s="250"/>
      <c r="E13" s="251"/>
      <c r="F13" s="252"/>
      <c r="G13" s="255"/>
      <c r="H13" s="245"/>
      <c r="I13" s="245"/>
      <c r="J13" s="245"/>
      <c r="K13" s="245"/>
      <c r="L13" s="245"/>
      <c r="M13" s="246"/>
      <c r="N13" s="257"/>
      <c r="O13" s="192">
        <f>SUM(O5:O12)</f>
        <v>0</v>
      </c>
      <c r="P13" s="191" t="e">
        <f>AVERAGE(P5:P12)</f>
        <v>#DIV/0!</v>
      </c>
      <c r="Q13" s="191"/>
      <c r="R13" s="192">
        <f>SUM(R5:R12)</f>
        <v>0</v>
      </c>
      <c r="S13" s="191" t="e">
        <f>AVERAGE(S5:S12)</f>
        <v>#DIV/0!</v>
      </c>
      <c r="T13" s="191"/>
      <c r="U13" s="253" t="e">
        <f>AVERAGE(U5:U12)</f>
        <v>#DIV/0!</v>
      </c>
      <c r="V13" s="303"/>
      <c r="W13" s="257"/>
      <c r="X13" s="193"/>
    </row>
    <row r="14" spans="2:111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  <c r="V14" s="176"/>
      <c r="W14" s="177"/>
      <c r="X14" s="178"/>
    </row>
    <row r="15" spans="2:111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77"/>
      <c r="V15" s="176"/>
      <c r="W15" s="177"/>
      <c r="X15" s="178"/>
    </row>
    <row r="16" spans="2:111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6"/>
      <c r="U16" s="177"/>
      <c r="V16" s="176"/>
      <c r="W16" s="177"/>
      <c r="X16" s="178"/>
    </row>
    <row r="17" spans="2:111" ht="50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</row>
    <row r="18" spans="2:111" ht="18" customHeight="1" thickBot="1" x14ac:dyDescent="0.25">
      <c r="B18" s="17" t="s">
        <v>23</v>
      </c>
      <c r="C18" s="17"/>
      <c r="U18" s="74"/>
      <c r="V18" s="74"/>
      <c r="W18" s="74"/>
      <c r="X18" s="75"/>
    </row>
    <row r="19" spans="2:111" s="6" customFormat="1" ht="15.75" customHeight="1" x14ac:dyDescent="0.2">
      <c r="B19" s="385" t="s">
        <v>1</v>
      </c>
      <c r="C19" s="387" t="s">
        <v>77</v>
      </c>
      <c r="D19" s="398" t="s">
        <v>2</v>
      </c>
      <c r="E19" s="399" t="s">
        <v>3</v>
      </c>
      <c r="F19" s="400" t="s">
        <v>4</v>
      </c>
      <c r="G19" s="389" t="s">
        <v>5</v>
      </c>
      <c r="H19" s="406"/>
      <c r="I19" s="406"/>
      <c r="J19" s="406"/>
      <c r="K19" s="406"/>
      <c r="L19" s="406"/>
      <c r="M19" s="406"/>
      <c r="N19" s="406"/>
      <c r="O19" s="406"/>
      <c r="P19" s="406"/>
      <c r="Q19" s="406"/>
      <c r="R19" s="406"/>
      <c r="S19" s="391"/>
      <c r="T19" s="410" t="s">
        <v>6</v>
      </c>
      <c r="U19" s="399"/>
      <c r="V19" s="399"/>
      <c r="W19" s="399"/>
      <c r="X19" s="400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</row>
    <row r="20" spans="2:111" s="6" customFormat="1" ht="36" customHeight="1" thickBot="1" x14ac:dyDescent="0.25">
      <c r="B20" s="386"/>
      <c r="C20" s="388"/>
      <c r="D20" s="412"/>
      <c r="E20" s="413"/>
      <c r="F20" s="414"/>
      <c r="G20" s="7" t="s">
        <v>103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</row>
    <row r="21" spans="2:111" ht="15.75" customHeight="1" x14ac:dyDescent="0.2">
      <c r="B21" s="12" t="s">
        <v>64</v>
      </c>
      <c r="C21" s="145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79"/>
    </row>
    <row r="22" spans="2:111" ht="15.75" customHeight="1" x14ac:dyDescent="0.2">
      <c r="B22" s="13" t="s">
        <v>65</v>
      </c>
      <c r="C22" s="146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83"/>
    </row>
    <row r="23" spans="2:111" ht="15.75" customHeight="1" x14ac:dyDescent="0.2">
      <c r="B23" s="13" t="s">
        <v>66</v>
      </c>
      <c r="C23" s="146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83"/>
    </row>
    <row r="24" spans="2:111" ht="15.75" customHeight="1" x14ac:dyDescent="0.2">
      <c r="B24" s="13" t="s">
        <v>67</v>
      </c>
      <c r="C24" s="146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83"/>
    </row>
    <row r="25" spans="2:111" ht="15.75" customHeight="1" x14ac:dyDescent="0.2">
      <c r="B25" s="13" t="s">
        <v>68</v>
      </c>
      <c r="C25" s="146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83"/>
    </row>
    <row r="26" spans="2:111" ht="15.75" customHeight="1" x14ac:dyDescent="0.2">
      <c r="B26" s="13" t="s">
        <v>69</v>
      </c>
      <c r="C26" s="146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83"/>
    </row>
    <row r="27" spans="2:111" ht="15.75" customHeight="1" x14ac:dyDescent="0.2">
      <c r="B27" s="13" t="s">
        <v>70</v>
      </c>
      <c r="C27" s="146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83"/>
    </row>
    <row r="28" spans="2:111" ht="15.75" customHeight="1" thickBot="1" x14ac:dyDescent="0.25">
      <c r="B28" s="13" t="s">
        <v>71</v>
      </c>
      <c r="C28" s="146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83"/>
    </row>
    <row r="29" spans="2:111" ht="15.75" customHeight="1" thickBot="1" x14ac:dyDescent="0.25">
      <c r="B29" s="60"/>
      <c r="C29" s="148"/>
      <c r="D29" s="173"/>
      <c r="E29" s="171"/>
      <c r="F29" s="172"/>
      <c r="G29" s="64"/>
      <c r="H29" s="87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88"/>
      <c r="T29" s="89">
        <f>SUM(T21:T28)</f>
        <v>0</v>
      </c>
      <c r="U29" s="69" t="e">
        <f>AVERAGE(U21:U28)</f>
        <v>#DIV/0!</v>
      </c>
      <c r="V29" s="70">
        <f>SUM(V21:V28)</f>
        <v>0</v>
      </c>
      <c r="W29" s="69" t="e">
        <f>AVERAGE(W21:W28)</f>
        <v>#DIV/0!</v>
      </c>
      <c r="X29" s="70" t="e">
        <f>AVERAGE(X21:X28)</f>
        <v>#DIV/0!</v>
      </c>
    </row>
    <row r="30" spans="2:111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77"/>
      <c r="V30" s="176"/>
      <c r="W30" s="177"/>
      <c r="X30" s="176"/>
    </row>
    <row r="31" spans="2:111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77"/>
      <c r="V31" s="176"/>
      <c r="W31" s="177"/>
      <c r="X31" s="176"/>
    </row>
    <row r="32" spans="2:111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</row>
    <row r="33" spans="2:111" ht="58.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</row>
    <row r="34" spans="2:111" ht="15" customHeight="1" thickBot="1" x14ac:dyDescent="0.25">
      <c r="B34" s="17" t="s">
        <v>25</v>
      </c>
      <c r="C34" s="17"/>
      <c r="U34" s="90"/>
      <c r="V34" s="90"/>
      <c r="W34" s="90"/>
    </row>
    <row r="35" spans="2:111" s="6" customFormat="1" ht="12" customHeight="1" x14ac:dyDescent="0.2">
      <c r="B35" s="385" t="s">
        <v>1</v>
      </c>
      <c r="C35" s="387" t="s">
        <v>77</v>
      </c>
      <c r="D35" s="398" t="s">
        <v>2</v>
      </c>
      <c r="E35" s="399" t="s">
        <v>3</v>
      </c>
      <c r="F35" s="400" t="s">
        <v>4</v>
      </c>
      <c r="G35" s="389" t="s">
        <v>5</v>
      </c>
      <c r="H35" s="406"/>
      <c r="I35" s="406"/>
      <c r="J35" s="406"/>
      <c r="K35" s="406"/>
      <c r="L35" s="406"/>
      <c r="M35" s="406"/>
      <c r="N35" s="406"/>
      <c r="O35" s="406"/>
      <c r="P35" s="406"/>
      <c r="Q35" s="406"/>
      <c r="R35" s="406"/>
      <c r="S35" s="391"/>
      <c r="T35" s="398" t="s">
        <v>6</v>
      </c>
      <c r="U35" s="399"/>
      <c r="V35" s="399"/>
      <c r="W35" s="399"/>
      <c r="X35" s="400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</row>
    <row r="36" spans="2:111" s="6" customFormat="1" ht="33" customHeight="1" thickBot="1" x14ac:dyDescent="0.25">
      <c r="B36" s="386"/>
      <c r="C36" s="388"/>
      <c r="D36" s="412"/>
      <c r="E36" s="413"/>
      <c r="F36" s="414"/>
      <c r="G36" s="7" t="s">
        <v>103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</row>
    <row r="37" spans="2:111" ht="15" customHeight="1" x14ac:dyDescent="0.2">
      <c r="B37" s="12" t="s">
        <v>64</v>
      </c>
      <c r="C37" s="145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79"/>
    </row>
    <row r="38" spans="2:111" ht="15" customHeight="1" x14ac:dyDescent="0.2">
      <c r="B38" s="13" t="s">
        <v>65</v>
      </c>
      <c r="C38" s="146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83"/>
    </row>
    <row r="39" spans="2:111" ht="15" customHeight="1" x14ac:dyDescent="0.2">
      <c r="B39" s="13" t="s">
        <v>66</v>
      </c>
      <c r="C39" s="146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83"/>
    </row>
    <row r="40" spans="2:111" ht="15" customHeight="1" x14ac:dyDescent="0.2">
      <c r="B40" s="13" t="s">
        <v>67</v>
      </c>
      <c r="C40" s="146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83"/>
    </row>
    <row r="41" spans="2:111" ht="15" customHeight="1" x14ac:dyDescent="0.2">
      <c r="B41" s="13" t="s">
        <v>68</v>
      </c>
      <c r="C41" s="146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83"/>
    </row>
    <row r="42" spans="2:111" ht="15" customHeight="1" x14ac:dyDescent="0.2">
      <c r="B42" s="13" t="s">
        <v>69</v>
      </c>
      <c r="C42" s="146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83"/>
    </row>
    <row r="43" spans="2:111" ht="15" customHeight="1" x14ac:dyDescent="0.2">
      <c r="B43" s="13" t="s">
        <v>70</v>
      </c>
      <c r="C43" s="146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83"/>
    </row>
    <row r="44" spans="2:111" ht="15" customHeight="1" thickBot="1" x14ac:dyDescent="0.25">
      <c r="B44" s="13" t="s">
        <v>71</v>
      </c>
      <c r="C44" s="146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83"/>
    </row>
    <row r="45" spans="2:111" ht="15" customHeight="1" thickBot="1" x14ac:dyDescent="0.25">
      <c r="B45" s="60"/>
      <c r="C45" s="148"/>
      <c r="D45" s="148"/>
      <c r="E45" s="171"/>
      <c r="F45" s="172"/>
      <c r="G45" s="64"/>
      <c r="H45" s="87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88"/>
      <c r="T45" s="89">
        <f>SUM(T37:T44)</f>
        <v>0</v>
      </c>
      <c r="U45" s="69" t="e">
        <f>AVERAGE(U37:U44)</f>
        <v>#DIV/0!</v>
      </c>
      <c r="V45" s="70">
        <f>SUM(V37:V44)</f>
        <v>0</v>
      </c>
      <c r="W45" s="69" t="e">
        <f>AVERAGE(W37:W44)</f>
        <v>#DIV/0!</v>
      </c>
      <c r="X45" s="93" t="e">
        <f>AVERAGE(X37:X44)</f>
        <v>#DIV/0!</v>
      </c>
    </row>
    <row r="46" spans="2:111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6"/>
      <c r="U46" s="177"/>
      <c r="V46" s="176"/>
      <c r="W46" s="177"/>
      <c r="X46" s="179"/>
    </row>
    <row r="47" spans="2:111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6"/>
      <c r="U47" s="177"/>
      <c r="V47" s="176"/>
      <c r="W47" s="177"/>
      <c r="X47" s="179"/>
    </row>
    <row r="48" spans="2:111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</row>
    <row r="49" spans="2:24" ht="11.2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</row>
    <row r="50" spans="2:24" ht="15.75" customHeight="1" thickBot="1" x14ac:dyDescent="0.25">
      <c r="B50" s="17" t="s">
        <v>72</v>
      </c>
      <c r="C50" s="17"/>
      <c r="U50" s="90"/>
      <c r="V50" s="90"/>
      <c r="W50" s="90"/>
    </row>
    <row r="51" spans="2:24" ht="15.75" customHeight="1" x14ac:dyDescent="0.2">
      <c r="B51" s="385" t="s">
        <v>1</v>
      </c>
      <c r="C51" s="387" t="s">
        <v>77</v>
      </c>
      <c r="D51" s="389" t="s">
        <v>2</v>
      </c>
      <c r="E51" s="385" t="s">
        <v>24</v>
      </c>
      <c r="F51" s="406" t="s">
        <v>4</v>
      </c>
      <c r="G51" s="389" t="s">
        <v>5</v>
      </c>
      <c r="H51" s="406"/>
      <c r="I51" s="406"/>
      <c r="J51" s="406"/>
      <c r="K51" s="406"/>
      <c r="L51" s="406"/>
      <c r="M51" s="406"/>
      <c r="N51" s="406"/>
      <c r="O51" s="406"/>
      <c r="P51" s="406"/>
      <c r="Q51" s="406"/>
      <c r="R51" s="406"/>
      <c r="S51" s="391"/>
      <c r="T51" s="410" t="s">
        <v>6</v>
      </c>
      <c r="U51" s="399"/>
      <c r="V51" s="399"/>
      <c r="W51" s="399"/>
      <c r="X51" s="400"/>
    </row>
    <row r="52" spans="2:24" ht="33" customHeight="1" thickBot="1" x14ac:dyDescent="0.25">
      <c r="B52" s="397"/>
      <c r="C52" s="388"/>
      <c r="D52" s="390"/>
      <c r="E52" s="386"/>
      <c r="F52" s="405"/>
      <c r="G52" s="7" t="s">
        <v>103</v>
      </c>
      <c r="H52" s="11" t="s">
        <v>26</v>
      </c>
      <c r="I52" s="9" t="s">
        <v>27</v>
      </c>
      <c r="J52" s="9" t="s">
        <v>28</v>
      </c>
      <c r="K52" s="9" t="s">
        <v>29</v>
      </c>
      <c r="L52" s="9" t="s">
        <v>30</v>
      </c>
      <c r="M52" s="9" t="s">
        <v>31</v>
      </c>
      <c r="N52" s="9" t="s">
        <v>32</v>
      </c>
      <c r="O52" s="9" t="s">
        <v>33</v>
      </c>
      <c r="P52" s="9" t="s">
        <v>34</v>
      </c>
      <c r="Q52" s="9" t="s">
        <v>35</v>
      </c>
      <c r="R52" s="9" t="s">
        <v>36</v>
      </c>
      <c r="S52" s="10">
        <v>70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</row>
    <row r="53" spans="2:24" ht="15.75" customHeight="1" x14ac:dyDescent="0.2">
      <c r="B53" s="12" t="s">
        <v>64</v>
      </c>
      <c r="C53" s="145"/>
      <c r="D53" s="31"/>
      <c r="E53" s="12"/>
      <c r="F53" s="32"/>
      <c r="G53" s="94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79"/>
    </row>
    <row r="54" spans="2:24" ht="15.75" customHeight="1" x14ac:dyDescent="0.2">
      <c r="B54" s="13" t="s">
        <v>65</v>
      </c>
      <c r="C54" s="146"/>
      <c r="D54" s="42"/>
      <c r="E54" s="13"/>
      <c r="F54" s="43"/>
      <c r="G54" s="95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83"/>
    </row>
    <row r="55" spans="2:24" ht="15.75" customHeight="1" x14ac:dyDescent="0.2">
      <c r="B55" s="13" t="s">
        <v>66</v>
      </c>
      <c r="C55" s="146"/>
      <c r="D55" s="42"/>
      <c r="E55" s="13"/>
      <c r="F55" s="43"/>
      <c r="G55" s="95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83"/>
    </row>
    <row r="56" spans="2:24" ht="15.75" customHeight="1" x14ac:dyDescent="0.2">
      <c r="B56" s="13" t="s">
        <v>67</v>
      </c>
      <c r="C56" s="146"/>
      <c r="D56" s="42"/>
      <c r="E56" s="13"/>
      <c r="F56" s="43"/>
      <c r="G56" s="95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83"/>
    </row>
    <row r="57" spans="2:24" ht="15.75" customHeight="1" x14ac:dyDescent="0.2">
      <c r="B57" s="13" t="s">
        <v>68</v>
      </c>
      <c r="C57" s="146"/>
      <c r="D57" s="42"/>
      <c r="E57" s="13"/>
      <c r="F57" s="43"/>
      <c r="G57" s="95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83"/>
    </row>
    <row r="58" spans="2:24" ht="15.75" customHeight="1" x14ac:dyDescent="0.2">
      <c r="B58" s="13" t="s">
        <v>69</v>
      </c>
      <c r="C58" s="146"/>
      <c r="D58" s="42"/>
      <c r="E58" s="13"/>
      <c r="F58" s="43"/>
      <c r="G58" s="95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83"/>
    </row>
    <row r="59" spans="2:24" ht="15.75" customHeight="1" x14ac:dyDescent="0.2">
      <c r="B59" s="13" t="s">
        <v>70</v>
      </c>
      <c r="C59" s="146"/>
      <c r="D59" s="42"/>
      <c r="E59" s="13"/>
      <c r="F59" s="43"/>
      <c r="G59" s="95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83"/>
    </row>
    <row r="60" spans="2:24" ht="15.75" customHeight="1" thickBot="1" x14ac:dyDescent="0.25">
      <c r="B60" s="13" t="s">
        <v>71</v>
      </c>
      <c r="C60" s="146"/>
      <c r="D60" s="42"/>
      <c r="E60" s="13"/>
      <c r="F60" s="43"/>
      <c r="G60" s="95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83"/>
    </row>
    <row r="61" spans="2:24" ht="15.75" customHeight="1" thickBot="1" x14ac:dyDescent="0.25">
      <c r="B61" s="96"/>
      <c r="C61" s="149"/>
      <c r="D61" s="149"/>
      <c r="E61" s="171"/>
      <c r="F61" s="170"/>
      <c r="G61" s="99"/>
      <c r="H61" s="65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88"/>
      <c r="T61" s="89">
        <f>SUM(T53:T60)</f>
        <v>0</v>
      </c>
      <c r="U61" s="69" t="e">
        <f>AVERAGE(U53:U60)</f>
        <v>#DIV/0!</v>
      </c>
      <c r="V61" s="70">
        <f>SUM(V53:V60)</f>
        <v>0</v>
      </c>
      <c r="W61" s="69" t="e">
        <f>AVERAGE(W53:W60)</f>
        <v>#DIV/0!</v>
      </c>
      <c r="X61" s="93" t="e">
        <f>AVERAGE(X53:X60)</f>
        <v>#DIV/0!</v>
      </c>
    </row>
    <row r="62" spans="2:24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6"/>
      <c r="U62" s="177"/>
      <c r="V62" s="176"/>
      <c r="W62" s="177"/>
      <c r="X62" s="179"/>
    </row>
    <row r="63" spans="2:24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6"/>
      <c r="U63" s="177"/>
      <c r="V63" s="176"/>
      <c r="W63" s="177"/>
      <c r="X63" s="179"/>
    </row>
    <row r="64" spans="2:24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</row>
    <row r="65" spans="2:111" ht="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</row>
    <row r="66" spans="2:111" ht="17.25" customHeight="1" thickBot="1" x14ac:dyDescent="0.25">
      <c r="B66" s="17" t="s">
        <v>74</v>
      </c>
      <c r="C66" s="17"/>
      <c r="U66" s="90"/>
      <c r="V66" s="90"/>
      <c r="W66" s="90"/>
    </row>
    <row r="67" spans="2:111" s="6" customFormat="1" ht="11.25" customHeight="1" x14ac:dyDescent="0.2">
      <c r="B67" s="385" t="s">
        <v>1</v>
      </c>
      <c r="C67" s="387" t="s">
        <v>77</v>
      </c>
      <c r="D67" s="389" t="s">
        <v>2</v>
      </c>
      <c r="E67" s="385" t="s">
        <v>24</v>
      </c>
      <c r="F67" s="406" t="s">
        <v>4</v>
      </c>
      <c r="G67" s="389" t="s">
        <v>5</v>
      </c>
      <c r="H67" s="406"/>
      <c r="I67" s="406"/>
      <c r="J67" s="406"/>
      <c r="K67" s="406"/>
      <c r="L67" s="406"/>
      <c r="M67" s="406"/>
      <c r="N67" s="406"/>
      <c r="O67" s="406"/>
      <c r="P67" s="406"/>
      <c r="Q67" s="406"/>
      <c r="R67" s="406"/>
      <c r="S67" s="391"/>
      <c r="T67" s="410" t="s">
        <v>6</v>
      </c>
      <c r="U67" s="399"/>
      <c r="V67" s="399"/>
      <c r="W67" s="399"/>
      <c r="X67" s="400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  <c r="CF67" s="29"/>
      <c r="CG67" s="29"/>
      <c r="CH67" s="29"/>
      <c r="CI67" s="29"/>
      <c r="CJ67" s="29"/>
      <c r="CK67" s="29"/>
      <c r="CL67" s="29"/>
      <c r="CM67" s="29"/>
      <c r="CN67" s="29"/>
      <c r="CO67" s="29"/>
      <c r="CP67" s="29"/>
      <c r="CQ67" s="29"/>
      <c r="CR67" s="29"/>
      <c r="CS67" s="29"/>
      <c r="CT67" s="29"/>
      <c r="CU67" s="29"/>
      <c r="CV67" s="29"/>
      <c r="CW67" s="29"/>
      <c r="CX67" s="29"/>
      <c r="CY67" s="29"/>
      <c r="CZ67" s="29"/>
      <c r="DA67" s="29"/>
      <c r="DB67" s="29"/>
      <c r="DC67" s="29"/>
      <c r="DD67" s="29"/>
      <c r="DE67" s="29"/>
      <c r="DF67" s="29"/>
      <c r="DG67" s="29"/>
    </row>
    <row r="68" spans="2:111" s="6" customFormat="1" ht="31.5" customHeight="1" thickBot="1" x14ac:dyDescent="0.25">
      <c r="B68" s="397"/>
      <c r="C68" s="388"/>
      <c r="D68" s="390"/>
      <c r="E68" s="386"/>
      <c r="F68" s="405"/>
      <c r="G68" s="7" t="s">
        <v>103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</row>
    <row r="69" spans="2:111" ht="14.25" customHeight="1" x14ac:dyDescent="0.2">
      <c r="B69" s="12" t="s">
        <v>64</v>
      </c>
      <c r="C69" s="145"/>
      <c r="D69" s="31"/>
      <c r="E69" s="12"/>
      <c r="F69" s="100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79"/>
    </row>
    <row r="70" spans="2:111" ht="14.25" customHeight="1" x14ac:dyDescent="0.2">
      <c r="B70" s="13" t="s">
        <v>65</v>
      </c>
      <c r="C70" s="146"/>
      <c r="D70" s="42"/>
      <c r="E70" s="13"/>
      <c r="F70" s="101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83"/>
    </row>
    <row r="71" spans="2:111" ht="14.25" customHeight="1" x14ac:dyDescent="0.2">
      <c r="B71" s="13" t="s">
        <v>66</v>
      </c>
      <c r="C71" s="146"/>
      <c r="D71" s="42"/>
      <c r="E71" s="13"/>
      <c r="F71" s="101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83"/>
    </row>
    <row r="72" spans="2:111" ht="14.25" customHeight="1" x14ac:dyDescent="0.2">
      <c r="B72" s="13" t="s">
        <v>67</v>
      </c>
      <c r="C72" s="146"/>
      <c r="D72" s="42"/>
      <c r="E72" s="13"/>
      <c r="F72" s="101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83"/>
    </row>
    <row r="73" spans="2:111" ht="14.25" customHeight="1" x14ac:dyDescent="0.2">
      <c r="B73" s="13" t="s">
        <v>68</v>
      </c>
      <c r="C73" s="146"/>
      <c r="D73" s="42"/>
      <c r="E73" s="13"/>
      <c r="F73" s="101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83"/>
    </row>
    <row r="74" spans="2:111" ht="14.25" customHeight="1" x14ac:dyDescent="0.2">
      <c r="B74" s="13" t="s">
        <v>69</v>
      </c>
      <c r="C74" s="146"/>
      <c r="D74" s="42"/>
      <c r="E74" s="13"/>
      <c r="F74" s="101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83"/>
    </row>
    <row r="75" spans="2:111" ht="14.25" customHeight="1" x14ac:dyDescent="0.2">
      <c r="B75" s="13" t="s">
        <v>70</v>
      </c>
      <c r="C75" s="146"/>
      <c r="D75" s="42"/>
      <c r="E75" s="13"/>
      <c r="F75" s="101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83"/>
    </row>
    <row r="76" spans="2:111" ht="14.25" customHeight="1" thickBot="1" x14ac:dyDescent="0.25">
      <c r="B76" s="13" t="s">
        <v>71</v>
      </c>
      <c r="C76" s="146"/>
      <c r="D76" s="42"/>
      <c r="E76" s="13"/>
      <c r="F76" s="101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83"/>
    </row>
    <row r="77" spans="2:111" ht="14.25" customHeight="1" thickBot="1" x14ac:dyDescent="0.25">
      <c r="B77" s="96"/>
      <c r="C77" s="149"/>
      <c r="D77" s="149"/>
      <c r="E77" s="171"/>
      <c r="F77" s="170"/>
      <c r="G77" s="99"/>
      <c r="H77" s="65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88"/>
      <c r="T77" s="89">
        <f>SUM(T69:T76)</f>
        <v>0</v>
      </c>
      <c r="U77" s="69" t="e">
        <f>AVERAGE(U69:U76)</f>
        <v>#DIV/0!</v>
      </c>
      <c r="V77" s="70">
        <f>SUM(V69:V76)</f>
        <v>0</v>
      </c>
      <c r="W77" s="69" t="e">
        <f>AVERAGE(W69:W76)</f>
        <v>#DIV/0!</v>
      </c>
      <c r="X77" s="93" t="e">
        <f>AVERAGE(X69:X76)</f>
        <v>#DIV/0!</v>
      </c>
    </row>
    <row r="78" spans="2:111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6"/>
      <c r="U78" s="177"/>
      <c r="V78" s="176"/>
      <c r="W78" s="177"/>
      <c r="X78" s="179"/>
    </row>
    <row r="79" spans="2:111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6"/>
      <c r="U79" s="177"/>
      <c r="V79" s="176"/>
      <c r="W79" s="177"/>
      <c r="X79" s="179"/>
    </row>
    <row r="80" spans="2:111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</row>
    <row r="81" spans="2:111" ht="73.5" customHeight="1" x14ac:dyDescent="0.2">
      <c r="U81" s="90"/>
      <c r="V81" s="90"/>
      <c r="W81" s="90"/>
    </row>
    <row r="82" spans="2:111" ht="13.5" customHeight="1" thickBot="1" x14ac:dyDescent="0.25">
      <c r="B82" s="17" t="s">
        <v>48</v>
      </c>
      <c r="C82" s="17"/>
      <c r="U82" s="90"/>
      <c r="V82" s="90"/>
      <c r="W82" s="90"/>
    </row>
    <row r="83" spans="2:111" s="6" customFormat="1" ht="15" customHeight="1" x14ac:dyDescent="0.2">
      <c r="B83" s="385" t="s">
        <v>1</v>
      </c>
      <c r="C83" s="387" t="s">
        <v>77</v>
      </c>
      <c r="D83" s="389" t="s">
        <v>2</v>
      </c>
      <c r="E83" s="385" t="s">
        <v>24</v>
      </c>
      <c r="F83" s="391" t="s">
        <v>4</v>
      </c>
      <c r="G83" s="389" t="s">
        <v>5</v>
      </c>
      <c r="H83" s="406"/>
      <c r="I83" s="406"/>
      <c r="J83" s="406"/>
      <c r="K83" s="406"/>
      <c r="L83" s="406"/>
      <c r="M83" s="406"/>
      <c r="N83" s="406"/>
      <c r="O83" s="406"/>
      <c r="P83" s="406"/>
      <c r="Q83" s="406"/>
      <c r="R83" s="406"/>
      <c r="S83" s="391"/>
      <c r="T83" s="398" t="s">
        <v>6</v>
      </c>
      <c r="U83" s="399"/>
      <c r="V83" s="399"/>
      <c r="W83" s="399"/>
      <c r="X83" s="400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</row>
    <row r="84" spans="2:111" s="6" customFormat="1" ht="27.75" customHeight="1" thickBot="1" x14ac:dyDescent="0.25">
      <c r="B84" s="397"/>
      <c r="C84" s="388"/>
      <c r="D84" s="390"/>
      <c r="E84" s="386"/>
      <c r="F84" s="392"/>
      <c r="G84" s="7" t="s">
        <v>103</v>
      </c>
      <c r="H84" s="11" t="s">
        <v>38</v>
      </c>
      <c r="I84" s="9" t="s">
        <v>39</v>
      </c>
      <c r="J84" s="9" t="s">
        <v>40</v>
      </c>
      <c r="K84" s="9" t="s">
        <v>41</v>
      </c>
      <c r="L84" s="9" t="s">
        <v>42</v>
      </c>
      <c r="M84" s="9" t="s">
        <v>43</v>
      </c>
      <c r="N84" s="9" t="s">
        <v>44</v>
      </c>
      <c r="O84" s="9" t="s">
        <v>45</v>
      </c>
      <c r="P84" s="18" t="s">
        <v>29</v>
      </c>
      <c r="Q84" s="9" t="s">
        <v>46</v>
      </c>
      <c r="R84" s="9" t="s">
        <v>47</v>
      </c>
      <c r="S84" s="10">
        <v>50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</row>
    <row r="85" spans="2:111" ht="15" customHeight="1" x14ac:dyDescent="0.15">
      <c r="B85" s="12" t="s">
        <v>64</v>
      </c>
      <c r="C85" s="145"/>
      <c r="D85" s="31"/>
      <c r="E85" s="12"/>
      <c r="F85" s="32"/>
      <c r="G85" s="33"/>
      <c r="H85" s="103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5"/>
      <c r="T85" s="77"/>
      <c r="U85" s="38"/>
      <c r="V85" s="39"/>
      <c r="W85" s="78"/>
      <c r="X85" s="106"/>
    </row>
    <row r="86" spans="2:111" ht="15" customHeight="1" x14ac:dyDescent="0.15">
      <c r="B86" s="13" t="s">
        <v>65</v>
      </c>
      <c r="C86" s="146"/>
      <c r="D86" s="42"/>
      <c r="E86" s="13"/>
      <c r="F86" s="43"/>
      <c r="G86" s="44"/>
      <c r="H86" s="107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9"/>
      <c r="T86" s="81"/>
      <c r="U86" s="49"/>
      <c r="V86" s="50"/>
      <c r="W86" s="82"/>
      <c r="X86" s="110"/>
    </row>
    <row r="87" spans="2:111" ht="15" customHeight="1" x14ac:dyDescent="0.15">
      <c r="B87" s="13" t="s">
        <v>66</v>
      </c>
      <c r="C87" s="146"/>
      <c r="D87" s="42"/>
      <c r="E87" s="13"/>
      <c r="F87" s="43"/>
      <c r="G87" s="44"/>
      <c r="H87" s="107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9"/>
      <c r="T87" s="81"/>
      <c r="U87" s="49"/>
      <c r="V87" s="50"/>
      <c r="W87" s="82"/>
      <c r="X87" s="110"/>
    </row>
    <row r="88" spans="2:111" ht="15" customHeight="1" x14ac:dyDescent="0.15">
      <c r="B88" s="13" t="s">
        <v>67</v>
      </c>
      <c r="C88" s="146"/>
      <c r="D88" s="42"/>
      <c r="E88" s="13"/>
      <c r="F88" s="43"/>
      <c r="G88" s="44"/>
      <c r="H88" s="107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9"/>
      <c r="T88" s="81"/>
      <c r="U88" s="49"/>
      <c r="V88" s="50"/>
      <c r="W88" s="82"/>
      <c r="X88" s="110"/>
    </row>
    <row r="89" spans="2:111" ht="15" customHeight="1" x14ac:dyDescent="0.15">
      <c r="B89" s="13" t="s">
        <v>68</v>
      </c>
      <c r="C89" s="146"/>
      <c r="D89" s="42"/>
      <c r="E89" s="13"/>
      <c r="F89" s="43"/>
      <c r="G89" s="44"/>
      <c r="H89" s="107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9"/>
      <c r="T89" s="81"/>
      <c r="U89" s="49"/>
      <c r="V89" s="50"/>
      <c r="W89" s="82"/>
      <c r="X89" s="110"/>
    </row>
    <row r="90" spans="2:111" ht="15" customHeight="1" x14ac:dyDescent="0.15">
      <c r="B90" s="13" t="s">
        <v>69</v>
      </c>
      <c r="C90" s="146"/>
      <c r="D90" s="42"/>
      <c r="E90" s="13"/>
      <c r="F90" s="43"/>
      <c r="G90" s="44"/>
      <c r="H90" s="107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9"/>
      <c r="T90" s="81"/>
      <c r="U90" s="49"/>
      <c r="V90" s="50"/>
      <c r="W90" s="82"/>
      <c r="X90" s="110"/>
    </row>
    <row r="91" spans="2:111" ht="15" customHeight="1" x14ac:dyDescent="0.15">
      <c r="B91" s="13" t="s">
        <v>70</v>
      </c>
      <c r="C91" s="146"/>
      <c r="D91" s="42"/>
      <c r="E91" s="13"/>
      <c r="F91" s="43"/>
      <c r="G91" s="44"/>
      <c r="H91" s="107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9"/>
      <c r="T91" s="81"/>
      <c r="U91" s="49"/>
      <c r="V91" s="50"/>
      <c r="W91" s="82"/>
      <c r="X91" s="110"/>
    </row>
    <row r="92" spans="2:111" ht="15" customHeight="1" thickBot="1" x14ac:dyDescent="0.2">
      <c r="B92" s="13" t="s">
        <v>71</v>
      </c>
      <c r="C92" s="146"/>
      <c r="D92" s="42"/>
      <c r="E92" s="13"/>
      <c r="F92" s="43"/>
      <c r="G92" s="44"/>
      <c r="H92" s="107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9"/>
      <c r="T92" s="81"/>
      <c r="U92" s="49"/>
      <c r="V92" s="50"/>
      <c r="W92" s="82"/>
      <c r="X92" s="110"/>
    </row>
    <row r="93" spans="2:111" ht="15" customHeight="1" thickBot="1" x14ac:dyDescent="0.25">
      <c r="B93" s="96"/>
      <c r="C93" s="149"/>
      <c r="D93" s="149"/>
      <c r="E93" s="171"/>
      <c r="F93" s="170"/>
      <c r="G93" s="99"/>
      <c r="H93" s="97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98"/>
      <c r="T93" s="89">
        <f>SUM(T85:T92)</f>
        <v>0</v>
      </c>
      <c r="U93" s="69" t="e">
        <f>AVERAGE(U85:U92)</f>
        <v>#DIV/0!</v>
      </c>
      <c r="V93" s="70">
        <f>SUM(V85:V92)</f>
        <v>0</v>
      </c>
      <c r="W93" s="69" t="e">
        <f>AVERAGE(W85:W92)</f>
        <v>#DIV/0!</v>
      </c>
      <c r="X93" s="93" t="e">
        <f>AVERAGE(X85:X92)</f>
        <v>#DIV/0!</v>
      </c>
    </row>
    <row r="94" spans="2:111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6"/>
      <c r="U94" s="177"/>
      <c r="V94" s="176"/>
      <c r="W94" s="177"/>
      <c r="X94" s="179"/>
    </row>
    <row r="95" spans="2:111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6"/>
      <c r="U95" s="177"/>
      <c r="V95" s="176"/>
      <c r="W95" s="177"/>
      <c r="X95" s="179"/>
    </row>
    <row r="96" spans="2:111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</row>
    <row r="97" spans="2:111" ht="66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</row>
    <row r="98" spans="2:111" ht="15" customHeight="1" thickBot="1" x14ac:dyDescent="0.25">
      <c r="B98" s="17" t="s">
        <v>49</v>
      </c>
      <c r="C98" s="17"/>
      <c r="U98" s="90"/>
      <c r="V98" s="90"/>
      <c r="W98" s="90"/>
    </row>
    <row r="99" spans="2:111" ht="13.5" customHeight="1" x14ac:dyDescent="0.2">
      <c r="B99" s="385" t="s">
        <v>1</v>
      </c>
      <c r="C99" s="387" t="s">
        <v>77</v>
      </c>
      <c r="D99" s="389" t="s">
        <v>2</v>
      </c>
      <c r="E99" s="385" t="s">
        <v>24</v>
      </c>
      <c r="F99" s="406" t="s">
        <v>4</v>
      </c>
      <c r="G99" s="389" t="s">
        <v>5</v>
      </c>
      <c r="H99" s="406"/>
      <c r="I99" s="406"/>
      <c r="J99" s="406"/>
      <c r="K99" s="406"/>
      <c r="L99" s="406"/>
      <c r="M99" s="406"/>
      <c r="N99" s="406"/>
      <c r="O99" s="406"/>
      <c r="P99" s="406"/>
      <c r="Q99" s="406"/>
      <c r="R99" s="406"/>
      <c r="S99" s="391"/>
      <c r="T99" s="410" t="s">
        <v>6</v>
      </c>
      <c r="U99" s="399"/>
      <c r="V99" s="399"/>
      <c r="W99" s="399"/>
      <c r="X99" s="400"/>
    </row>
    <row r="100" spans="2:111" s="6" customFormat="1" ht="30.75" customHeight="1" thickBot="1" x14ac:dyDescent="0.25">
      <c r="B100" s="397"/>
      <c r="C100" s="388"/>
      <c r="D100" s="390"/>
      <c r="E100" s="386"/>
      <c r="F100" s="405"/>
      <c r="G100" s="7" t="s">
        <v>103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  <c r="CF100" s="29"/>
      <c r="CG100" s="29"/>
      <c r="CH100" s="29"/>
      <c r="CI100" s="29"/>
      <c r="CJ100" s="29"/>
      <c r="CK100" s="29"/>
      <c r="CL100" s="29"/>
      <c r="CM100" s="29"/>
      <c r="CN100" s="29"/>
      <c r="CO100" s="29"/>
      <c r="CP100" s="29"/>
      <c r="CQ100" s="29"/>
      <c r="CR100" s="29"/>
      <c r="CS100" s="29"/>
      <c r="CT100" s="29"/>
      <c r="CU100" s="29"/>
      <c r="CV100" s="29"/>
      <c r="CW100" s="29"/>
      <c r="CX100" s="29"/>
      <c r="CY100" s="29"/>
      <c r="CZ100" s="29"/>
      <c r="DA100" s="29"/>
      <c r="DB100" s="29"/>
      <c r="DC100" s="29"/>
      <c r="DD100" s="29"/>
      <c r="DE100" s="29"/>
      <c r="DF100" s="29"/>
      <c r="DG100" s="29"/>
    </row>
    <row r="101" spans="2:111" s="6" customFormat="1" ht="15" customHeight="1" x14ac:dyDescent="0.2">
      <c r="B101" s="12" t="s">
        <v>64</v>
      </c>
      <c r="C101" s="145"/>
      <c r="D101" s="31"/>
      <c r="E101" s="12"/>
      <c r="F101" s="32"/>
      <c r="G101" s="33"/>
      <c r="H101" s="112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4"/>
      <c r="T101" s="77"/>
      <c r="U101" s="38"/>
      <c r="V101" s="39"/>
      <c r="W101" s="78"/>
      <c r="X101" s="7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</row>
    <row r="102" spans="2:111" ht="15" customHeight="1" x14ac:dyDescent="0.2">
      <c r="B102" s="13" t="s">
        <v>65</v>
      </c>
      <c r="C102" s="146"/>
      <c r="D102" s="42"/>
      <c r="E102" s="13"/>
      <c r="F102" s="43"/>
      <c r="G102" s="44"/>
      <c r="H102" s="107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9"/>
      <c r="T102" s="81"/>
      <c r="U102" s="49"/>
      <c r="V102" s="50"/>
      <c r="W102" s="82"/>
      <c r="X102" s="83"/>
    </row>
    <row r="103" spans="2:111" ht="15" customHeight="1" x14ac:dyDescent="0.2">
      <c r="B103" s="13" t="s">
        <v>66</v>
      </c>
      <c r="C103" s="146"/>
      <c r="D103" s="42"/>
      <c r="E103" s="13"/>
      <c r="F103" s="43"/>
      <c r="G103" s="44"/>
      <c r="H103" s="10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9"/>
      <c r="T103" s="81"/>
      <c r="U103" s="49"/>
      <c r="V103" s="50"/>
      <c r="W103" s="82"/>
      <c r="X103" s="83"/>
    </row>
    <row r="104" spans="2:111" ht="15" customHeight="1" x14ac:dyDescent="0.2">
      <c r="B104" s="13" t="s">
        <v>67</v>
      </c>
      <c r="C104" s="146"/>
      <c r="D104" s="42"/>
      <c r="E104" s="13"/>
      <c r="F104" s="43"/>
      <c r="G104" s="44"/>
      <c r="H104" s="107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9"/>
      <c r="T104" s="81"/>
      <c r="U104" s="49"/>
      <c r="V104" s="50"/>
      <c r="W104" s="82"/>
      <c r="X104" s="83"/>
    </row>
    <row r="105" spans="2:111" ht="15" customHeight="1" x14ac:dyDescent="0.2">
      <c r="B105" s="13" t="s">
        <v>68</v>
      </c>
      <c r="C105" s="146"/>
      <c r="D105" s="42"/>
      <c r="E105" s="13"/>
      <c r="F105" s="43"/>
      <c r="G105" s="44"/>
      <c r="H105" s="107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9"/>
      <c r="T105" s="81"/>
      <c r="U105" s="49"/>
      <c r="V105" s="50"/>
      <c r="W105" s="82"/>
      <c r="X105" s="83"/>
    </row>
    <row r="106" spans="2:111" ht="15" customHeight="1" x14ac:dyDescent="0.2">
      <c r="B106" s="13" t="s">
        <v>69</v>
      </c>
      <c r="C106" s="146"/>
      <c r="D106" s="42"/>
      <c r="E106" s="13"/>
      <c r="F106" s="43"/>
      <c r="G106" s="44"/>
      <c r="H106" s="107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9"/>
      <c r="T106" s="81"/>
      <c r="U106" s="49"/>
      <c r="V106" s="50"/>
      <c r="W106" s="82"/>
      <c r="X106" s="83"/>
    </row>
    <row r="107" spans="2:111" ht="15" customHeight="1" x14ac:dyDescent="0.2">
      <c r="B107" s="13" t="s">
        <v>70</v>
      </c>
      <c r="C107" s="146"/>
      <c r="D107" s="42"/>
      <c r="E107" s="13"/>
      <c r="F107" s="43"/>
      <c r="G107" s="44"/>
      <c r="H107" s="107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9"/>
      <c r="T107" s="81"/>
      <c r="U107" s="49"/>
      <c r="V107" s="50"/>
      <c r="W107" s="82"/>
      <c r="X107" s="83"/>
    </row>
    <row r="108" spans="2:111" ht="15" customHeight="1" thickBot="1" x14ac:dyDescent="0.25">
      <c r="B108" s="13" t="s">
        <v>71</v>
      </c>
      <c r="C108" s="146"/>
      <c r="D108" s="42"/>
      <c r="E108" s="13"/>
      <c r="F108" s="43"/>
      <c r="G108" s="44"/>
      <c r="H108" s="107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9"/>
      <c r="T108" s="81"/>
      <c r="U108" s="49"/>
      <c r="V108" s="50"/>
      <c r="W108" s="82"/>
      <c r="X108" s="83"/>
    </row>
    <row r="109" spans="2:111" ht="15" customHeight="1" thickBot="1" x14ac:dyDescent="0.25">
      <c r="B109" s="96"/>
      <c r="C109" s="149"/>
      <c r="D109" s="149"/>
      <c r="E109" s="171"/>
      <c r="F109" s="170"/>
      <c r="G109" s="115"/>
      <c r="H109" s="97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98"/>
      <c r="T109" s="89">
        <f>SUM(T101:T108)</f>
        <v>0</v>
      </c>
      <c r="U109" s="69" t="e">
        <f>AVERAGE(U101:U108)</f>
        <v>#DIV/0!</v>
      </c>
      <c r="V109" s="70">
        <f>SUM(V101:V108)</f>
        <v>0</v>
      </c>
      <c r="W109" s="69" t="e">
        <f>AVERAGE(W101:W108)</f>
        <v>#DIV/0!</v>
      </c>
      <c r="X109" s="93" t="e">
        <f>AVERAGE(X101:X108)</f>
        <v>#DIV/0!</v>
      </c>
    </row>
    <row r="110" spans="2:111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6"/>
      <c r="U110" s="177"/>
      <c r="V110" s="176"/>
      <c r="W110" s="177"/>
      <c r="X110" s="179"/>
    </row>
    <row r="111" spans="2:111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76"/>
      <c r="U111" s="177"/>
      <c r="V111" s="176"/>
      <c r="W111" s="177"/>
      <c r="X111" s="179"/>
    </row>
    <row r="112" spans="2:111" ht="15" customHeight="1" x14ac:dyDescent="0.2">
      <c r="B112" s="3"/>
      <c r="C112" s="3"/>
      <c r="D112" s="3"/>
      <c r="E112" s="15"/>
      <c r="F112" s="3"/>
      <c r="G112" s="187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76"/>
      <c r="U112" s="177"/>
      <c r="V112" s="176"/>
      <c r="W112" s="177"/>
      <c r="X112" s="179"/>
    </row>
    <row r="113" spans="2:111" ht="15" customHeight="1" x14ac:dyDescent="0.2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16"/>
      <c r="V113" s="16"/>
      <c r="W113" s="16"/>
      <c r="X113" s="4"/>
    </row>
    <row r="114" spans="2:111" ht="16.5" customHeight="1" thickBot="1" x14ac:dyDescent="0.25">
      <c r="B114" s="17" t="s">
        <v>73</v>
      </c>
      <c r="C114" s="17"/>
      <c r="U114" s="74"/>
      <c r="V114" s="74"/>
      <c r="W114" s="74"/>
      <c r="X114" s="116"/>
    </row>
    <row r="115" spans="2:111" ht="11.25" customHeight="1" x14ac:dyDescent="0.2">
      <c r="B115" s="385" t="s">
        <v>1</v>
      </c>
      <c r="C115" s="387" t="s">
        <v>77</v>
      </c>
      <c r="D115" s="389" t="s">
        <v>2</v>
      </c>
      <c r="E115" s="385" t="s">
        <v>24</v>
      </c>
      <c r="F115" s="406" t="s">
        <v>4</v>
      </c>
      <c r="G115" s="402" t="s">
        <v>5</v>
      </c>
      <c r="H115" s="403"/>
      <c r="I115" s="403"/>
      <c r="J115" s="403"/>
      <c r="K115" s="403"/>
      <c r="L115" s="403"/>
      <c r="M115" s="403"/>
      <c r="N115" s="403"/>
      <c r="O115" s="403"/>
      <c r="P115" s="403"/>
      <c r="Q115" s="403"/>
      <c r="R115" s="403"/>
      <c r="S115" s="411"/>
      <c r="T115" s="398" t="s">
        <v>6</v>
      </c>
      <c r="U115" s="399"/>
      <c r="V115" s="399"/>
      <c r="W115" s="399"/>
      <c r="X115" s="400"/>
    </row>
    <row r="116" spans="2:111" s="6" customFormat="1" ht="30.75" customHeight="1" thickBot="1" x14ac:dyDescent="0.25">
      <c r="B116" s="397"/>
      <c r="C116" s="388"/>
      <c r="D116" s="390"/>
      <c r="E116" s="386"/>
      <c r="F116" s="405"/>
      <c r="G116" s="7" t="s">
        <v>103</v>
      </c>
      <c r="H116" s="22" t="s">
        <v>38</v>
      </c>
      <c r="I116" s="19" t="s">
        <v>39</v>
      </c>
      <c r="J116" s="19" t="s">
        <v>40</v>
      </c>
      <c r="K116" s="19" t="s">
        <v>41</v>
      </c>
      <c r="L116" s="19" t="s">
        <v>42</v>
      </c>
      <c r="M116" s="19" t="s">
        <v>43</v>
      </c>
      <c r="N116" s="19" t="s">
        <v>44</v>
      </c>
      <c r="O116" s="19" t="s">
        <v>45</v>
      </c>
      <c r="P116" s="20" t="s">
        <v>29</v>
      </c>
      <c r="Q116" s="19" t="s">
        <v>46</v>
      </c>
      <c r="R116" s="19" t="s">
        <v>47</v>
      </c>
      <c r="S116" s="21">
        <v>50</v>
      </c>
      <c r="T116" s="9" t="s">
        <v>18</v>
      </c>
      <c r="U116" s="9" t="s">
        <v>19</v>
      </c>
      <c r="V116" s="11" t="s">
        <v>20</v>
      </c>
      <c r="W116" s="194" t="s">
        <v>21</v>
      </c>
      <c r="X116" s="195" t="s">
        <v>22</v>
      </c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  <c r="CF116" s="29"/>
      <c r="CG116" s="29"/>
      <c r="CH116" s="29"/>
      <c r="CI116" s="29"/>
      <c r="CJ116" s="29"/>
      <c r="CK116" s="29"/>
      <c r="CL116" s="29"/>
      <c r="CM116" s="29"/>
      <c r="CN116" s="29"/>
      <c r="CO116" s="29"/>
      <c r="CP116" s="29"/>
      <c r="CQ116" s="29"/>
      <c r="CR116" s="29"/>
      <c r="CS116" s="29"/>
      <c r="CT116" s="29"/>
      <c r="CU116" s="29"/>
      <c r="CV116" s="29"/>
      <c r="CW116" s="29"/>
      <c r="CX116" s="29"/>
      <c r="CY116" s="29"/>
      <c r="CZ116" s="29"/>
      <c r="DA116" s="29"/>
      <c r="DB116" s="29"/>
      <c r="DC116" s="29"/>
      <c r="DD116" s="29"/>
      <c r="DE116" s="29"/>
      <c r="DF116" s="29"/>
      <c r="DG116" s="29"/>
    </row>
    <row r="117" spans="2:111" s="6" customFormat="1" ht="15" customHeight="1" x14ac:dyDescent="0.2">
      <c r="B117" s="12" t="s">
        <v>64</v>
      </c>
      <c r="C117" s="145"/>
      <c r="D117" s="31"/>
      <c r="E117" s="117"/>
      <c r="F117" s="100"/>
      <c r="G117" s="33"/>
      <c r="H117" s="118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20"/>
      <c r="T117" s="121"/>
      <c r="U117" s="122"/>
      <c r="V117" s="123"/>
      <c r="W117" s="124"/>
      <c r="X117" s="7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  <c r="CF117" s="29"/>
      <c r="CG117" s="29"/>
      <c r="CH117" s="29"/>
      <c r="CI117" s="29"/>
      <c r="CJ117" s="29"/>
      <c r="CK117" s="29"/>
      <c r="CL117" s="29"/>
      <c r="CM117" s="29"/>
      <c r="CN117" s="29"/>
      <c r="CO117" s="29"/>
      <c r="CP117" s="29"/>
      <c r="CQ117" s="29"/>
      <c r="CR117" s="29"/>
      <c r="CS117" s="29"/>
      <c r="CT117" s="29"/>
      <c r="CU117" s="29"/>
      <c r="CV117" s="29"/>
      <c r="CW117" s="29"/>
      <c r="CX117" s="29"/>
      <c r="CY117" s="29"/>
      <c r="CZ117" s="29"/>
      <c r="DA117" s="29"/>
      <c r="DB117" s="29"/>
      <c r="DC117" s="29"/>
      <c r="DD117" s="29"/>
      <c r="DE117" s="29"/>
      <c r="DF117" s="29"/>
      <c r="DG117" s="29"/>
    </row>
    <row r="118" spans="2:111" ht="15" customHeight="1" x14ac:dyDescent="0.2">
      <c r="B118" s="13" t="s">
        <v>65</v>
      </c>
      <c r="C118" s="146"/>
      <c r="D118" s="42"/>
      <c r="E118" s="125"/>
      <c r="F118" s="101"/>
      <c r="G118" s="44"/>
      <c r="H118" s="126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8"/>
      <c r="T118" s="129"/>
      <c r="U118" s="130"/>
      <c r="V118" s="131"/>
      <c r="W118" s="132"/>
      <c r="X118" s="83"/>
    </row>
    <row r="119" spans="2:111" ht="15" customHeight="1" x14ac:dyDescent="0.2">
      <c r="B119" s="13" t="s">
        <v>66</v>
      </c>
      <c r="C119" s="146"/>
      <c r="D119" s="42"/>
      <c r="E119" s="125"/>
      <c r="F119" s="101"/>
      <c r="G119" s="44"/>
      <c r="H119" s="126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8"/>
      <c r="T119" s="129"/>
      <c r="U119" s="130"/>
      <c r="V119" s="131"/>
      <c r="W119" s="132"/>
      <c r="X119" s="83"/>
    </row>
    <row r="120" spans="2:111" ht="15" customHeight="1" x14ac:dyDescent="0.2">
      <c r="B120" s="13" t="s">
        <v>67</v>
      </c>
      <c r="C120" s="146"/>
      <c r="D120" s="42"/>
      <c r="E120" s="125"/>
      <c r="F120" s="101"/>
      <c r="G120" s="44"/>
      <c r="H120" s="126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8"/>
      <c r="T120" s="129"/>
      <c r="U120" s="130"/>
      <c r="V120" s="131"/>
      <c r="W120" s="132"/>
      <c r="X120" s="83"/>
    </row>
    <row r="121" spans="2:111" ht="15" customHeight="1" x14ac:dyDescent="0.2">
      <c r="B121" s="13" t="s">
        <v>68</v>
      </c>
      <c r="C121" s="146"/>
      <c r="D121" s="42"/>
      <c r="E121" s="125"/>
      <c r="F121" s="101"/>
      <c r="G121" s="44"/>
      <c r="H121" s="126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8"/>
      <c r="T121" s="129"/>
      <c r="U121" s="130"/>
      <c r="V121" s="131"/>
      <c r="W121" s="132"/>
      <c r="X121" s="83"/>
    </row>
    <row r="122" spans="2:111" ht="15" customHeight="1" x14ac:dyDescent="0.2">
      <c r="B122" s="13" t="s">
        <v>69</v>
      </c>
      <c r="C122" s="146"/>
      <c r="D122" s="42"/>
      <c r="E122" s="125"/>
      <c r="F122" s="101"/>
      <c r="G122" s="44"/>
      <c r="H122" s="126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8"/>
      <c r="T122" s="129"/>
      <c r="U122" s="130"/>
      <c r="V122" s="131"/>
      <c r="W122" s="132"/>
      <c r="X122" s="83"/>
    </row>
    <row r="123" spans="2:111" ht="15" customHeight="1" x14ac:dyDescent="0.2">
      <c r="B123" s="13" t="s">
        <v>70</v>
      </c>
      <c r="C123" s="146"/>
      <c r="D123" s="42"/>
      <c r="E123" s="125"/>
      <c r="F123" s="101"/>
      <c r="G123" s="44"/>
      <c r="H123" s="126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8"/>
      <c r="T123" s="129"/>
      <c r="U123" s="130"/>
      <c r="V123" s="131"/>
      <c r="W123" s="132"/>
      <c r="X123" s="83"/>
    </row>
    <row r="124" spans="2:111" ht="15" customHeight="1" thickBot="1" x14ac:dyDescent="0.25">
      <c r="B124" s="13" t="s">
        <v>71</v>
      </c>
      <c r="C124" s="146"/>
      <c r="D124" s="42"/>
      <c r="E124" s="125"/>
      <c r="F124" s="101"/>
      <c r="G124" s="44"/>
      <c r="H124" s="126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8"/>
      <c r="T124" s="129"/>
      <c r="U124" s="130"/>
      <c r="V124" s="131"/>
      <c r="W124" s="132"/>
      <c r="X124" s="83"/>
    </row>
    <row r="125" spans="2:111" ht="15" customHeight="1" thickBot="1" x14ac:dyDescent="0.25">
      <c r="B125" s="133"/>
      <c r="C125" s="150"/>
      <c r="D125" s="150"/>
      <c r="E125" s="189"/>
      <c r="F125" s="188"/>
      <c r="G125" s="115"/>
      <c r="H125" s="134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6"/>
      <c r="T125" s="137">
        <f>SUM(T117:T124)</f>
        <v>0</v>
      </c>
      <c r="U125" s="138" t="e">
        <f>AVERAGE(U117:U124)</f>
        <v>#DIV/0!</v>
      </c>
      <c r="V125" s="139">
        <f>SUM(V117:V124)</f>
        <v>0</v>
      </c>
      <c r="W125" s="138" t="e">
        <f>AVERAGE(W117:W124)</f>
        <v>#DIV/0!</v>
      </c>
      <c r="X125" s="93" t="e">
        <f>AVERAGE(X117:X124)</f>
        <v>#DIV/0!</v>
      </c>
    </row>
    <row r="126" spans="2:111" ht="15" customHeight="1" x14ac:dyDescent="0.2"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98"/>
      <c r="U126" s="199"/>
      <c r="V126" s="198"/>
      <c r="W126" s="199"/>
      <c r="X126" s="179"/>
    </row>
    <row r="127" spans="2:111" ht="15" customHeight="1" x14ac:dyDescent="0.2"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98"/>
      <c r="U127" s="199"/>
      <c r="V127" s="198"/>
      <c r="W127" s="199"/>
      <c r="X127" s="179"/>
    </row>
    <row r="128" spans="2:111" ht="59.25" customHeight="1" x14ac:dyDescent="0.2"/>
    <row r="129" spans="2:25" ht="11.25" customHeight="1" x14ac:dyDescent="0.2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16"/>
      <c r="V129" s="16"/>
      <c r="W129" s="16"/>
      <c r="X129" s="4"/>
    </row>
    <row r="130" spans="2:25" ht="12.95" customHeight="1" thickBot="1" x14ac:dyDescent="0.25">
      <c r="B130" s="401" t="s">
        <v>50</v>
      </c>
      <c r="C130" s="401"/>
      <c r="U130" s="90"/>
      <c r="V130" s="90"/>
      <c r="W130" s="90"/>
    </row>
    <row r="131" spans="2:25" ht="12.95" customHeight="1" thickBot="1" x14ac:dyDescent="0.25">
      <c r="B131" s="389" t="s">
        <v>1</v>
      </c>
      <c r="C131" s="387" t="s">
        <v>77</v>
      </c>
      <c r="D131" s="389" t="s">
        <v>51</v>
      </c>
      <c r="E131" s="385" t="s">
        <v>4</v>
      </c>
      <c r="F131" s="406" t="s">
        <v>3</v>
      </c>
      <c r="G131" s="398" t="s">
        <v>52</v>
      </c>
      <c r="H131" s="399"/>
      <c r="I131" s="399"/>
      <c r="J131" s="399"/>
      <c r="K131" s="399"/>
      <c r="L131" s="399"/>
      <c r="M131" s="399"/>
      <c r="N131" s="399"/>
      <c r="O131" s="399"/>
      <c r="P131" s="400"/>
      <c r="Q131" s="393" t="s">
        <v>53</v>
      </c>
      <c r="R131" s="394"/>
      <c r="S131" s="394"/>
      <c r="T131" s="394"/>
      <c r="U131" s="394"/>
      <c r="V131" s="394"/>
      <c r="W131" s="395"/>
      <c r="X131" s="24"/>
      <c r="Y131" s="24"/>
    </row>
    <row r="132" spans="2:25" ht="27" customHeight="1" thickBot="1" x14ac:dyDescent="0.25">
      <c r="B132" s="396"/>
      <c r="C132" s="388"/>
      <c r="D132" s="390"/>
      <c r="E132" s="397"/>
      <c r="F132" s="405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  <c r="X132" s="24"/>
      <c r="Y132" s="24"/>
    </row>
    <row r="133" spans="2:25" ht="15" customHeight="1" x14ac:dyDescent="0.2">
      <c r="B133" s="12" t="s">
        <v>75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83"/>
      <c r="R133" s="184"/>
      <c r="S133" s="184"/>
      <c r="T133" s="184"/>
      <c r="U133" s="185"/>
      <c r="V133" s="185"/>
      <c r="W133" s="186"/>
      <c r="X133" s="24"/>
      <c r="Y133" s="24"/>
    </row>
    <row r="134" spans="2:25" ht="15" customHeight="1" x14ac:dyDescent="0.2">
      <c r="B134" s="13" t="s">
        <v>76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  <c r="X134" s="24"/>
      <c r="Y134" s="24"/>
    </row>
    <row r="135" spans="2:25" ht="15" customHeight="1" x14ac:dyDescent="0.2">
      <c r="B135" s="13" t="s">
        <v>66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  <c r="X135" s="24"/>
      <c r="Y135" s="24"/>
    </row>
    <row r="136" spans="2:25" ht="15" customHeight="1" x14ac:dyDescent="0.2">
      <c r="B136" s="13" t="s">
        <v>67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  <c r="X136" s="24"/>
      <c r="Y136" s="24"/>
    </row>
    <row r="137" spans="2:25" ht="15" customHeight="1" x14ac:dyDescent="0.2">
      <c r="B137" s="13" t="s">
        <v>68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  <c r="X137" s="24"/>
      <c r="Y137" s="24"/>
    </row>
    <row r="138" spans="2:25" ht="15" customHeight="1" x14ac:dyDescent="0.2">
      <c r="B138" s="13" t="s">
        <v>69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  <c r="X138" s="24"/>
      <c r="Y138" s="24"/>
    </row>
    <row r="139" spans="2:25" ht="15" customHeight="1" x14ac:dyDescent="0.2">
      <c r="B139" s="13" t="s">
        <v>70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  <c r="X139" s="24"/>
      <c r="Y139" s="24"/>
    </row>
    <row r="140" spans="2:25" ht="15" customHeight="1" thickBot="1" x14ac:dyDescent="0.25">
      <c r="B140" s="14" t="s">
        <v>71</v>
      </c>
      <c r="C140" s="147"/>
      <c r="D140" s="144"/>
      <c r="E140" s="14"/>
      <c r="F140" s="54"/>
      <c r="G140" s="56"/>
      <c r="H140" s="57"/>
      <c r="I140" s="57"/>
      <c r="J140" s="57"/>
      <c r="K140" s="57"/>
      <c r="L140" s="57"/>
      <c r="M140" s="57"/>
      <c r="N140" s="57"/>
      <c r="O140" s="57"/>
      <c r="P140" s="165"/>
      <c r="Q140" s="166"/>
      <c r="R140" s="167"/>
      <c r="S140" s="167"/>
      <c r="T140" s="167"/>
      <c r="U140" s="168"/>
      <c r="V140" s="168"/>
      <c r="W140" s="169"/>
      <c r="X140" s="24"/>
      <c r="Y140" s="24"/>
    </row>
    <row r="147" spans="111:111" ht="12.95" customHeight="1" x14ac:dyDescent="0.2">
      <c r="DG147" s="1"/>
    </row>
    <row r="148" spans="111:111" ht="12.95" customHeight="1" x14ac:dyDescent="0.2">
      <c r="DG148" s="1"/>
    </row>
    <row r="149" spans="111:111" ht="12.95" customHeight="1" x14ac:dyDescent="0.2">
      <c r="DG149" s="1"/>
    </row>
    <row r="150" spans="111:111" ht="12.95" customHeight="1" x14ac:dyDescent="0.2">
      <c r="DG150" s="1"/>
    </row>
    <row r="151" spans="111:111" ht="12.95" customHeight="1" x14ac:dyDescent="0.2">
      <c r="DG151" s="1"/>
    </row>
    <row r="152" spans="111:111" ht="12.95" customHeight="1" x14ac:dyDescent="0.2">
      <c r="DG152" s="1"/>
    </row>
    <row r="153" spans="111:111" ht="12.95" customHeight="1" x14ac:dyDescent="0.2">
      <c r="DG153" s="1"/>
    </row>
    <row r="154" spans="111:111" ht="12.95" customHeight="1" x14ac:dyDescent="0.2">
      <c r="DG154" s="1"/>
    </row>
    <row r="155" spans="111:111" ht="12.95" customHeight="1" x14ac:dyDescent="0.2">
      <c r="DG155" s="1"/>
    </row>
    <row r="156" spans="111:111" ht="12.95" customHeight="1" x14ac:dyDescent="0.2">
      <c r="DG156" s="1"/>
    </row>
    <row r="157" spans="111:111" ht="12.95" customHeight="1" x14ac:dyDescent="0.2">
      <c r="DG157" s="1"/>
    </row>
    <row r="158" spans="111:111" ht="12.95" customHeight="1" x14ac:dyDescent="0.2">
      <c r="DG158" s="1"/>
    </row>
    <row r="159" spans="111:111" ht="12.95" customHeight="1" x14ac:dyDescent="0.2">
      <c r="DG159" s="1"/>
    </row>
    <row r="160" spans="111:111" ht="12.95" customHeight="1" x14ac:dyDescent="0.2">
      <c r="DG160" s="1"/>
    </row>
    <row r="161" spans="111:111" ht="12.95" customHeight="1" x14ac:dyDescent="0.2">
      <c r="DG161" s="1"/>
    </row>
    <row r="162" spans="111:111" ht="12.95" customHeight="1" x14ac:dyDescent="0.2">
      <c r="DG162" s="1"/>
    </row>
  </sheetData>
  <sheetProtection autoFilter="0"/>
  <mergeCells count="63">
    <mergeCell ref="T115:X115"/>
    <mergeCell ref="B130:C130"/>
    <mergeCell ref="B131:B132"/>
    <mergeCell ref="C131:C132"/>
    <mergeCell ref="D131:D132"/>
    <mergeCell ref="E131:E132"/>
    <mergeCell ref="F131:F132"/>
    <mergeCell ref="G131:P131"/>
    <mergeCell ref="Q131:W131"/>
    <mergeCell ref="B115:B116"/>
    <mergeCell ref="C115:C116"/>
    <mergeCell ref="D115:D116"/>
    <mergeCell ref="E115:E116"/>
    <mergeCell ref="F115:F116"/>
    <mergeCell ref="G115:S115"/>
    <mergeCell ref="T83:X83"/>
    <mergeCell ref="B99:B100"/>
    <mergeCell ref="C99:C100"/>
    <mergeCell ref="D99:D100"/>
    <mergeCell ref="E99:E100"/>
    <mergeCell ref="F99:F100"/>
    <mergeCell ref="G99:S99"/>
    <mergeCell ref="T99:X99"/>
    <mergeCell ref="B83:B84"/>
    <mergeCell ref="C83:C84"/>
    <mergeCell ref="D83:D84"/>
    <mergeCell ref="E83:E84"/>
    <mergeCell ref="F83:F84"/>
    <mergeCell ref="G83:S83"/>
    <mergeCell ref="T51:X51"/>
    <mergeCell ref="B67:B68"/>
    <mergeCell ref="C67:C68"/>
    <mergeCell ref="D67:D68"/>
    <mergeCell ref="E67:E68"/>
    <mergeCell ref="F67:F68"/>
    <mergeCell ref="G67:S67"/>
    <mergeCell ref="T67:X67"/>
    <mergeCell ref="B51:B52"/>
    <mergeCell ref="C51:C52"/>
    <mergeCell ref="D51:D52"/>
    <mergeCell ref="E51:E52"/>
    <mergeCell ref="F51:F52"/>
    <mergeCell ref="G51:S51"/>
    <mergeCell ref="T19:X19"/>
    <mergeCell ref="B35:B36"/>
    <mergeCell ref="C35:C36"/>
    <mergeCell ref="D35:D36"/>
    <mergeCell ref="E35:E36"/>
    <mergeCell ref="F35:F36"/>
    <mergeCell ref="G35:S35"/>
    <mergeCell ref="T35:X35"/>
    <mergeCell ref="B19:B20"/>
    <mergeCell ref="C19:C20"/>
    <mergeCell ref="D19:D20"/>
    <mergeCell ref="E19:E20"/>
    <mergeCell ref="F19:F20"/>
    <mergeCell ref="G19:S19"/>
    <mergeCell ref="B1:X1"/>
    <mergeCell ref="B3:B4"/>
    <mergeCell ref="C3:C4"/>
    <mergeCell ref="D3:D4"/>
    <mergeCell ref="E3:E4"/>
    <mergeCell ref="F3:F4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A069-9C10-4319-B242-CD8D075C1041}">
  <sheetPr>
    <tabColor theme="4" tint="-0.249977111117893"/>
  </sheetPr>
  <dimension ref="A1:DI181"/>
  <sheetViews>
    <sheetView topLeftCell="A114" zoomScaleNormal="100" zoomScaleSheetLayoutView="100" workbookViewId="0">
      <selection activeCell="B131" sqref="B131:W141"/>
    </sheetView>
  </sheetViews>
  <sheetFormatPr defaultColWidth="9" defaultRowHeight="12.95" customHeight="1" x14ac:dyDescent="0.2"/>
  <cols>
    <col min="1" max="1" width="0.75" style="1" customWidth="1"/>
    <col min="2" max="3" width="3.625" style="1" customWidth="1"/>
    <col min="4" max="4" width="4.5" style="1" customWidth="1"/>
    <col min="5" max="5" width="5.375" style="1" customWidth="1"/>
    <col min="6" max="6" width="3.5" style="1" customWidth="1"/>
    <col min="7" max="7" width="5.25" style="1" customWidth="1"/>
    <col min="8" max="18" width="4" style="1" customWidth="1"/>
    <col min="19" max="19" width="4.25" style="1" customWidth="1"/>
    <col min="20" max="20" width="5.125" style="1" customWidth="1"/>
    <col min="21" max="21" width="5.5" style="1" customWidth="1"/>
    <col min="22" max="22" width="5.375" style="1" customWidth="1"/>
    <col min="23" max="23" width="6.375" style="1" customWidth="1"/>
    <col min="24" max="24" width="5.375" style="91" customWidth="1"/>
    <col min="25" max="25" width="6.625" style="1" customWidth="1"/>
    <col min="26" max="113" width="9" style="24"/>
    <col min="114" max="16384" width="9" style="1"/>
  </cols>
  <sheetData>
    <row r="1" spans="2:113" ht="17.25" customHeight="1" x14ac:dyDescent="0.2">
      <c r="B1" s="384" t="s">
        <v>100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384"/>
      <c r="Y1" s="201"/>
    </row>
    <row r="2" spans="2:113" s="5" customFormat="1" ht="15" customHeight="1" thickBot="1" x14ac:dyDescent="0.25">
      <c r="B2" s="2" t="s">
        <v>0</v>
      </c>
      <c r="C2" s="2"/>
      <c r="V2" s="25"/>
      <c r="W2" s="26"/>
      <c r="X2" s="27"/>
      <c r="Y2" s="200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</row>
    <row r="3" spans="2:113" s="6" customFormat="1" ht="13.5" customHeight="1" x14ac:dyDescent="0.2">
      <c r="B3" s="385" t="s">
        <v>1</v>
      </c>
      <c r="C3" s="387" t="s">
        <v>77</v>
      </c>
      <c r="D3" s="389" t="s">
        <v>2</v>
      </c>
      <c r="E3" s="385" t="s">
        <v>3</v>
      </c>
      <c r="F3" s="391" t="s">
        <v>4</v>
      </c>
      <c r="G3" s="389" t="s">
        <v>5</v>
      </c>
      <c r="H3" s="406"/>
      <c r="I3" s="406"/>
      <c r="J3" s="406"/>
      <c r="K3" s="406"/>
      <c r="L3" s="406"/>
      <c r="M3" s="406"/>
      <c r="N3" s="406"/>
      <c r="O3" s="406"/>
      <c r="P3" s="406"/>
      <c r="Q3" s="406"/>
      <c r="R3" s="406"/>
      <c r="S3" s="391"/>
      <c r="T3" s="410" t="s">
        <v>6</v>
      </c>
      <c r="U3" s="399"/>
      <c r="V3" s="399"/>
      <c r="W3" s="399"/>
      <c r="X3" s="400"/>
      <c r="Y3" s="201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</row>
    <row r="4" spans="2:113" s="6" customFormat="1" ht="40.5" customHeight="1" thickBot="1" x14ac:dyDescent="0.25">
      <c r="B4" s="386"/>
      <c r="C4" s="388"/>
      <c r="D4" s="390"/>
      <c r="E4" s="386"/>
      <c r="F4" s="392"/>
      <c r="G4" s="7" t="s">
        <v>103</v>
      </c>
      <c r="H4" s="8" t="s">
        <v>7</v>
      </c>
      <c r="I4" s="9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9" t="s">
        <v>13</v>
      </c>
      <c r="O4" s="9" t="s">
        <v>14</v>
      </c>
      <c r="P4" s="9" t="s">
        <v>15</v>
      </c>
      <c r="Q4" s="9" t="s">
        <v>16</v>
      </c>
      <c r="R4" s="9" t="s">
        <v>17</v>
      </c>
      <c r="S4" s="10">
        <v>120</v>
      </c>
      <c r="T4" s="9" t="s">
        <v>18</v>
      </c>
      <c r="U4" s="9" t="s">
        <v>19</v>
      </c>
      <c r="V4" s="11" t="s">
        <v>20</v>
      </c>
      <c r="W4" s="194" t="s">
        <v>21</v>
      </c>
      <c r="X4" s="195" t="s">
        <v>22</v>
      </c>
      <c r="Y4" s="200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</row>
    <row r="5" spans="2:113" ht="14.25" customHeight="1" x14ac:dyDescent="0.2">
      <c r="B5" s="12" t="s">
        <v>88</v>
      </c>
      <c r="C5" s="145"/>
      <c r="D5" s="31"/>
      <c r="E5" s="12"/>
      <c r="F5" s="32"/>
      <c r="G5" s="33"/>
      <c r="H5" s="34"/>
      <c r="I5" s="35"/>
      <c r="J5" s="35"/>
      <c r="K5" s="35"/>
      <c r="L5" s="35"/>
      <c r="M5" s="35"/>
      <c r="N5" s="35"/>
      <c r="O5" s="35"/>
      <c r="P5" s="35"/>
      <c r="Q5" s="35"/>
      <c r="R5" s="35"/>
      <c r="S5" s="36"/>
      <c r="T5" s="37"/>
      <c r="U5" s="38"/>
      <c r="V5" s="39"/>
      <c r="W5" s="40"/>
      <c r="X5" s="41"/>
      <c r="Y5" s="201"/>
    </row>
    <row r="6" spans="2:113" ht="14.25" customHeight="1" x14ac:dyDescent="0.2">
      <c r="B6" s="13" t="s">
        <v>89</v>
      </c>
      <c r="C6" s="146"/>
      <c r="D6" s="42"/>
      <c r="E6" s="13"/>
      <c r="F6" s="43"/>
      <c r="G6" s="44"/>
      <c r="H6" s="45"/>
      <c r="I6" s="46"/>
      <c r="J6" s="46"/>
      <c r="K6" s="46"/>
      <c r="L6" s="46"/>
      <c r="M6" s="46"/>
      <c r="N6" s="46"/>
      <c r="O6" s="46"/>
      <c r="P6" s="46"/>
      <c r="Q6" s="46"/>
      <c r="R6" s="46"/>
      <c r="S6" s="47"/>
      <c r="T6" s="48"/>
      <c r="U6" s="49"/>
      <c r="V6" s="50"/>
      <c r="W6" s="51"/>
      <c r="X6" s="52"/>
      <c r="Y6" s="200"/>
    </row>
    <row r="7" spans="2:113" ht="14.25" customHeight="1" x14ac:dyDescent="0.2">
      <c r="B7" s="13" t="s">
        <v>90</v>
      </c>
      <c r="C7" s="146"/>
      <c r="D7" s="42"/>
      <c r="E7" s="13"/>
      <c r="F7" s="43"/>
      <c r="G7" s="44"/>
      <c r="H7" s="45"/>
      <c r="I7" s="46"/>
      <c r="J7" s="46"/>
      <c r="K7" s="46"/>
      <c r="L7" s="46"/>
      <c r="M7" s="46"/>
      <c r="N7" s="46"/>
      <c r="O7" s="46"/>
      <c r="P7" s="46"/>
      <c r="Q7" s="46"/>
      <c r="R7" s="46"/>
      <c r="S7" s="47"/>
      <c r="T7" s="48"/>
      <c r="U7" s="49"/>
      <c r="V7" s="50"/>
      <c r="W7" s="51"/>
      <c r="X7" s="52"/>
      <c r="Y7" s="201"/>
    </row>
    <row r="8" spans="2:113" ht="14.25" customHeight="1" x14ac:dyDescent="0.2">
      <c r="B8" s="13" t="s">
        <v>91</v>
      </c>
      <c r="C8" s="146"/>
      <c r="D8" s="42"/>
      <c r="E8" s="13"/>
      <c r="F8" s="43"/>
      <c r="G8" s="44"/>
      <c r="H8" s="45"/>
      <c r="I8" s="46"/>
      <c r="J8" s="46"/>
      <c r="K8" s="46"/>
      <c r="L8" s="46"/>
      <c r="M8" s="46"/>
      <c r="N8" s="46"/>
      <c r="O8" s="46"/>
      <c r="P8" s="46"/>
      <c r="Q8" s="46"/>
      <c r="R8" s="46"/>
      <c r="S8" s="47"/>
      <c r="T8" s="48"/>
      <c r="U8" s="49"/>
      <c r="V8" s="50"/>
      <c r="W8" s="51"/>
      <c r="X8" s="52"/>
      <c r="Y8" s="200"/>
    </row>
    <row r="9" spans="2:113" ht="14.25" customHeight="1" x14ac:dyDescent="0.2">
      <c r="B9" s="13" t="s">
        <v>92</v>
      </c>
      <c r="C9" s="146"/>
      <c r="D9" s="42"/>
      <c r="E9" s="13"/>
      <c r="F9" s="43"/>
      <c r="G9" s="44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7"/>
      <c r="T9" s="48"/>
      <c r="U9" s="49"/>
      <c r="V9" s="50"/>
      <c r="W9" s="51"/>
      <c r="X9" s="52"/>
      <c r="Y9" s="201"/>
    </row>
    <row r="10" spans="2:113" ht="14.25" customHeight="1" x14ac:dyDescent="0.2">
      <c r="B10" s="13" t="s">
        <v>93</v>
      </c>
      <c r="C10" s="146"/>
      <c r="D10" s="42"/>
      <c r="E10" s="13"/>
      <c r="F10" s="43"/>
      <c r="G10" s="44"/>
      <c r="H10" s="45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7"/>
      <c r="T10" s="48"/>
      <c r="U10" s="49"/>
      <c r="V10" s="50"/>
      <c r="W10" s="51"/>
      <c r="X10" s="52"/>
      <c r="Y10" s="200"/>
    </row>
    <row r="11" spans="2:113" ht="14.25" customHeight="1" x14ac:dyDescent="0.2">
      <c r="B11" s="13" t="s">
        <v>94</v>
      </c>
      <c r="C11" s="146"/>
      <c r="D11" s="42"/>
      <c r="E11" s="13"/>
      <c r="F11" s="43"/>
      <c r="G11" s="44"/>
      <c r="H11" s="45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7"/>
      <c r="T11" s="48"/>
      <c r="U11" s="49"/>
      <c r="V11" s="50"/>
      <c r="W11" s="51"/>
      <c r="X11" s="52"/>
      <c r="Y11" s="201"/>
    </row>
    <row r="12" spans="2:113" ht="14.25" customHeight="1" x14ac:dyDescent="0.2">
      <c r="B12" s="13" t="s">
        <v>95</v>
      </c>
      <c r="C12" s="146"/>
      <c r="D12" s="42"/>
      <c r="E12" s="13"/>
      <c r="F12" s="43"/>
      <c r="G12" s="44"/>
      <c r="H12" s="45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7"/>
      <c r="T12" s="48"/>
      <c r="U12" s="49"/>
      <c r="V12" s="50"/>
      <c r="W12" s="51"/>
      <c r="X12" s="52"/>
      <c r="Y12" s="200"/>
    </row>
    <row r="13" spans="2:113" ht="14.25" customHeight="1" thickBot="1" x14ac:dyDescent="0.25">
      <c r="B13" s="60"/>
      <c r="C13" s="148"/>
      <c r="D13" s="61"/>
      <c r="E13" s="62"/>
      <c r="F13" s="63"/>
      <c r="G13" s="64"/>
      <c r="H13" s="65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>
        <f>SUM(T5:T12)</f>
        <v>0</v>
      </c>
      <c r="U13" s="69" t="e">
        <f>AVERAGE(U5:U12)</f>
        <v>#DIV/0!</v>
      </c>
      <c r="V13" s="70">
        <f>SUM(V5:V12)</f>
        <v>0</v>
      </c>
      <c r="W13" s="69" t="e">
        <f>AVERAGE(W5:W12)</f>
        <v>#DIV/0!</v>
      </c>
      <c r="X13" s="71" t="e">
        <f>AVERAGE(X5:X12)</f>
        <v>#DIV/0!</v>
      </c>
      <c r="Y13" s="201"/>
    </row>
    <row r="14" spans="2:113" ht="14.25" customHeight="1" x14ac:dyDescent="0.2">
      <c r="B14" s="15"/>
      <c r="C14" s="15"/>
      <c r="D14" s="174"/>
      <c r="E14" s="15"/>
      <c r="F14" s="15"/>
      <c r="G14" s="1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176"/>
      <c r="U14" s="177"/>
      <c r="V14" s="176"/>
      <c r="W14" s="177"/>
      <c r="X14" s="178"/>
      <c r="Y14" s="200"/>
    </row>
    <row r="15" spans="2:113" ht="14.25" customHeight="1" x14ac:dyDescent="0.2">
      <c r="B15" s="15"/>
      <c r="C15" s="15"/>
      <c r="D15" s="174"/>
      <c r="E15" s="15"/>
      <c r="F15" s="15"/>
      <c r="G15" s="1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6"/>
      <c r="U15" s="177"/>
      <c r="V15" s="176"/>
      <c r="W15" s="177"/>
      <c r="X15" s="178"/>
      <c r="Y15" s="201"/>
    </row>
    <row r="16" spans="2:113" ht="14.25" customHeight="1" x14ac:dyDescent="0.2">
      <c r="B16" s="15"/>
      <c r="C16" s="15"/>
      <c r="D16" s="174"/>
      <c r="E16" s="15"/>
      <c r="F16" s="15"/>
      <c r="G16" s="15"/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6"/>
      <c r="U16" s="177"/>
      <c r="V16" s="176"/>
      <c r="W16" s="177"/>
      <c r="X16" s="178"/>
      <c r="Y16" s="200"/>
    </row>
    <row r="17" spans="1:113" ht="14.25" customHeight="1" x14ac:dyDescent="0.2"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72"/>
      <c r="V17" s="15"/>
      <c r="W17" s="72"/>
      <c r="X17" s="73"/>
      <c r="Y17" s="201"/>
    </row>
    <row r="18" spans="1:113" ht="50.25" customHeight="1" thickBot="1" x14ac:dyDescent="0.25">
      <c r="B18" s="17" t="s">
        <v>23</v>
      </c>
      <c r="C18" s="17"/>
      <c r="U18" s="74"/>
      <c r="V18" s="74"/>
      <c r="W18" s="74"/>
      <c r="X18" s="75"/>
      <c r="Y18" s="200"/>
    </row>
    <row r="19" spans="1:113" ht="18" customHeight="1" x14ac:dyDescent="0.2">
      <c r="A19" s="6"/>
      <c r="B19" s="385" t="s">
        <v>1</v>
      </c>
      <c r="C19" s="387" t="s">
        <v>77</v>
      </c>
      <c r="D19" s="398" t="s">
        <v>2</v>
      </c>
      <c r="E19" s="399" t="s">
        <v>3</v>
      </c>
      <c r="F19" s="400" t="s">
        <v>4</v>
      </c>
      <c r="G19" s="389" t="s">
        <v>5</v>
      </c>
      <c r="H19" s="406"/>
      <c r="I19" s="406"/>
      <c r="J19" s="406"/>
      <c r="K19" s="406"/>
      <c r="L19" s="406"/>
      <c r="M19" s="406"/>
      <c r="N19" s="406"/>
      <c r="O19" s="406"/>
      <c r="P19" s="406"/>
      <c r="Q19" s="406"/>
      <c r="R19" s="406"/>
      <c r="S19" s="391"/>
      <c r="T19" s="410" t="s">
        <v>6</v>
      </c>
      <c r="U19" s="399"/>
      <c r="V19" s="399"/>
      <c r="W19" s="399"/>
      <c r="X19" s="400"/>
      <c r="Y19" s="201"/>
    </row>
    <row r="20" spans="1:113" s="6" customFormat="1" ht="36" customHeight="1" thickBot="1" x14ac:dyDescent="0.25">
      <c r="B20" s="386"/>
      <c r="C20" s="388"/>
      <c r="D20" s="412"/>
      <c r="E20" s="413"/>
      <c r="F20" s="414"/>
      <c r="G20" s="7" t="s">
        <v>103</v>
      </c>
      <c r="H20" s="8" t="s">
        <v>7</v>
      </c>
      <c r="I20" s="9" t="s">
        <v>8</v>
      </c>
      <c r="J20" s="9" t="s">
        <v>9</v>
      </c>
      <c r="K20" s="9" t="s">
        <v>10</v>
      </c>
      <c r="L20" s="9" t="s">
        <v>11</v>
      </c>
      <c r="M20" s="9" t="s">
        <v>12</v>
      </c>
      <c r="N20" s="9" t="s">
        <v>13</v>
      </c>
      <c r="O20" s="9" t="s">
        <v>14</v>
      </c>
      <c r="P20" s="9" t="s">
        <v>15</v>
      </c>
      <c r="Q20" s="9" t="s">
        <v>16</v>
      </c>
      <c r="R20" s="9" t="s">
        <v>17</v>
      </c>
      <c r="S20" s="10">
        <v>120</v>
      </c>
      <c r="T20" s="9" t="s">
        <v>18</v>
      </c>
      <c r="U20" s="9" t="s">
        <v>19</v>
      </c>
      <c r="V20" s="11" t="s">
        <v>20</v>
      </c>
      <c r="W20" s="194" t="s">
        <v>21</v>
      </c>
      <c r="X20" s="195" t="s">
        <v>22</v>
      </c>
      <c r="Y20" s="200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</row>
    <row r="21" spans="1:113" s="6" customFormat="1" ht="36" customHeight="1" x14ac:dyDescent="0.2">
      <c r="A21" s="1"/>
      <c r="B21" s="12" t="s">
        <v>88</v>
      </c>
      <c r="C21" s="145"/>
      <c r="D21" s="31"/>
      <c r="E21" s="12"/>
      <c r="F21" s="32"/>
      <c r="G21" s="33"/>
      <c r="H21" s="34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76"/>
      <c r="T21" s="77"/>
      <c r="U21" s="38"/>
      <c r="V21" s="39"/>
      <c r="W21" s="78"/>
      <c r="X21" s="79"/>
      <c r="Y21" s="201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  <c r="DI21" s="29"/>
    </row>
    <row r="22" spans="1:113" ht="15.75" customHeight="1" x14ac:dyDescent="0.2">
      <c r="B22" s="13" t="s">
        <v>89</v>
      </c>
      <c r="C22" s="146"/>
      <c r="D22" s="42"/>
      <c r="E22" s="13"/>
      <c r="F22" s="43"/>
      <c r="G22" s="44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80"/>
      <c r="T22" s="81"/>
      <c r="U22" s="49"/>
      <c r="V22" s="50"/>
      <c r="W22" s="82"/>
      <c r="X22" s="83"/>
      <c r="Y22" s="200"/>
    </row>
    <row r="23" spans="1:113" ht="15.75" customHeight="1" x14ac:dyDescent="0.2">
      <c r="B23" s="13" t="s">
        <v>90</v>
      </c>
      <c r="C23" s="146"/>
      <c r="D23" s="42"/>
      <c r="E23" s="13"/>
      <c r="F23" s="43"/>
      <c r="G23" s="44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80"/>
      <c r="T23" s="81"/>
      <c r="U23" s="49"/>
      <c r="V23" s="50"/>
      <c r="W23" s="82"/>
      <c r="X23" s="83"/>
      <c r="Y23" s="201"/>
    </row>
    <row r="24" spans="1:113" ht="15.75" customHeight="1" x14ac:dyDescent="0.2">
      <c r="B24" s="13" t="s">
        <v>91</v>
      </c>
      <c r="C24" s="146"/>
      <c r="D24" s="42"/>
      <c r="E24" s="13"/>
      <c r="F24" s="43"/>
      <c r="G24" s="44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80"/>
      <c r="T24" s="81"/>
      <c r="U24" s="49"/>
      <c r="V24" s="50"/>
      <c r="W24" s="82"/>
      <c r="X24" s="83"/>
      <c r="Y24" s="200"/>
    </row>
    <row r="25" spans="1:113" ht="15.75" customHeight="1" x14ac:dyDescent="0.2">
      <c r="B25" s="13" t="s">
        <v>92</v>
      </c>
      <c r="C25" s="146"/>
      <c r="D25" s="42"/>
      <c r="E25" s="13"/>
      <c r="F25" s="43"/>
      <c r="G25" s="44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80"/>
      <c r="T25" s="81"/>
      <c r="U25" s="49"/>
      <c r="V25" s="50"/>
      <c r="W25" s="82"/>
      <c r="X25" s="83"/>
      <c r="Y25" s="201"/>
    </row>
    <row r="26" spans="1:113" ht="15.75" customHeight="1" x14ac:dyDescent="0.2">
      <c r="B26" s="13" t="s">
        <v>93</v>
      </c>
      <c r="C26" s="146"/>
      <c r="D26" s="42"/>
      <c r="E26" s="13"/>
      <c r="F26" s="43"/>
      <c r="G26" s="44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80"/>
      <c r="T26" s="81"/>
      <c r="U26" s="49"/>
      <c r="V26" s="50"/>
      <c r="W26" s="82"/>
      <c r="X26" s="83"/>
      <c r="Y26" s="200"/>
    </row>
    <row r="27" spans="1:113" ht="15.75" customHeight="1" x14ac:dyDescent="0.2">
      <c r="B27" s="13" t="s">
        <v>94</v>
      </c>
      <c r="C27" s="146"/>
      <c r="D27" s="42"/>
      <c r="E27" s="13"/>
      <c r="F27" s="43"/>
      <c r="G27" s="44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80"/>
      <c r="T27" s="81"/>
      <c r="U27" s="49"/>
      <c r="V27" s="50"/>
      <c r="W27" s="82"/>
      <c r="X27" s="83"/>
      <c r="Y27" s="201"/>
    </row>
    <row r="28" spans="1:113" ht="15.75" customHeight="1" x14ac:dyDescent="0.2">
      <c r="B28" s="13" t="s">
        <v>95</v>
      </c>
      <c r="C28" s="146"/>
      <c r="D28" s="42"/>
      <c r="E28" s="13"/>
      <c r="F28" s="43"/>
      <c r="G28" s="44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80"/>
      <c r="T28" s="81"/>
      <c r="U28" s="49"/>
      <c r="V28" s="50"/>
      <c r="W28" s="82"/>
      <c r="X28" s="83"/>
      <c r="Y28" s="200"/>
    </row>
    <row r="29" spans="1:113" ht="15.75" customHeight="1" thickBot="1" x14ac:dyDescent="0.25">
      <c r="B29" s="60"/>
      <c r="C29" s="148"/>
      <c r="D29" s="61"/>
      <c r="E29" s="62"/>
      <c r="F29" s="63"/>
      <c r="G29" s="64"/>
      <c r="H29" s="87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88"/>
      <c r="T29" s="89">
        <f>SUM(T21:T28)</f>
        <v>0</v>
      </c>
      <c r="U29" s="69" t="e">
        <f>AVERAGE(U21:U28)</f>
        <v>#DIV/0!</v>
      </c>
      <c r="V29" s="70">
        <f>SUM(V21:V28)</f>
        <v>0</v>
      </c>
      <c r="W29" s="69" t="e">
        <f>AVERAGE(W21:W28)</f>
        <v>#DIV/0!</v>
      </c>
      <c r="X29" s="70" t="e">
        <f>AVERAGE(X21:X28)</f>
        <v>#DIV/0!</v>
      </c>
      <c r="Y29" s="201"/>
    </row>
    <row r="30" spans="1:113" ht="15.75" customHeight="1" x14ac:dyDescent="0.2">
      <c r="B30" s="15"/>
      <c r="C30" s="15"/>
      <c r="D30" s="174"/>
      <c r="E30" s="15"/>
      <c r="F30" s="15"/>
      <c r="G30" s="1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6"/>
      <c r="U30" s="177"/>
      <c r="V30" s="176"/>
      <c r="W30" s="177"/>
      <c r="X30" s="176"/>
      <c r="Y30" s="200"/>
    </row>
    <row r="31" spans="1:113" ht="15.75" customHeight="1" x14ac:dyDescent="0.2">
      <c r="B31" s="15"/>
      <c r="C31" s="15"/>
      <c r="D31" s="174"/>
      <c r="E31" s="15"/>
      <c r="F31" s="15"/>
      <c r="G31" s="1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6"/>
      <c r="U31" s="177"/>
      <c r="V31" s="176"/>
      <c r="W31" s="177"/>
      <c r="X31" s="176"/>
      <c r="Y31" s="201"/>
    </row>
    <row r="32" spans="1:113" ht="15.75" customHeight="1" x14ac:dyDescent="0.2">
      <c r="B32" s="15"/>
      <c r="C32" s="15"/>
      <c r="D32" s="174"/>
      <c r="E32" s="15"/>
      <c r="F32" s="15"/>
      <c r="G32" s="15"/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6"/>
      <c r="U32" s="177"/>
      <c r="V32" s="176"/>
      <c r="W32" s="177"/>
      <c r="X32" s="176"/>
      <c r="Y32" s="200"/>
    </row>
    <row r="33" spans="1:113" ht="15.75" customHeight="1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72"/>
      <c r="V33" s="15"/>
      <c r="W33" s="72"/>
      <c r="X33" s="73"/>
      <c r="Y33" s="201"/>
    </row>
    <row r="34" spans="1:113" ht="58.5" customHeight="1" thickBot="1" x14ac:dyDescent="0.25">
      <c r="B34" s="17" t="s">
        <v>25</v>
      </c>
      <c r="C34" s="17"/>
      <c r="U34" s="90"/>
      <c r="V34" s="90"/>
      <c r="W34" s="90"/>
      <c r="Y34" s="200"/>
    </row>
    <row r="35" spans="1:113" ht="15" customHeight="1" x14ac:dyDescent="0.2">
      <c r="A35" s="6"/>
      <c r="B35" s="385" t="s">
        <v>1</v>
      </c>
      <c r="C35" s="387" t="s">
        <v>77</v>
      </c>
      <c r="D35" s="398" t="s">
        <v>2</v>
      </c>
      <c r="E35" s="399" t="s">
        <v>3</v>
      </c>
      <c r="F35" s="400" t="s">
        <v>4</v>
      </c>
      <c r="G35" s="389" t="s">
        <v>5</v>
      </c>
      <c r="H35" s="406"/>
      <c r="I35" s="406"/>
      <c r="J35" s="406"/>
      <c r="K35" s="406"/>
      <c r="L35" s="406"/>
      <c r="M35" s="406"/>
      <c r="N35" s="406"/>
      <c r="O35" s="406"/>
      <c r="P35" s="406"/>
      <c r="Q35" s="406"/>
      <c r="R35" s="406"/>
      <c r="S35" s="391"/>
      <c r="T35" s="398" t="s">
        <v>6</v>
      </c>
      <c r="U35" s="399"/>
      <c r="V35" s="399"/>
      <c r="W35" s="399"/>
      <c r="X35" s="400"/>
      <c r="Y35" s="201"/>
    </row>
    <row r="36" spans="1:113" s="6" customFormat="1" ht="33.75" customHeight="1" thickBot="1" x14ac:dyDescent="0.25">
      <c r="B36" s="386"/>
      <c r="C36" s="388"/>
      <c r="D36" s="412"/>
      <c r="E36" s="413"/>
      <c r="F36" s="414"/>
      <c r="G36" s="7" t="s">
        <v>103</v>
      </c>
      <c r="H36" s="8" t="s">
        <v>7</v>
      </c>
      <c r="I36" s="9" t="s">
        <v>8</v>
      </c>
      <c r="J36" s="9" t="s">
        <v>9</v>
      </c>
      <c r="K36" s="9" t="s">
        <v>10</v>
      </c>
      <c r="L36" s="9" t="s">
        <v>11</v>
      </c>
      <c r="M36" s="9" t="s">
        <v>12</v>
      </c>
      <c r="N36" s="9" t="s">
        <v>13</v>
      </c>
      <c r="O36" s="9" t="s">
        <v>14</v>
      </c>
      <c r="P36" s="9" t="s">
        <v>15</v>
      </c>
      <c r="Q36" s="9" t="s">
        <v>16</v>
      </c>
      <c r="R36" s="9" t="s">
        <v>17</v>
      </c>
      <c r="S36" s="10">
        <v>120</v>
      </c>
      <c r="T36" s="9" t="s">
        <v>18</v>
      </c>
      <c r="U36" s="9" t="s">
        <v>19</v>
      </c>
      <c r="V36" s="11" t="s">
        <v>20</v>
      </c>
      <c r="W36" s="194" t="s">
        <v>21</v>
      </c>
      <c r="X36" s="195" t="s">
        <v>22</v>
      </c>
      <c r="Y36" s="200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9"/>
      <c r="CN36" s="29"/>
      <c r="CO36" s="29"/>
      <c r="CP36" s="29"/>
      <c r="CQ36" s="29"/>
      <c r="CR36" s="29"/>
      <c r="CS36" s="29"/>
      <c r="CT36" s="29"/>
      <c r="CU36" s="29"/>
      <c r="CV36" s="29"/>
      <c r="CW36" s="29"/>
      <c r="CX36" s="29"/>
      <c r="CY36" s="29"/>
      <c r="CZ36" s="29"/>
      <c r="DA36" s="29"/>
      <c r="DB36" s="29"/>
      <c r="DC36" s="29"/>
      <c r="DD36" s="29"/>
      <c r="DE36" s="29"/>
      <c r="DF36" s="29"/>
      <c r="DG36" s="29"/>
      <c r="DH36" s="29"/>
      <c r="DI36" s="29"/>
    </row>
    <row r="37" spans="1:113" s="6" customFormat="1" ht="33" customHeight="1" x14ac:dyDescent="0.2">
      <c r="A37" s="1"/>
      <c r="B37" s="12" t="s">
        <v>88</v>
      </c>
      <c r="C37" s="145"/>
      <c r="D37" s="31"/>
      <c r="E37" s="12"/>
      <c r="F37" s="32"/>
      <c r="G37" s="33"/>
      <c r="H37" s="34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76"/>
      <c r="T37" s="77"/>
      <c r="U37" s="38"/>
      <c r="V37" s="39"/>
      <c r="W37" s="78"/>
      <c r="X37" s="79"/>
      <c r="Y37" s="201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29"/>
      <c r="DC37" s="29"/>
      <c r="DD37" s="29"/>
      <c r="DE37" s="29"/>
      <c r="DF37" s="29"/>
      <c r="DG37" s="29"/>
      <c r="DH37" s="29"/>
      <c r="DI37" s="29"/>
    </row>
    <row r="38" spans="1:113" ht="15" customHeight="1" x14ac:dyDescent="0.2">
      <c r="B38" s="13" t="s">
        <v>89</v>
      </c>
      <c r="C38" s="146"/>
      <c r="D38" s="42"/>
      <c r="E38" s="13"/>
      <c r="F38" s="43"/>
      <c r="G38" s="44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80"/>
      <c r="T38" s="81"/>
      <c r="U38" s="49"/>
      <c r="V38" s="50"/>
      <c r="W38" s="82"/>
      <c r="X38" s="83"/>
      <c r="Y38" s="200"/>
    </row>
    <row r="39" spans="1:113" ht="15" customHeight="1" x14ac:dyDescent="0.2">
      <c r="B39" s="13" t="s">
        <v>90</v>
      </c>
      <c r="C39" s="146"/>
      <c r="D39" s="42"/>
      <c r="E39" s="13"/>
      <c r="F39" s="43"/>
      <c r="G39" s="44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80"/>
      <c r="T39" s="81"/>
      <c r="U39" s="49"/>
      <c r="V39" s="50"/>
      <c r="W39" s="82"/>
      <c r="X39" s="83"/>
      <c r="Y39" s="201"/>
    </row>
    <row r="40" spans="1:113" ht="15" customHeight="1" x14ac:dyDescent="0.2">
      <c r="B40" s="13" t="s">
        <v>91</v>
      </c>
      <c r="C40" s="146"/>
      <c r="D40" s="42"/>
      <c r="E40" s="13"/>
      <c r="F40" s="43"/>
      <c r="G40" s="44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80"/>
      <c r="T40" s="81"/>
      <c r="U40" s="49"/>
      <c r="V40" s="50"/>
      <c r="W40" s="82"/>
      <c r="X40" s="83"/>
      <c r="Y40" s="200"/>
    </row>
    <row r="41" spans="1:113" ht="15" customHeight="1" x14ac:dyDescent="0.2">
      <c r="B41" s="13" t="s">
        <v>92</v>
      </c>
      <c r="C41" s="146"/>
      <c r="D41" s="42"/>
      <c r="E41" s="13"/>
      <c r="F41" s="43"/>
      <c r="G41" s="44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80"/>
      <c r="T41" s="81"/>
      <c r="U41" s="49"/>
      <c r="V41" s="50"/>
      <c r="W41" s="82"/>
      <c r="X41" s="83"/>
      <c r="Y41" s="201"/>
    </row>
    <row r="42" spans="1:113" ht="15" customHeight="1" x14ac:dyDescent="0.2">
      <c r="B42" s="13" t="s">
        <v>93</v>
      </c>
      <c r="C42" s="146"/>
      <c r="D42" s="42"/>
      <c r="E42" s="13"/>
      <c r="F42" s="43"/>
      <c r="G42" s="44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80"/>
      <c r="T42" s="81"/>
      <c r="U42" s="49"/>
      <c r="V42" s="50"/>
      <c r="W42" s="82"/>
      <c r="X42" s="83"/>
      <c r="Y42" s="200"/>
    </row>
    <row r="43" spans="1:113" ht="15" customHeight="1" x14ac:dyDescent="0.2">
      <c r="B43" s="13" t="s">
        <v>94</v>
      </c>
      <c r="C43" s="146"/>
      <c r="D43" s="42"/>
      <c r="E43" s="13"/>
      <c r="F43" s="43"/>
      <c r="G43" s="44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80"/>
      <c r="T43" s="81"/>
      <c r="U43" s="49"/>
      <c r="V43" s="50"/>
      <c r="W43" s="82"/>
      <c r="X43" s="83"/>
      <c r="Y43" s="201"/>
    </row>
    <row r="44" spans="1:113" ht="15" customHeight="1" x14ac:dyDescent="0.2">
      <c r="B44" s="13" t="s">
        <v>95</v>
      </c>
      <c r="C44" s="146"/>
      <c r="D44" s="42"/>
      <c r="E44" s="13"/>
      <c r="F44" s="43"/>
      <c r="G44" s="44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80"/>
      <c r="T44" s="81"/>
      <c r="U44" s="49"/>
      <c r="V44" s="50"/>
      <c r="W44" s="82"/>
      <c r="X44" s="83"/>
      <c r="Y44" s="200"/>
    </row>
    <row r="45" spans="1:113" ht="15" customHeight="1" thickBot="1" x14ac:dyDescent="0.25">
      <c r="B45" s="60"/>
      <c r="C45" s="148"/>
      <c r="D45" s="92"/>
      <c r="E45" s="62">
        <f t="shared" ref="E45" si="0">H45*10+I45*9.5+J45*9+K45*8+L45*7.5+M45*6.5+N45*6+O45*5.5+P45*5+Q45*3+R45*2+S45*1</f>
        <v>0</v>
      </c>
      <c r="F45" s="63"/>
      <c r="G45" s="64"/>
      <c r="H45" s="87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88"/>
      <c r="T45" s="89">
        <f>SUM(T37:T44)</f>
        <v>0</v>
      </c>
      <c r="U45" s="69" t="e">
        <f>AVERAGE(U37:U44)</f>
        <v>#DIV/0!</v>
      </c>
      <c r="V45" s="70">
        <f>SUM(V37:V44)</f>
        <v>0</v>
      </c>
      <c r="W45" s="69" t="e">
        <f>AVERAGE(W37:W44)</f>
        <v>#DIV/0!</v>
      </c>
      <c r="X45" s="93" t="e">
        <f>AVERAGE(X37:X44)</f>
        <v>#DIV/0!</v>
      </c>
      <c r="Y45" s="201"/>
    </row>
    <row r="46" spans="1:113" ht="15" customHeight="1" x14ac:dyDescent="0.2">
      <c r="B46" s="15"/>
      <c r="C46" s="15"/>
      <c r="D46" s="15"/>
      <c r="E46" s="15"/>
      <c r="F46" s="15"/>
      <c r="G46" s="15"/>
      <c r="H46" s="175"/>
      <c r="I46" s="175"/>
      <c r="J46" s="175"/>
      <c r="K46" s="175"/>
      <c r="L46" s="175"/>
      <c r="M46" s="175"/>
      <c r="N46" s="175"/>
      <c r="O46" s="175"/>
      <c r="P46" s="175"/>
      <c r="Q46" s="175"/>
      <c r="R46" s="175"/>
      <c r="S46" s="175"/>
      <c r="T46" s="176"/>
      <c r="U46" s="177"/>
      <c r="V46" s="176"/>
      <c r="W46" s="177"/>
      <c r="X46" s="179"/>
      <c r="Y46" s="200"/>
    </row>
    <row r="47" spans="1:113" ht="15" customHeight="1" x14ac:dyDescent="0.2">
      <c r="B47" s="15"/>
      <c r="C47" s="15"/>
      <c r="D47" s="15"/>
      <c r="E47" s="15"/>
      <c r="F47" s="15"/>
      <c r="G47" s="1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/>
      <c r="S47" s="175"/>
      <c r="T47" s="176"/>
      <c r="U47" s="177"/>
      <c r="V47" s="176"/>
      <c r="W47" s="177"/>
      <c r="X47" s="179"/>
      <c r="Y47" s="201"/>
    </row>
    <row r="48" spans="1:113" ht="15" customHeight="1" x14ac:dyDescent="0.2">
      <c r="B48" s="15"/>
      <c r="C48" s="15"/>
      <c r="D48" s="15"/>
      <c r="E48" s="15"/>
      <c r="F48" s="15"/>
      <c r="G48" s="15"/>
      <c r="H48" s="175"/>
      <c r="I48" s="175"/>
      <c r="J48" s="175"/>
      <c r="K48" s="175"/>
      <c r="L48" s="175"/>
      <c r="M48" s="175"/>
      <c r="N48" s="175"/>
      <c r="O48" s="175"/>
      <c r="P48" s="175"/>
      <c r="Q48" s="175"/>
      <c r="R48" s="175"/>
      <c r="S48" s="175"/>
      <c r="T48" s="176"/>
      <c r="U48" s="177"/>
      <c r="V48" s="176"/>
      <c r="W48" s="177"/>
      <c r="X48" s="179"/>
      <c r="Y48" s="200"/>
    </row>
    <row r="49" spans="2:25" ht="15" customHeight="1" x14ac:dyDescent="0.2"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72"/>
      <c r="V49" s="15"/>
      <c r="W49" s="72"/>
      <c r="X49" s="73"/>
      <c r="Y49" s="201"/>
    </row>
    <row r="50" spans="2:25" ht="11.25" customHeight="1" thickBot="1" x14ac:dyDescent="0.25">
      <c r="B50" s="17" t="s">
        <v>97</v>
      </c>
      <c r="C50" s="17"/>
      <c r="U50" s="90"/>
      <c r="V50" s="90"/>
      <c r="W50" s="90"/>
      <c r="Y50" s="200"/>
    </row>
    <row r="51" spans="2:25" ht="15.75" customHeight="1" x14ac:dyDescent="0.2">
      <c r="B51" s="385" t="s">
        <v>1</v>
      </c>
      <c r="C51" s="387" t="s">
        <v>77</v>
      </c>
      <c r="D51" s="389" t="s">
        <v>2</v>
      </c>
      <c r="E51" s="385" t="s">
        <v>24</v>
      </c>
      <c r="F51" s="406" t="s">
        <v>4</v>
      </c>
      <c r="G51" s="389" t="s">
        <v>5</v>
      </c>
      <c r="H51" s="406"/>
      <c r="I51" s="406"/>
      <c r="J51" s="406"/>
      <c r="K51" s="406"/>
      <c r="L51" s="406"/>
      <c r="M51" s="406"/>
      <c r="N51" s="406"/>
      <c r="O51" s="406"/>
      <c r="P51" s="406"/>
      <c r="Q51" s="406"/>
      <c r="R51" s="406"/>
      <c r="S51" s="391"/>
      <c r="T51" s="410" t="s">
        <v>6</v>
      </c>
      <c r="U51" s="399"/>
      <c r="V51" s="399"/>
      <c r="W51" s="399"/>
      <c r="X51" s="400"/>
      <c r="Y51" s="201"/>
    </row>
    <row r="52" spans="2:25" ht="30.75" customHeight="1" thickBot="1" x14ac:dyDescent="0.25">
      <c r="B52" s="397"/>
      <c r="C52" s="388"/>
      <c r="D52" s="390"/>
      <c r="E52" s="386"/>
      <c r="F52" s="405"/>
      <c r="G52" s="7" t="s">
        <v>103</v>
      </c>
      <c r="H52" s="11" t="s">
        <v>38</v>
      </c>
      <c r="I52" s="9" t="s">
        <v>39</v>
      </c>
      <c r="J52" s="9" t="s">
        <v>40</v>
      </c>
      <c r="K52" s="9" t="s">
        <v>41</v>
      </c>
      <c r="L52" s="9" t="s">
        <v>42</v>
      </c>
      <c r="M52" s="9" t="s">
        <v>43</v>
      </c>
      <c r="N52" s="9" t="s">
        <v>44</v>
      </c>
      <c r="O52" s="9" t="s">
        <v>45</v>
      </c>
      <c r="P52" s="9" t="s">
        <v>29</v>
      </c>
      <c r="Q52" s="9" t="s">
        <v>46</v>
      </c>
      <c r="R52" s="9" t="s">
        <v>47</v>
      </c>
      <c r="S52" s="10">
        <v>50</v>
      </c>
      <c r="T52" s="9" t="s">
        <v>18</v>
      </c>
      <c r="U52" s="9" t="s">
        <v>19</v>
      </c>
      <c r="V52" s="11" t="s">
        <v>20</v>
      </c>
      <c r="W52" s="194" t="s">
        <v>21</v>
      </c>
      <c r="X52" s="195" t="s">
        <v>22</v>
      </c>
      <c r="Y52" s="200"/>
    </row>
    <row r="53" spans="2:25" ht="33" customHeight="1" x14ac:dyDescent="0.2">
      <c r="B53" s="12" t="s">
        <v>88</v>
      </c>
      <c r="C53" s="145"/>
      <c r="D53" s="31"/>
      <c r="E53" s="12"/>
      <c r="F53" s="32"/>
      <c r="G53" s="94"/>
      <c r="H53" s="34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76"/>
      <c r="T53" s="77"/>
      <c r="U53" s="38"/>
      <c r="V53" s="39"/>
      <c r="W53" s="78"/>
      <c r="X53" s="79"/>
      <c r="Y53" s="201"/>
    </row>
    <row r="54" spans="2:25" ht="15.75" customHeight="1" x14ac:dyDescent="0.2">
      <c r="B54" s="13" t="s">
        <v>89</v>
      </c>
      <c r="C54" s="146"/>
      <c r="D54" s="42"/>
      <c r="E54" s="13"/>
      <c r="F54" s="43"/>
      <c r="G54" s="95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80"/>
      <c r="T54" s="81"/>
      <c r="U54" s="49"/>
      <c r="V54" s="50"/>
      <c r="W54" s="82"/>
      <c r="X54" s="83"/>
      <c r="Y54" s="200"/>
    </row>
    <row r="55" spans="2:25" ht="15.75" customHeight="1" x14ac:dyDescent="0.2">
      <c r="B55" s="13" t="s">
        <v>90</v>
      </c>
      <c r="C55" s="146"/>
      <c r="D55" s="42"/>
      <c r="E55" s="13"/>
      <c r="F55" s="43"/>
      <c r="G55" s="95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80"/>
      <c r="T55" s="81"/>
      <c r="U55" s="49"/>
      <c r="V55" s="50"/>
      <c r="W55" s="82"/>
      <c r="X55" s="83"/>
      <c r="Y55" s="201"/>
    </row>
    <row r="56" spans="2:25" ht="15.75" customHeight="1" x14ac:dyDescent="0.2">
      <c r="B56" s="13" t="s">
        <v>91</v>
      </c>
      <c r="C56" s="146"/>
      <c r="D56" s="42"/>
      <c r="E56" s="13"/>
      <c r="F56" s="43"/>
      <c r="G56" s="95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80"/>
      <c r="T56" s="81"/>
      <c r="U56" s="49"/>
      <c r="V56" s="50"/>
      <c r="W56" s="82"/>
      <c r="X56" s="83"/>
      <c r="Y56" s="200"/>
    </row>
    <row r="57" spans="2:25" ht="15.75" customHeight="1" x14ac:dyDescent="0.2">
      <c r="B57" s="13" t="s">
        <v>92</v>
      </c>
      <c r="C57" s="146"/>
      <c r="D57" s="42"/>
      <c r="E57" s="13"/>
      <c r="F57" s="43"/>
      <c r="G57" s="95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80"/>
      <c r="T57" s="81"/>
      <c r="U57" s="49"/>
      <c r="V57" s="50"/>
      <c r="W57" s="82"/>
      <c r="X57" s="83"/>
      <c r="Y57" s="201"/>
    </row>
    <row r="58" spans="2:25" ht="15.75" customHeight="1" x14ac:dyDescent="0.2">
      <c r="B58" s="13" t="s">
        <v>93</v>
      </c>
      <c r="C58" s="146"/>
      <c r="D58" s="42"/>
      <c r="E58" s="13"/>
      <c r="F58" s="43"/>
      <c r="G58" s="95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80"/>
      <c r="T58" s="81"/>
      <c r="U58" s="49"/>
      <c r="V58" s="50"/>
      <c r="W58" s="82"/>
      <c r="X58" s="83"/>
      <c r="Y58" s="200"/>
    </row>
    <row r="59" spans="2:25" ht="15.75" customHeight="1" x14ac:dyDescent="0.2">
      <c r="B59" s="13" t="s">
        <v>94</v>
      </c>
      <c r="C59" s="146"/>
      <c r="D59" s="42"/>
      <c r="E59" s="13"/>
      <c r="F59" s="43"/>
      <c r="G59" s="95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80"/>
      <c r="T59" s="81"/>
      <c r="U59" s="49"/>
      <c r="V59" s="50"/>
      <c r="W59" s="82"/>
      <c r="X59" s="83"/>
      <c r="Y59" s="201"/>
    </row>
    <row r="60" spans="2:25" ht="15.75" customHeight="1" x14ac:dyDescent="0.2">
      <c r="B60" s="13" t="s">
        <v>95</v>
      </c>
      <c r="C60" s="146"/>
      <c r="D60" s="42"/>
      <c r="E60" s="13"/>
      <c r="F60" s="43"/>
      <c r="G60" s="95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80"/>
      <c r="T60" s="81"/>
      <c r="U60" s="49"/>
      <c r="V60" s="50"/>
      <c r="W60" s="82"/>
      <c r="X60" s="83"/>
      <c r="Y60" s="200"/>
    </row>
    <row r="61" spans="2:25" ht="15.75" customHeight="1" thickBot="1" x14ac:dyDescent="0.25">
      <c r="B61" s="96"/>
      <c r="C61" s="149"/>
      <c r="D61" s="97"/>
      <c r="E61" s="62"/>
      <c r="F61" s="98"/>
      <c r="G61" s="99"/>
      <c r="H61" s="65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88"/>
      <c r="T61" s="89">
        <f>SUM(T53:T60)</f>
        <v>0</v>
      </c>
      <c r="U61" s="69" t="e">
        <f>AVERAGE(U53:U60)</f>
        <v>#DIV/0!</v>
      </c>
      <c r="V61" s="70">
        <f>SUM(V53:V60)</f>
        <v>0</v>
      </c>
      <c r="W61" s="69" t="e">
        <f>AVERAGE(W53:W60)</f>
        <v>#DIV/0!</v>
      </c>
      <c r="X61" s="93" t="e">
        <f>AVERAGE(X53:X60)</f>
        <v>#DIV/0!</v>
      </c>
      <c r="Y61" s="201"/>
    </row>
    <row r="62" spans="2:25" ht="15.75" customHeight="1" x14ac:dyDescent="0.2">
      <c r="B62" s="3"/>
      <c r="C62" s="3"/>
      <c r="D62" s="3"/>
      <c r="E62" s="15"/>
      <c r="F62" s="3"/>
      <c r="G62" s="3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6"/>
      <c r="U62" s="177"/>
      <c r="V62" s="176"/>
      <c r="W62" s="177"/>
      <c r="X62" s="179"/>
      <c r="Y62" s="200"/>
    </row>
    <row r="63" spans="2:25" ht="15.75" customHeight="1" x14ac:dyDescent="0.2">
      <c r="B63" s="3"/>
      <c r="C63" s="3"/>
      <c r="D63" s="3"/>
      <c r="E63" s="15"/>
      <c r="F63" s="3"/>
      <c r="G63" s="3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6"/>
      <c r="U63" s="177"/>
      <c r="V63" s="176"/>
      <c r="W63" s="177"/>
      <c r="X63" s="179"/>
      <c r="Y63" s="201"/>
    </row>
    <row r="64" spans="2:25" ht="15.75" customHeight="1" x14ac:dyDescent="0.2">
      <c r="B64" s="3"/>
      <c r="C64" s="3"/>
      <c r="D64" s="3"/>
      <c r="E64" s="15"/>
      <c r="F64" s="3"/>
      <c r="G64" s="3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6"/>
      <c r="U64" s="177"/>
      <c r="V64" s="176"/>
      <c r="W64" s="177"/>
      <c r="X64" s="179"/>
      <c r="Y64" s="200"/>
    </row>
    <row r="65" spans="1:113" ht="15.75" customHeight="1" x14ac:dyDescent="0.2"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72"/>
      <c r="V65" s="15"/>
      <c r="W65" s="72"/>
      <c r="X65" s="73"/>
      <c r="Y65" s="201"/>
    </row>
    <row r="66" spans="1:113" ht="75" customHeight="1" thickBot="1" x14ac:dyDescent="0.25">
      <c r="B66" s="17" t="s">
        <v>48</v>
      </c>
      <c r="C66" s="17"/>
      <c r="U66" s="90"/>
      <c r="V66" s="90"/>
      <c r="W66" s="90"/>
      <c r="Y66" s="200"/>
    </row>
    <row r="67" spans="1:113" ht="17.25" customHeight="1" x14ac:dyDescent="0.2">
      <c r="A67" s="6"/>
      <c r="B67" s="385" t="s">
        <v>1</v>
      </c>
      <c r="C67" s="387" t="s">
        <v>77</v>
      </c>
      <c r="D67" s="389" t="s">
        <v>2</v>
      </c>
      <c r="E67" s="385" t="s">
        <v>24</v>
      </c>
      <c r="F67" s="406" t="s">
        <v>4</v>
      </c>
      <c r="G67" s="389" t="s">
        <v>5</v>
      </c>
      <c r="H67" s="406"/>
      <c r="I67" s="406"/>
      <c r="J67" s="406"/>
      <c r="K67" s="406"/>
      <c r="L67" s="406"/>
      <c r="M67" s="406"/>
      <c r="N67" s="406"/>
      <c r="O67" s="406"/>
      <c r="P67" s="406"/>
      <c r="Q67" s="406"/>
      <c r="R67" s="406"/>
      <c r="S67" s="391"/>
      <c r="T67" s="410" t="s">
        <v>6</v>
      </c>
      <c r="U67" s="399"/>
      <c r="V67" s="399"/>
      <c r="W67" s="399"/>
      <c r="X67" s="400"/>
      <c r="Y67" s="201"/>
    </row>
    <row r="68" spans="1:113" s="6" customFormat="1" ht="30.75" customHeight="1" thickBot="1" x14ac:dyDescent="0.25">
      <c r="B68" s="397"/>
      <c r="C68" s="388"/>
      <c r="D68" s="390"/>
      <c r="E68" s="386"/>
      <c r="F68" s="405"/>
      <c r="G68" s="7" t="s">
        <v>103</v>
      </c>
      <c r="H68" s="11" t="s">
        <v>38</v>
      </c>
      <c r="I68" s="9" t="s">
        <v>39</v>
      </c>
      <c r="J68" s="9" t="s">
        <v>40</v>
      </c>
      <c r="K68" s="9" t="s">
        <v>41</v>
      </c>
      <c r="L68" s="9" t="s">
        <v>42</v>
      </c>
      <c r="M68" s="9" t="s">
        <v>43</v>
      </c>
      <c r="N68" s="9" t="s">
        <v>44</v>
      </c>
      <c r="O68" s="9" t="s">
        <v>45</v>
      </c>
      <c r="P68" s="9" t="s">
        <v>29</v>
      </c>
      <c r="Q68" s="9" t="s">
        <v>46</v>
      </c>
      <c r="R68" s="9" t="s">
        <v>47</v>
      </c>
      <c r="S68" s="10">
        <v>50</v>
      </c>
      <c r="T68" s="9" t="s">
        <v>18</v>
      </c>
      <c r="U68" s="9" t="s">
        <v>19</v>
      </c>
      <c r="V68" s="11" t="s">
        <v>20</v>
      </c>
      <c r="W68" s="194" t="s">
        <v>21</v>
      </c>
      <c r="X68" s="195" t="s">
        <v>22</v>
      </c>
      <c r="Y68" s="200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  <c r="CF68" s="29"/>
      <c r="CG68" s="29"/>
      <c r="CH68" s="29"/>
      <c r="CI68" s="29"/>
      <c r="CJ68" s="29"/>
      <c r="CK68" s="29"/>
      <c r="CL68" s="29"/>
      <c r="CM68" s="29"/>
      <c r="CN68" s="29"/>
      <c r="CO68" s="29"/>
      <c r="CP68" s="29"/>
      <c r="CQ68" s="29"/>
      <c r="CR68" s="29"/>
      <c r="CS68" s="29"/>
      <c r="CT68" s="29"/>
      <c r="CU68" s="29"/>
      <c r="CV68" s="29"/>
      <c r="CW68" s="29"/>
      <c r="CX68" s="29"/>
      <c r="CY68" s="29"/>
      <c r="CZ68" s="29"/>
      <c r="DA68" s="29"/>
      <c r="DB68" s="29"/>
      <c r="DC68" s="29"/>
      <c r="DD68" s="29"/>
      <c r="DE68" s="29"/>
      <c r="DF68" s="29"/>
      <c r="DG68" s="29"/>
      <c r="DH68" s="29"/>
      <c r="DI68" s="29"/>
    </row>
    <row r="69" spans="1:113" s="6" customFormat="1" ht="31.5" customHeight="1" x14ac:dyDescent="0.2">
      <c r="A69" s="1"/>
      <c r="B69" s="12" t="s">
        <v>88</v>
      </c>
      <c r="C69" s="145"/>
      <c r="D69" s="31"/>
      <c r="E69" s="12"/>
      <c r="F69" s="100"/>
      <c r="G69" s="33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76"/>
      <c r="T69" s="77"/>
      <c r="U69" s="38"/>
      <c r="V69" s="39"/>
      <c r="W69" s="78"/>
      <c r="X69" s="79"/>
      <c r="Y69" s="201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  <c r="CF69" s="29"/>
      <c r="CG69" s="29"/>
      <c r="CH69" s="29"/>
      <c r="CI69" s="29"/>
      <c r="CJ69" s="29"/>
      <c r="CK69" s="29"/>
      <c r="CL69" s="29"/>
      <c r="CM69" s="29"/>
      <c r="CN69" s="29"/>
      <c r="CO69" s="29"/>
      <c r="CP69" s="29"/>
      <c r="CQ69" s="29"/>
      <c r="CR69" s="29"/>
      <c r="CS69" s="29"/>
      <c r="CT69" s="29"/>
      <c r="CU69" s="29"/>
      <c r="CV69" s="29"/>
      <c r="CW69" s="29"/>
      <c r="CX69" s="29"/>
      <c r="CY69" s="29"/>
      <c r="CZ69" s="29"/>
      <c r="DA69" s="29"/>
      <c r="DB69" s="29"/>
      <c r="DC69" s="29"/>
      <c r="DD69" s="29"/>
      <c r="DE69" s="29"/>
      <c r="DF69" s="29"/>
      <c r="DG69" s="29"/>
      <c r="DH69" s="29"/>
      <c r="DI69" s="29"/>
    </row>
    <row r="70" spans="1:113" ht="14.25" customHeight="1" x14ac:dyDescent="0.2">
      <c r="B70" s="13" t="s">
        <v>89</v>
      </c>
      <c r="C70" s="146"/>
      <c r="D70" s="42"/>
      <c r="E70" s="13"/>
      <c r="F70" s="101"/>
      <c r="G70" s="44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80"/>
      <c r="T70" s="81"/>
      <c r="U70" s="49"/>
      <c r="V70" s="50"/>
      <c r="W70" s="82"/>
      <c r="X70" s="83"/>
      <c r="Y70" s="200"/>
    </row>
    <row r="71" spans="1:113" ht="14.25" customHeight="1" x14ac:dyDescent="0.2">
      <c r="B71" s="13" t="s">
        <v>90</v>
      </c>
      <c r="C71" s="146"/>
      <c r="D71" s="42"/>
      <c r="E71" s="13"/>
      <c r="F71" s="101"/>
      <c r="G71" s="44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80"/>
      <c r="T71" s="81"/>
      <c r="U71" s="49"/>
      <c r="V71" s="50"/>
      <c r="W71" s="82"/>
      <c r="X71" s="83"/>
      <c r="Y71" s="201"/>
    </row>
    <row r="72" spans="1:113" ht="14.25" customHeight="1" x14ac:dyDescent="0.2">
      <c r="B72" s="13" t="s">
        <v>91</v>
      </c>
      <c r="C72" s="146"/>
      <c r="D72" s="42"/>
      <c r="E72" s="13"/>
      <c r="F72" s="101"/>
      <c r="G72" s="44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80"/>
      <c r="T72" s="81"/>
      <c r="U72" s="49"/>
      <c r="V72" s="50"/>
      <c r="W72" s="82"/>
      <c r="X72" s="83"/>
      <c r="Y72" s="200"/>
    </row>
    <row r="73" spans="1:113" ht="14.25" customHeight="1" x14ac:dyDescent="0.2">
      <c r="B73" s="13" t="s">
        <v>92</v>
      </c>
      <c r="C73" s="146"/>
      <c r="D73" s="42"/>
      <c r="E73" s="13"/>
      <c r="F73" s="101"/>
      <c r="G73" s="44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80"/>
      <c r="T73" s="81"/>
      <c r="U73" s="49"/>
      <c r="V73" s="50"/>
      <c r="W73" s="82"/>
      <c r="X73" s="83"/>
      <c r="Y73" s="201"/>
    </row>
    <row r="74" spans="1:113" ht="14.25" customHeight="1" x14ac:dyDescent="0.2">
      <c r="B74" s="13" t="s">
        <v>93</v>
      </c>
      <c r="C74" s="146"/>
      <c r="D74" s="42"/>
      <c r="E74" s="13"/>
      <c r="F74" s="101"/>
      <c r="G74" s="44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80"/>
      <c r="T74" s="81"/>
      <c r="U74" s="49"/>
      <c r="V74" s="50"/>
      <c r="W74" s="82"/>
      <c r="X74" s="83"/>
      <c r="Y74" s="200"/>
    </row>
    <row r="75" spans="1:113" ht="14.25" customHeight="1" x14ac:dyDescent="0.2">
      <c r="B75" s="13" t="s">
        <v>94</v>
      </c>
      <c r="C75" s="146"/>
      <c r="D75" s="42"/>
      <c r="E75" s="13"/>
      <c r="F75" s="101"/>
      <c r="G75" s="44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80"/>
      <c r="T75" s="81"/>
      <c r="U75" s="49"/>
      <c r="V75" s="50"/>
      <c r="W75" s="82"/>
      <c r="X75" s="83"/>
      <c r="Y75" s="201"/>
    </row>
    <row r="76" spans="1:113" ht="14.25" customHeight="1" x14ac:dyDescent="0.2">
      <c r="B76" s="13" t="s">
        <v>95</v>
      </c>
      <c r="C76" s="146"/>
      <c r="D76" s="42"/>
      <c r="E76" s="13"/>
      <c r="F76" s="101"/>
      <c r="G76" s="44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80"/>
      <c r="T76" s="81"/>
      <c r="U76" s="49"/>
      <c r="V76" s="50"/>
      <c r="W76" s="82"/>
      <c r="X76" s="83"/>
      <c r="Y76" s="200"/>
    </row>
    <row r="77" spans="1:113" ht="14.25" customHeight="1" thickBot="1" x14ac:dyDescent="0.25">
      <c r="B77" s="96"/>
      <c r="C77" s="149"/>
      <c r="D77" s="97"/>
      <c r="E77" s="62"/>
      <c r="F77" s="98"/>
      <c r="G77" s="99"/>
      <c r="H77" s="65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88"/>
      <c r="T77" s="89">
        <f>SUM(T69:T76)</f>
        <v>0</v>
      </c>
      <c r="U77" s="69" t="e">
        <f>AVERAGE(U69:U76)</f>
        <v>#DIV/0!</v>
      </c>
      <c r="V77" s="70">
        <f>SUM(V69:V76)</f>
        <v>0</v>
      </c>
      <c r="W77" s="69" t="e">
        <f>AVERAGE(W69:W76)</f>
        <v>#DIV/0!</v>
      </c>
      <c r="X77" s="93" t="e">
        <f>AVERAGE(X69:X76)</f>
        <v>#DIV/0!</v>
      </c>
      <c r="Y77" s="201"/>
    </row>
    <row r="78" spans="1:113" ht="14.25" customHeight="1" x14ac:dyDescent="0.2">
      <c r="B78" s="3"/>
      <c r="C78" s="3"/>
      <c r="D78" s="3"/>
      <c r="E78" s="15"/>
      <c r="F78" s="3"/>
      <c r="G78" s="3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6"/>
      <c r="U78" s="177"/>
      <c r="V78" s="176"/>
      <c r="W78" s="177"/>
      <c r="X78" s="179"/>
      <c r="Y78" s="200"/>
    </row>
    <row r="79" spans="1:113" ht="14.25" customHeight="1" x14ac:dyDescent="0.2">
      <c r="B79" s="3"/>
      <c r="C79" s="3"/>
      <c r="D79" s="3"/>
      <c r="E79" s="15"/>
      <c r="F79" s="3"/>
      <c r="G79" s="3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6"/>
      <c r="U79" s="177"/>
      <c r="V79" s="176"/>
      <c r="W79" s="177"/>
      <c r="X79" s="179"/>
      <c r="Y79" s="201"/>
    </row>
    <row r="80" spans="1:113" ht="14.25" customHeight="1" x14ac:dyDescent="0.2">
      <c r="B80" s="3"/>
      <c r="C80" s="3"/>
      <c r="D80" s="3"/>
      <c r="E80" s="15"/>
      <c r="F80" s="3"/>
      <c r="G80" s="3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6"/>
      <c r="U80" s="177"/>
      <c r="V80" s="176"/>
      <c r="W80" s="177"/>
      <c r="X80" s="179"/>
      <c r="Y80" s="200"/>
    </row>
    <row r="81" spans="1:113" ht="14.25" customHeight="1" x14ac:dyDescent="0.2">
      <c r="U81" s="90"/>
      <c r="V81" s="90"/>
      <c r="W81" s="90"/>
      <c r="Y81" s="201"/>
    </row>
    <row r="82" spans="1:113" ht="73.5" customHeight="1" thickBot="1" x14ac:dyDescent="0.25">
      <c r="B82" s="17" t="s">
        <v>49</v>
      </c>
      <c r="C82" s="17"/>
      <c r="U82" s="90"/>
      <c r="V82" s="90"/>
      <c r="W82" s="90"/>
      <c r="Y82" s="200"/>
    </row>
    <row r="83" spans="1:113" ht="13.5" customHeight="1" x14ac:dyDescent="0.2">
      <c r="A83" s="6"/>
      <c r="B83" s="385" t="s">
        <v>1</v>
      </c>
      <c r="C83" s="387" t="s">
        <v>77</v>
      </c>
      <c r="D83" s="389" t="s">
        <v>2</v>
      </c>
      <c r="E83" s="385" t="s">
        <v>24</v>
      </c>
      <c r="F83" s="391" t="s">
        <v>4</v>
      </c>
      <c r="G83" s="389" t="s">
        <v>5</v>
      </c>
      <c r="H83" s="406"/>
      <c r="I83" s="406"/>
      <c r="J83" s="406"/>
      <c r="K83" s="406"/>
      <c r="L83" s="406"/>
      <c r="M83" s="406"/>
      <c r="N83" s="406"/>
      <c r="O83" s="406"/>
      <c r="P83" s="406"/>
      <c r="Q83" s="406"/>
      <c r="R83" s="406"/>
      <c r="S83" s="391"/>
      <c r="T83" s="398" t="s">
        <v>6</v>
      </c>
      <c r="U83" s="399"/>
      <c r="V83" s="399"/>
      <c r="W83" s="399"/>
      <c r="X83" s="400"/>
      <c r="Y83" s="201"/>
    </row>
    <row r="84" spans="1:113" s="6" customFormat="1" ht="29.25" customHeight="1" thickBot="1" x14ac:dyDescent="0.25">
      <c r="B84" s="397"/>
      <c r="C84" s="388"/>
      <c r="D84" s="390"/>
      <c r="E84" s="386"/>
      <c r="F84" s="392"/>
      <c r="G84" s="7" t="s">
        <v>103</v>
      </c>
      <c r="H84" s="11" t="s">
        <v>38</v>
      </c>
      <c r="I84" s="9" t="s">
        <v>39</v>
      </c>
      <c r="J84" s="9" t="s">
        <v>40</v>
      </c>
      <c r="K84" s="9" t="s">
        <v>41</v>
      </c>
      <c r="L84" s="9" t="s">
        <v>42</v>
      </c>
      <c r="M84" s="9" t="s">
        <v>43</v>
      </c>
      <c r="N84" s="9" t="s">
        <v>44</v>
      </c>
      <c r="O84" s="9" t="s">
        <v>45</v>
      </c>
      <c r="P84" s="18" t="s">
        <v>29</v>
      </c>
      <c r="Q84" s="9" t="s">
        <v>46</v>
      </c>
      <c r="R84" s="9" t="s">
        <v>47</v>
      </c>
      <c r="S84" s="10">
        <v>50</v>
      </c>
      <c r="T84" s="9" t="s">
        <v>18</v>
      </c>
      <c r="U84" s="9" t="s">
        <v>19</v>
      </c>
      <c r="V84" s="11" t="s">
        <v>20</v>
      </c>
      <c r="W84" s="194" t="s">
        <v>21</v>
      </c>
      <c r="X84" s="195" t="s">
        <v>22</v>
      </c>
      <c r="Y84" s="200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  <c r="DI84" s="29"/>
    </row>
    <row r="85" spans="1:113" s="6" customFormat="1" ht="27.75" customHeight="1" x14ac:dyDescent="0.15">
      <c r="A85" s="1"/>
      <c r="B85" s="12" t="s">
        <v>88</v>
      </c>
      <c r="C85" s="145"/>
      <c r="D85" s="31"/>
      <c r="E85" s="12"/>
      <c r="F85" s="32"/>
      <c r="G85" s="33"/>
      <c r="H85" s="103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5"/>
      <c r="T85" s="77"/>
      <c r="U85" s="38"/>
      <c r="V85" s="39"/>
      <c r="W85" s="78"/>
      <c r="X85" s="106"/>
      <c r="Y85" s="201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  <c r="DI85" s="29"/>
    </row>
    <row r="86" spans="1:113" ht="15" customHeight="1" x14ac:dyDescent="0.15">
      <c r="B86" s="13" t="s">
        <v>89</v>
      </c>
      <c r="C86" s="146"/>
      <c r="D86" s="42"/>
      <c r="E86" s="13"/>
      <c r="F86" s="43"/>
      <c r="G86" s="44"/>
      <c r="H86" s="107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9"/>
      <c r="T86" s="81"/>
      <c r="U86" s="49"/>
      <c r="V86" s="50"/>
      <c r="W86" s="82"/>
      <c r="X86" s="110"/>
      <c r="Y86" s="200"/>
    </row>
    <row r="87" spans="1:113" ht="15" customHeight="1" x14ac:dyDescent="0.15">
      <c r="B87" s="13" t="s">
        <v>90</v>
      </c>
      <c r="C87" s="146"/>
      <c r="D87" s="42"/>
      <c r="E87" s="13"/>
      <c r="F87" s="43"/>
      <c r="G87" s="44"/>
      <c r="H87" s="107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9"/>
      <c r="T87" s="81"/>
      <c r="U87" s="49"/>
      <c r="V87" s="50"/>
      <c r="W87" s="82"/>
      <c r="X87" s="110"/>
      <c r="Y87" s="201"/>
    </row>
    <row r="88" spans="1:113" ht="15" customHeight="1" x14ac:dyDescent="0.15">
      <c r="B88" s="13" t="s">
        <v>91</v>
      </c>
      <c r="C88" s="146"/>
      <c r="D88" s="42"/>
      <c r="E88" s="13"/>
      <c r="F88" s="43"/>
      <c r="G88" s="44"/>
      <c r="H88" s="107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9"/>
      <c r="T88" s="81"/>
      <c r="U88" s="49"/>
      <c r="V88" s="50"/>
      <c r="W88" s="82"/>
      <c r="X88" s="110"/>
      <c r="Y88" s="200"/>
    </row>
    <row r="89" spans="1:113" ht="15" customHeight="1" x14ac:dyDescent="0.15">
      <c r="B89" s="13" t="s">
        <v>92</v>
      </c>
      <c r="C89" s="146"/>
      <c r="D89" s="42"/>
      <c r="E89" s="13"/>
      <c r="F89" s="43"/>
      <c r="G89" s="44"/>
      <c r="H89" s="107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9"/>
      <c r="T89" s="81"/>
      <c r="U89" s="49"/>
      <c r="V89" s="50"/>
      <c r="W89" s="82"/>
      <c r="X89" s="110"/>
      <c r="Y89" s="201"/>
    </row>
    <row r="90" spans="1:113" ht="15" customHeight="1" x14ac:dyDescent="0.15">
      <c r="B90" s="13" t="s">
        <v>93</v>
      </c>
      <c r="C90" s="146"/>
      <c r="D90" s="42"/>
      <c r="E90" s="13"/>
      <c r="F90" s="43"/>
      <c r="G90" s="44"/>
      <c r="H90" s="107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9"/>
      <c r="T90" s="81"/>
      <c r="U90" s="49"/>
      <c r="V90" s="50"/>
      <c r="W90" s="82"/>
      <c r="X90" s="110"/>
      <c r="Y90" s="200"/>
    </row>
    <row r="91" spans="1:113" ht="15" customHeight="1" x14ac:dyDescent="0.15">
      <c r="B91" s="13" t="s">
        <v>94</v>
      </c>
      <c r="C91" s="146"/>
      <c r="D91" s="42"/>
      <c r="E91" s="13"/>
      <c r="F91" s="43"/>
      <c r="G91" s="44"/>
      <c r="H91" s="107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9"/>
      <c r="T91" s="81"/>
      <c r="U91" s="49"/>
      <c r="V91" s="50"/>
      <c r="W91" s="82"/>
      <c r="X91" s="110"/>
      <c r="Y91" s="201"/>
    </row>
    <row r="92" spans="1:113" ht="15" customHeight="1" x14ac:dyDescent="0.15">
      <c r="B92" s="13" t="s">
        <v>95</v>
      </c>
      <c r="C92" s="146"/>
      <c r="D92" s="42"/>
      <c r="E92" s="13"/>
      <c r="F92" s="43"/>
      <c r="G92" s="44"/>
      <c r="H92" s="107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9"/>
      <c r="T92" s="81"/>
      <c r="U92" s="49"/>
      <c r="V92" s="50"/>
      <c r="W92" s="82"/>
      <c r="X92" s="110"/>
      <c r="Y92" s="200"/>
    </row>
    <row r="93" spans="1:113" ht="15" customHeight="1" thickBot="1" x14ac:dyDescent="0.25">
      <c r="B93" s="96"/>
      <c r="C93" s="149"/>
      <c r="D93" s="97"/>
      <c r="E93" s="62"/>
      <c r="F93" s="98"/>
      <c r="G93" s="99"/>
      <c r="H93" s="97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98"/>
      <c r="T93" s="89">
        <f>SUM(T85:T92)</f>
        <v>0</v>
      </c>
      <c r="U93" s="69" t="e">
        <f>AVERAGE(U85:U92)</f>
        <v>#DIV/0!</v>
      </c>
      <c r="V93" s="70">
        <f>SUM(V85:V92)</f>
        <v>0</v>
      </c>
      <c r="W93" s="69" t="e">
        <f>AVERAGE(W85:W92)</f>
        <v>#DIV/0!</v>
      </c>
      <c r="X93" s="93" t="e">
        <f>AVERAGE(X85:X92)</f>
        <v>#DIV/0!</v>
      </c>
      <c r="Y93" s="201"/>
    </row>
    <row r="94" spans="1:113" ht="15" customHeight="1" x14ac:dyDescent="0.2">
      <c r="B94" s="3"/>
      <c r="C94" s="3"/>
      <c r="D94" s="3"/>
      <c r="E94" s="1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76"/>
      <c r="U94" s="177"/>
      <c r="V94" s="176"/>
      <c r="W94" s="177"/>
      <c r="X94" s="179"/>
      <c r="Y94" s="200"/>
    </row>
    <row r="95" spans="1:113" ht="15" customHeight="1" x14ac:dyDescent="0.2">
      <c r="B95" s="3"/>
      <c r="C95" s="3"/>
      <c r="D95" s="3"/>
      <c r="E95" s="1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76"/>
      <c r="U95" s="177"/>
      <c r="V95" s="176"/>
      <c r="W95" s="177"/>
      <c r="X95" s="179"/>
      <c r="Y95" s="201"/>
    </row>
    <row r="96" spans="1:113" ht="15" customHeight="1" x14ac:dyDescent="0.2">
      <c r="B96" s="3"/>
      <c r="C96" s="3"/>
      <c r="D96" s="3"/>
      <c r="E96" s="1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76"/>
      <c r="U96" s="177"/>
      <c r="V96" s="176"/>
      <c r="W96" s="177"/>
      <c r="X96" s="179"/>
      <c r="Y96" s="200"/>
    </row>
    <row r="97" spans="1:113" ht="15" customHeight="1" x14ac:dyDescent="0.2">
      <c r="B97" s="3"/>
      <c r="C97" s="3"/>
      <c r="D97" s="3"/>
      <c r="E97" s="1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5"/>
      <c r="U97" s="72"/>
      <c r="V97" s="15"/>
      <c r="W97" s="72"/>
      <c r="X97" s="4"/>
      <c r="Y97" s="201"/>
    </row>
    <row r="98" spans="1:113" ht="66" customHeight="1" thickBot="1" x14ac:dyDescent="0.25">
      <c r="B98" s="17" t="s">
        <v>73</v>
      </c>
      <c r="C98" s="17"/>
      <c r="U98" s="90"/>
      <c r="V98" s="90"/>
      <c r="W98" s="90"/>
      <c r="Y98" s="200"/>
    </row>
    <row r="99" spans="1:113" ht="15" customHeight="1" x14ac:dyDescent="0.2">
      <c r="B99" s="385" t="s">
        <v>1</v>
      </c>
      <c r="C99" s="387" t="s">
        <v>77</v>
      </c>
      <c r="D99" s="389" t="s">
        <v>2</v>
      </c>
      <c r="E99" s="385" t="s">
        <v>24</v>
      </c>
      <c r="F99" s="406" t="s">
        <v>4</v>
      </c>
      <c r="G99" s="389" t="s">
        <v>5</v>
      </c>
      <c r="H99" s="406"/>
      <c r="I99" s="406"/>
      <c r="J99" s="406"/>
      <c r="K99" s="406"/>
      <c r="L99" s="406"/>
      <c r="M99" s="406"/>
      <c r="N99" s="406"/>
      <c r="O99" s="406"/>
      <c r="P99" s="406"/>
      <c r="Q99" s="406"/>
      <c r="R99" s="406"/>
      <c r="S99" s="391"/>
      <c r="T99" s="410" t="s">
        <v>6</v>
      </c>
      <c r="U99" s="399"/>
      <c r="V99" s="399"/>
      <c r="W99" s="399"/>
      <c r="X99" s="400"/>
      <c r="Y99" s="201"/>
    </row>
    <row r="100" spans="1:113" ht="28.5" customHeight="1" thickBot="1" x14ac:dyDescent="0.25">
      <c r="A100" s="6"/>
      <c r="B100" s="397"/>
      <c r="C100" s="388"/>
      <c r="D100" s="390"/>
      <c r="E100" s="386"/>
      <c r="F100" s="405"/>
      <c r="G100" s="7" t="s">
        <v>103</v>
      </c>
      <c r="H100" s="19" t="s">
        <v>38</v>
      </c>
      <c r="I100" s="19" t="s">
        <v>39</v>
      </c>
      <c r="J100" s="19" t="s">
        <v>40</v>
      </c>
      <c r="K100" s="19" t="s">
        <v>41</v>
      </c>
      <c r="L100" s="19" t="s">
        <v>42</v>
      </c>
      <c r="M100" s="19" t="s">
        <v>43</v>
      </c>
      <c r="N100" s="19" t="s">
        <v>44</v>
      </c>
      <c r="O100" s="19" t="s">
        <v>45</v>
      </c>
      <c r="P100" s="20" t="s">
        <v>29</v>
      </c>
      <c r="Q100" s="19" t="s">
        <v>46</v>
      </c>
      <c r="R100" s="19" t="s">
        <v>47</v>
      </c>
      <c r="S100" s="21">
        <v>50</v>
      </c>
      <c r="T100" s="9" t="s">
        <v>18</v>
      </c>
      <c r="U100" s="9" t="s">
        <v>19</v>
      </c>
      <c r="V100" s="11" t="s">
        <v>20</v>
      </c>
      <c r="W100" s="194" t="s">
        <v>21</v>
      </c>
      <c r="X100" s="195" t="s">
        <v>22</v>
      </c>
      <c r="Y100" s="200"/>
    </row>
    <row r="101" spans="1:113" s="6" customFormat="1" ht="30.75" customHeight="1" x14ac:dyDescent="0.2">
      <c r="B101" s="12" t="s">
        <v>88</v>
      </c>
      <c r="C101" s="145"/>
      <c r="D101" s="31"/>
      <c r="E101" s="12"/>
      <c r="F101" s="32"/>
      <c r="G101" s="33"/>
      <c r="H101" s="112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4"/>
      <c r="T101" s="77"/>
      <c r="U101" s="38"/>
      <c r="V101" s="39"/>
      <c r="W101" s="78"/>
      <c r="X101" s="79"/>
      <c r="Y101" s="201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  <c r="CF101" s="29"/>
      <c r="CG101" s="29"/>
      <c r="CH101" s="29"/>
      <c r="CI101" s="29"/>
      <c r="CJ101" s="29"/>
      <c r="CK101" s="29"/>
      <c r="CL101" s="29"/>
      <c r="CM101" s="29"/>
      <c r="CN101" s="29"/>
      <c r="CO101" s="29"/>
      <c r="CP101" s="29"/>
      <c r="CQ101" s="29"/>
      <c r="CR101" s="29"/>
      <c r="CS101" s="29"/>
      <c r="CT101" s="29"/>
      <c r="CU101" s="29"/>
      <c r="CV101" s="29"/>
      <c r="CW101" s="29"/>
      <c r="CX101" s="29"/>
      <c r="CY101" s="29"/>
      <c r="CZ101" s="29"/>
      <c r="DA101" s="29"/>
      <c r="DB101" s="29"/>
      <c r="DC101" s="29"/>
      <c r="DD101" s="29"/>
      <c r="DE101" s="29"/>
      <c r="DF101" s="29"/>
      <c r="DG101" s="29"/>
      <c r="DH101" s="29"/>
      <c r="DI101" s="29"/>
    </row>
    <row r="102" spans="1:113" s="6" customFormat="1" ht="15" customHeight="1" x14ac:dyDescent="0.2">
      <c r="A102" s="1"/>
      <c r="B102" s="13" t="s">
        <v>89</v>
      </c>
      <c r="C102" s="146"/>
      <c r="D102" s="42"/>
      <c r="E102" s="13"/>
      <c r="F102" s="43"/>
      <c r="G102" s="44"/>
      <c r="H102" s="107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9"/>
      <c r="T102" s="81"/>
      <c r="U102" s="49"/>
      <c r="V102" s="50"/>
      <c r="W102" s="82"/>
      <c r="X102" s="83"/>
      <c r="Y102" s="200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  <c r="CF102" s="29"/>
      <c r="CG102" s="29"/>
      <c r="CH102" s="29"/>
      <c r="CI102" s="29"/>
      <c r="CJ102" s="29"/>
      <c r="CK102" s="29"/>
      <c r="CL102" s="29"/>
      <c r="CM102" s="29"/>
      <c r="CN102" s="29"/>
      <c r="CO102" s="29"/>
      <c r="CP102" s="29"/>
      <c r="CQ102" s="29"/>
      <c r="CR102" s="29"/>
      <c r="CS102" s="29"/>
      <c r="CT102" s="29"/>
      <c r="CU102" s="29"/>
      <c r="CV102" s="29"/>
      <c r="CW102" s="29"/>
      <c r="CX102" s="29"/>
      <c r="CY102" s="29"/>
      <c r="CZ102" s="29"/>
      <c r="DA102" s="29"/>
      <c r="DB102" s="29"/>
      <c r="DC102" s="29"/>
      <c r="DD102" s="29"/>
      <c r="DE102" s="29"/>
      <c r="DF102" s="29"/>
      <c r="DG102" s="29"/>
      <c r="DH102" s="29"/>
      <c r="DI102" s="29"/>
    </row>
    <row r="103" spans="1:113" ht="15" customHeight="1" x14ac:dyDescent="0.2">
      <c r="B103" s="13" t="s">
        <v>90</v>
      </c>
      <c r="C103" s="146"/>
      <c r="D103" s="42"/>
      <c r="E103" s="13"/>
      <c r="F103" s="43"/>
      <c r="G103" s="44"/>
      <c r="H103" s="107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9"/>
      <c r="T103" s="81"/>
      <c r="U103" s="49"/>
      <c r="V103" s="50"/>
      <c r="W103" s="82"/>
      <c r="X103" s="83"/>
      <c r="Y103" s="201"/>
    </row>
    <row r="104" spans="1:113" ht="15" customHeight="1" x14ac:dyDescent="0.2">
      <c r="B104" s="13" t="s">
        <v>91</v>
      </c>
      <c r="C104" s="146"/>
      <c r="D104" s="42"/>
      <c r="E104" s="13"/>
      <c r="F104" s="43"/>
      <c r="G104" s="44"/>
      <c r="H104" s="107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9"/>
      <c r="T104" s="81"/>
      <c r="U104" s="49"/>
      <c r="V104" s="50"/>
      <c r="W104" s="82"/>
      <c r="X104" s="83"/>
      <c r="Y104" s="200"/>
    </row>
    <row r="105" spans="1:113" ht="15" customHeight="1" x14ac:dyDescent="0.2">
      <c r="B105" s="13" t="s">
        <v>92</v>
      </c>
      <c r="C105" s="146"/>
      <c r="D105" s="42"/>
      <c r="E105" s="13"/>
      <c r="F105" s="43"/>
      <c r="G105" s="44"/>
      <c r="H105" s="107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9"/>
      <c r="T105" s="81"/>
      <c r="U105" s="49"/>
      <c r="V105" s="50"/>
      <c r="W105" s="82"/>
      <c r="X105" s="83"/>
      <c r="Y105" s="201"/>
    </row>
    <row r="106" spans="1:113" ht="15" customHeight="1" x14ac:dyDescent="0.2">
      <c r="B106" s="13" t="s">
        <v>93</v>
      </c>
      <c r="C106" s="146"/>
      <c r="D106" s="42"/>
      <c r="E106" s="13"/>
      <c r="F106" s="43"/>
      <c r="G106" s="44"/>
      <c r="H106" s="107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9"/>
      <c r="T106" s="81"/>
      <c r="U106" s="49"/>
      <c r="V106" s="50"/>
      <c r="W106" s="82"/>
      <c r="X106" s="83"/>
      <c r="Y106" s="200"/>
    </row>
    <row r="107" spans="1:113" ht="15" customHeight="1" x14ac:dyDescent="0.2">
      <c r="B107" s="13" t="s">
        <v>94</v>
      </c>
      <c r="C107" s="146"/>
      <c r="D107" s="42"/>
      <c r="E107" s="13"/>
      <c r="F107" s="43"/>
      <c r="G107" s="44"/>
      <c r="H107" s="107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9"/>
      <c r="T107" s="81"/>
      <c r="U107" s="49"/>
      <c r="V107" s="50"/>
      <c r="W107" s="82"/>
      <c r="X107" s="83"/>
      <c r="Y107" s="201"/>
    </row>
    <row r="108" spans="1:113" ht="15" customHeight="1" x14ac:dyDescent="0.2">
      <c r="B108" s="13" t="s">
        <v>95</v>
      </c>
      <c r="C108" s="146"/>
      <c r="D108" s="42"/>
      <c r="E108" s="13"/>
      <c r="F108" s="43"/>
      <c r="G108" s="44"/>
      <c r="H108" s="107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9"/>
      <c r="T108" s="81"/>
      <c r="U108" s="49"/>
      <c r="V108" s="50"/>
      <c r="W108" s="82"/>
      <c r="X108" s="83"/>
      <c r="Y108" s="200"/>
    </row>
    <row r="109" spans="1:113" ht="15" customHeight="1" thickBot="1" x14ac:dyDescent="0.25">
      <c r="B109" s="96"/>
      <c r="C109" s="149"/>
      <c r="D109" s="97"/>
      <c r="E109" s="62"/>
      <c r="F109" s="98"/>
      <c r="G109" s="115"/>
      <c r="H109" s="97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98"/>
      <c r="T109" s="89">
        <f>SUM(T101:T108)</f>
        <v>0</v>
      </c>
      <c r="U109" s="69" t="e">
        <f>AVERAGE(U101:U108)</f>
        <v>#DIV/0!</v>
      </c>
      <c r="V109" s="70">
        <f>SUM(V101:V108)</f>
        <v>0</v>
      </c>
      <c r="W109" s="69" t="e">
        <f>AVERAGE(W101:W108)</f>
        <v>#DIV/0!</v>
      </c>
      <c r="X109" s="93" t="e">
        <f>AVERAGE(X101:X108)</f>
        <v>#DIV/0!</v>
      </c>
      <c r="Y109" s="201"/>
    </row>
    <row r="110" spans="1:113" ht="15" customHeight="1" x14ac:dyDescent="0.2">
      <c r="B110" s="3"/>
      <c r="C110" s="3"/>
      <c r="D110" s="3"/>
      <c r="E110" s="15"/>
      <c r="F110" s="3"/>
      <c r="G110" s="187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76"/>
      <c r="U110" s="177"/>
      <c r="V110" s="176"/>
      <c r="W110" s="177"/>
      <c r="X110" s="179"/>
      <c r="Y110" s="200"/>
    </row>
    <row r="111" spans="1:113" ht="15" customHeight="1" x14ac:dyDescent="0.2">
      <c r="B111" s="3"/>
      <c r="C111" s="3"/>
      <c r="D111" s="3"/>
      <c r="E111" s="15"/>
      <c r="F111" s="3"/>
      <c r="G111" s="1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76"/>
      <c r="U111" s="177"/>
      <c r="V111" s="176"/>
      <c r="W111" s="177"/>
      <c r="X111" s="179"/>
      <c r="Y111" s="201"/>
    </row>
    <row r="112" spans="1:113" ht="15" customHeight="1" x14ac:dyDescent="0.2">
      <c r="A112" s="24"/>
      <c r="Y112" s="200"/>
    </row>
    <row r="113" spans="1:25" ht="15" customHeight="1" x14ac:dyDescent="0.2">
      <c r="A113" s="24"/>
      <c r="Y113" s="201"/>
    </row>
    <row r="114" spans="1:25" ht="15" customHeight="1" x14ac:dyDescent="0.2">
      <c r="A114" s="24"/>
      <c r="Y114" s="200"/>
    </row>
    <row r="115" spans="1:25" ht="15" hidden="1" customHeight="1" x14ac:dyDescent="0.2">
      <c r="A115" s="24"/>
      <c r="Y115" s="201"/>
    </row>
    <row r="116" spans="1:25" ht="15" hidden="1" customHeight="1" x14ac:dyDescent="0.2">
      <c r="A116" s="24"/>
      <c r="Y116" s="200"/>
    </row>
    <row r="117" spans="1:25" ht="15" hidden="1" customHeight="1" x14ac:dyDescent="0.2">
      <c r="A117" s="24"/>
      <c r="Y117" s="201"/>
    </row>
    <row r="118" spans="1:25" ht="15" hidden="1" customHeight="1" x14ac:dyDescent="0.2">
      <c r="A118" s="24"/>
      <c r="Y118" s="200"/>
    </row>
    <row r="119" spans="1:25" ht="15" hidden="1" customHeight="1" x14ac:dyDescent="0.2">
      <c r="A119" s="24"/>
      <c r="Y119" s="201"/>
    </row>
    <row r="120" spans="1:25" ht="15" hidden="1" customHeight="1" x14ac:dyDescent="0.2">
      <c r="A120" s="24"/>
      <c r="Y120" s="200"/>
    </row>
    <row r="121" spans="1:25" ht="15" hidden="1" customHeight="1" x14ac:dyDescent="0.2">
      <c r="A121" s="24"/>
      <c r="Y121" s="201"/>
    </row>
    <row r="122" spans="1:25" ht="15" hidden="1" customHeight="1" x14ac:dyDescent="0.2">
      <c r="A122" s="24"/>
      <c r="Y122" s="200"/>
    </row>
    <row r="123" spans="1:25" ht="15" hidden="1" customHeight="1" x14ac:dyDescent="0.2">
      <c r="A123" s="24"/>
      <c r="Y123" s="201"/>
    </row>
    <row r="124" spans="1:25" ht="15" hidden="1" customHeight="1" x14ac:dyDescent="0.2">
      <c r="A124" s="24"/>
      <c r="Y124" s="200"/>
    </row>
    <row r="125" spans="1:25" ht="15" hidden="1" customHeight="1" x14ac:dyDescent="0.2">
      <c r="A125" s="24"/>
      <c r="Y125" s="201"/>
    </row>
    <row r="126" spans="1:25" ht="15" hidden="1" customHeight="1" x14ac:dyDescent="0.2">
      <c r="A126" s="24"/>
      <c r="Y126" s="200"/>
    </row>
    <row r="127" spans="1:25" ht="15" hidden="1" customHeight="1" x14ac:dyDescent="0.2">
      <c r="A127" s="24"/>
      <c r="Y127" s="201"/>
    </row>
    <row r="128" spans="1:25" ht="15" hidden="1" customHeight="1" x14ac:dyDescent="0.2">
      <c r="A128" s="24"/>
      <c r="Y128" s="200"/>
    </row>
    <row r="129" spans="1:25" s="24" customFormat="1" ht="59.25" customHeight="1" x14ac:dyDescent="0.2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16"/>
      <c r="V129" s="16"/>
      <c r="W129" s="16"/>
      <c r="X129" s="4"/>
      <c r="Y129" s="201"/>
    </row>
    <row r="130" spans="1:25" s="24" customFormat="1" ht="11.25" customHeight="1" thickBot="1" x14ac:dyDescent="0.25">
      <c r="B130" s="401" t="s">
        <v>50</v>
      </c>
      <c r="C130" s="40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90"/>
      <c r="V130" s="90"/>
      <c r="W130" s="90"/>
      <c r="X130" s="91"/>
      <c r="Y130" s="200"/>
    </row>
    <row r="131" spans="1:25" s="24" customFormat="1" ht="12.95" customHeight="1" thickBot="1" x14ac:dyDescent="0.25">
      <c r="B131" s="389" t="s">
        <v>1</v>
      </c>
      <c r="C131" s="387" t="s">
        <v>77</v>
      </c>
      <c r="D131" s="389" t="s">
        <v>51</v>
      </c>
      <c r="E131" s="385" t="s">
        <v>4</v>
      </c>
      <c r="F131" s="406" t="s">
        <v>3</v>
      </c>
      <c r="G131" s="398" t="s">
        <v>52</v>
      </c>
      <c r="H131" s="399"/>
      <c r="I131" s="399"/>
      <c r="J131" s="399"/>
      <c r="K131" s="399"/>
      <c r="L131" s="399"/>
      <c r="M131" s="399"/>
      <c r="N131" s="399"/>
      <c r="O131" s="399"/>
      <c r="P131" s="400"/>
      <c r="Q131" s="393" t="s">
        <v>53</v>
      </c>
      <c r="R131" s="394"/>
      <c r="S131" s="394"/>
      <c r="T131" s="394"/>
      <c r="U131" s="394"/>
      <c r="V131" s="394"/>
      <c r="W131" s="395"/>
      <c r="Y131" s="201"/>
    </row>
    <row r="132" spans="1:25" s="24" customFormat="1" ht="29.25" customHeight="1" thickBot="1" x14ac:dyDescent="0.25">
      <c r="B132" s="396"/>
      <c r="C132" s="388"/>
      <c r="D132" s="390"/>
      <c r="E132" s="397"/>
      <c r="F132" s="405"/>
      <c r="G132" s="140" t="s">
        <v>54</v>
      </c>
      <c r="H132" s="9" t="s">
        <v>55</v>
      </c>
      <c r="I132" s="9" t="s">
        <v>56</v>
      </c>
      <c r="J132" s="9" t="s">
        <v>57</v>
      </c>
      <c r="K132" s="9" t="s">
        <v>58</v>
      </c>
      <c r="L132" s="9" t="s">
        <v>59</v>
      </c>
      <c r="M132" s="9" t="s">
        <v>60</v>
      </c>
      <c r="N132" s="9" t="s">
        <v>61</v>
      </c>
      <c r="O132" s="141" t="s">
        <v>62</v>
      </c>
      <c r="P132" s="151" t="s">
        <v>63</v>
      </c>
      <c r="Q132" s="152" t="s">
        <v>54</v>
      </c>
      <c r="R132" s="153" t="s">
        <v>55</v>
      </c>
      <c r="S132" s="153" t="s">
        <v>56</v>
      </c>
      <c r="T132" s="153" t="s">
        <v>57</v>
      </c>
      <c r="U132" s="153" t="s">
        <v>58</v>
      </c>
      <c r="V132" s="153" t="s">
        <v>59</v>
      </c>
      <c r="W132" s="154" t="s">
        <v>60</v>
      </c>
      <c r="Y132" s="200"/>
    </row>
    <row r="133" spans="1:25" s="24" customFormat="1" ht="27" customHeight="1" x14ac:dyDescent="0.2">
      <c r="B133" s="12" t="s">
        <v>88</v>
      </c>
      <c r="C133" s="145"/>
      <c r="D133" s="142"/>
      <c r="E133" s="12"/>
      <c r="F133" s="32"/>
      <c r="G133" s="34"/>
      <c r="H133" s="35"/>
      <c r="I133" s="35"/>
      <c r="J133" s="35"/>
      <c r="K133" s="35"/>
      <c r="L133" s="35"/>
      <c r="M133" s="35"/>
      <c r="N133" s="35"/>
      <c r="O133" s="35"/>
      <c r="P133" s="155"/>
      <c r="Q133" s="183"/>
      <c r="R133" s="184"/>
      <c r="S133" s="184"/>
      <c r="T133" s="184"/>
      <c r="U133" s="185"/>
      <c r="V133" s="185"/>
      <c r="W133" s="186"/>
      <c r="Y133" s="201"/>
    </row>
    <row r="134" spans="1:25" s="24" customFormat="1" ht="15" customHeight="1" x14ac:dyDescent="0.2">
      <c r="B134" s="13" t="s">
        <v>89</v>
      </c>
      <c r="C134" s="146"/>
      <c r="D134" s="143"/>
      <c r="E134" s="13"/>
      <c r="F134" s="43"/>
      <c r="G134" s="45"/>
      <c r="H134" s="46"/>
      <c r="I134" s="46"/>
      <c r="J134" s="46"/>
      <c r="K134" s="46"/>
      <c r="L134" s="46"/>
      <c r="M134" s="46"/>
      <c r="N134" s="46"/>
      <c r="O134" s="46"/>
      <c r="P134" s="160"/>
      <c r="Q134" s="161"/>
      <c r="R134" s="162"/>
      <c r="S134" s="162"/>
      <c r="T134" s="162"/>
      <c r="U134" s="163"/>
      <c r="V134" s="163"/>
      <c r="W134" s="164"/>
      <c r="Y134" s="200"/>
    </row>
    <row r="135" spans="1:25" s="24" customFormat="1" ht="15" customHeight="1" x14ac:dyDescent="0.2">
      <c r="B135" s="13" t="s">
        <v>90</v>
      </c>
      <c r="C135" s="146"/>
      <c r="D135" s="143"/>
      <c r="E135" s="13"/>
      <c r="F135" s="43"/>
      <c r="G135" s="45"/>
      <c r="H135" s="46"/>
      <c r="I135" s="46"/>
      <c r="J135" s="46"/>
      <c r="K135" s="46"/>
      <c r="L135" s="46"/>
      <c r="M135" s="46"/>
      <c r="N135" s="46"/>
      <c r="O135" s="46"/>
      <c r="P135" s="160"/>
      <c r="Q135" s="161"/>
      <c r="R135" s="162"/>
      <c r="S135" s="162"/>
      <c r="T135" s="162"/>
      <c r="U135" s="163"/>
      <c r="V135" s="163"/>
      <c r="W135" s="164"/>
      <c r="Y135" s="201"/>
    </row>
    <row r="136" spans="1:25" s="24" customFormat="1" ht="15" customHeight="1" x14ac:dyDescent="0.2">
      <c r="B136" s="13" t="s">
        <v>91</v>
      </c>
      <c r="C136" s="146"/>
      <c r="D136" s="143"/>
      <c r="E136" s="13"/>
      <c r="F136" s="43"/>
      <c r="G136" s="45"/>
      <c r="H136" s="46"/>
      <c r="I136" s="46"/>
      <c r="J136" s="46"/>
      <c r="K136" s="46"/>
      <c r="L136" s="46"/>
      <c r="M136" s="46"/>
      <c r="N136" s="46"/>
      <c r="O136" s="46"/>
      <c r="P136" s="160"/>
      <c r="Q136" s="161"/>
      <c r="R136" s="162"/>
      <c r="S136" s="162"/>
      <c r="T136" s="162"/>
      <c r="U136" s="163"/>
      <c r="V136" s="163"/>
      <c r="W136" s="164"/>
      <c r="Y136" s="200"/>
    </row>
    <row r="137" spans="1:25" s="24" customFormat="1" ht="15" customHeight="1" x14ac:dyDescent="0.2">
      <c r="B137" s="13" t="s">
        <v>92</v>
      </c>
      <c r="C137" s="146"/>
      <c r="D137" s="143"/>
      <c r="E137" s="13"/>
      <c r="F137" s="43"/>
      <c r="G137" s="45"/>
      <c r="H137" s="46"/>
      <c r="I137" s="46"/>
      <c r="J137" s="46"/>
      <c r="K137" s="46"/>
      <c r="L137" s="46"/>
      <c r="M137" s="46"/>
      <c r="N137" s="46"/>
      <c r="O137" s="46"/>
      <c r="P137" s="160"/>
      <c r="Q137" s="161"/>
      <c r="R137" s="162"/>
      <c r="S137" s="162"/>
      <c r="T137" s="162"/>
      <c r="U137" s="163"/>
      <c r="V137" s="163"/>
      <c r="W137" s="164"/>
      <c r="Y137" s="201"/>
    </row>
    <row r="138" spans="1:25" s="24" customFormat="1" ht="15" customHeight="1" x14ac:dyDescent="0.2">
      <c r="B138" s="13" t="s">
        <v>93</v>
      </c>
      <c r="C138" s="146"/>
      <c r="D138" s="143"/>
      <c r="E138" s="13"/>
      <c r="F138" s="43"/>
      <c r="G138" s="45"/>
      <c r="H138" s="46"/>
      <c r="I138" s="46"/>
      <c r="J138" s="46"/>
      <c r="K138" s="46"/>
      <c r="L138" s="46"/>
      <c r="M138" s="46"/>
      <c r="N138" s="46"/>
      <c r="O138" s="46"/>
      <c r="P138" s="160"/>
      <c r="Q138" s="161"/>
      <c r="R138" s="162"/>
      <c r="S138" s="162"/>
      <c r="T138" s="162"/>
      <c r="U138" s="163"/>
      <c r="V138" s="163"/>
      <c r="W138" s="164"/>
      <c r="Y138" s="200"/>
    </row>
    <row r="139" spans="1:25" s="24" customFormat="1" ht="15" customHeight="1" x14ac:dyDescent="0.2">
      <c r="B139" s="13" t="s">
        <v>94</v>
      </c>
      <c r="C139" s="146"/>
      <c r="D139" s="143"/>
      <c r="E139" s="13"/>
      <c r="F139" s="43"/>
      <c r="G139" s="45"/>
      <c r="H139" s="46"/>
      <c r="I139" s="46"/>
      <c r="J139" s="46"/>
      <c r="K139" s="46"/>
      <c r="L139" s="46"/>
      <c r="M139" s="46"/>
      <c r="N139" s="46"/>
      <c r="O139" s="46"/>
      <c r="P139" s="160"/>
      <c r="Q139" s="161"/>
      <c r="R139" s="162"/>
      <c r="S139" s="162"/>
      <c r="T139" s="162"/>
      <c r="U139" s="163"/>
      <c r="V139" s="163"/>
      <c r="W139" s="164"/>
      <c r="Y139" s="201"/>
    </row>
    <row r="140" spans="1:25" s="24" customFormat="1" ht="15" customHeight="1" x14ac:dyDescent="0.2">
      <c r="B140" s="13" t="s">
        <v>95</v>
      </c>
      <c r="C140" s="146"/>
      <c r="D140" s="143"/>
      <c r="E140" s="13"/>
      <c r="F140" s="43"/>
      <c r="G140" s="45"/>
      <c r="H140" s="46"/>
      <c r="I140" s="46"/>
      <c r="J140" s="46"/>
      <c r="K140" s="46"/>
      <c r="L140" s="46"/>
      <c r="M140" s="46"/>
      <c r="N140" s="46"/>
      <c r="O140" s="46"/>
      <c r="P140" s="160"/>
      <c r="Q140" s="161"/>
      <c r="R140" s="162"/>
      <c r="S140" s="162"/>
      <c r="T140" s="162"/>
      <c r="U140" s="163"/>
      <c r="V140" s="163"/>
      <c r="W140" s="164"/>
      <c r="Y140" s="200"/>
    </row>
    <row r="141" spans="1:25" s="24" customFormat="1" ht="15" customHeight="1" thickBot="1" x14ac:dyDescent="0.25">
      <c r="B141" s="14" t="s">
        <v>96</v>
      </c>
      <c r="C141" s="147"/>
      <c r="D141" s="144"/>
      <c r="E141" s="14"/>
      <c r="F141" s="54"/>
      <c r="G141" s="56"/>
      <c r="H141" s="57"/>
      <c r="I141" s="57"/>
      <c r="J141" s="57"/>
      <c r="K141" s="57"/>
      <c r="L141" s="57"/>
      <c r="M141" s="57"/>
      <c r="N141" s="57"/>
      <c r="O141" s="57"/>
      <c r="P141" s="165"/>
      <c r="Q141" s="166"/>
      <c r="R141" s="167"/>
      <c r="S141" s="167"/>
      <c r="T141" s="167"/>
      <c r="U141" s="168"/>
      <c r="V141" s="168"/>
      <c r="W141" s="169"/>
      <c r="Y141" s="201"/>
    </row>
    <row r="142" spans="1:25" s="24" customFormat="1" ht="1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91"/>
    </row>
    <row r="149" spans="113:113" ht="12.95" customHeight="1" x14ac:dyDescent="0.2">
      <c r="DI149" s="1"/>
    </row>
    <row r="150" spans="113:113" ht="12.95" customHeight="1" x14ac:dyDescent="0.2">
      <c r="DI150" s="1"/>
    </row>
    <row r="151" spans="113:113" ht="12.95" customHeight="1" x14ac:dyDescent="0.2">
      <c r="DI151" s="1"/>
    </row>
    <row r="152" spans="113:113" ht="12.95" customHeight="1" x14ac:dyDescent="0.2">
      <c r="DI152" s="1"/>
    </row>
    <row r="153" spans="113:113" ht="12.95" customHeight="1" x14ac:dyDescent="0.2">
      <c r="DI153" s="1"/>
    </row>
    <row r="154" spans="113:113" ht="12.95" customHeight="1" x14ac:dyDescent="0.2">
      <c r="DI154" s="1"/>
    </row>
    <row r="155" spans="113:113" ht="12.95" customHeight="1" x14ac:dyDescent="0.2">
      <c r="DI155" s="1"/>
    </row>
    <row r="156" spans="113:113" ht="12.95" customHeight="1" x14ac:dyDescent="0.2">
      <c r="DI156" s="1"/>
    </row>
    <row r="157" spans="113:113" ht="12.95" customHeight="1" x14ac:dyDescent="0.2">
      <c r="DI157" s="1"/>
    </row>
    <row r="158" spans="113:113" ht="12.95" customHeight="1" x14ac:dyDescent="0.2">
      <c r="DI158" s="1"/>
    </row>
    <row r="159" spans="113:113" ht="12.95" customHeight="1" x14ac:dyDescent="0.2">
      <c r="DI159" s="1"/>
    </row>
    <row r="160" spans="113:113" ht="12.95" customHeight="1" x14ac:dyDescent="0.2">
      <c r="DI160" s="1"/>
    </row>
    <row r="161" spans="113:113" ht="12.95" customHeight="1" x14ac:dyDescent="0.2">
      <c r="DI161" s="1"/>
    </row>
    <row r="162" spans="113:113" ht="12.95" customHeight="1" x14ac:dyDescent="0.2">
      <c r="DI162" s="1"/>
    </row>
    <row r="163" spans="113:113" ht="12.95" customHeight="1" x14ac:dyDescent="0.2">
      <c r="DI163" s="1"/>
    </row>
    <row r="164" spans="113:113" ht="12.95" customHeight="1" x14ac:dyDescent="0.2">
      <c r="DI164" s="1"/>
    </row>
    <row r="165" spans="113:113" ht="12.95" customHeight="1" x14ac:dyDescent="0.2">
      <c r="DI165" s="1"/>
    </row>
    <row r="166" spans="113:113" ht="12.95" customHeight="1" x14ac:dyDescent="0.2">
      <c r="DI166" s="1"/>
    </row>
    <row r="167" spans="113:113" ht="12.95" customHeight="1" x14ac:dyDescent="0.2">
      <c r="DI167" s="1"/>
    </row>
    <row r="168" spans="113:113" ht="12.95" customHeight="1" x14ac:dyDescent="0.2">
      <c r="DI168" s="1"/>
    </row>
    <row r="169" spans="113:113" ht="12.95" customHeight="1" x14ac:dyDescent="0.2">
      <c r="DI169" s="1"/>
    </row>
    <row r="170" spans="113:113" ht="12.95" customHeight="1" x14ac:dyDescent="0.2">
      <c r="DI170" s="1"/>
    </row>
    <row r="171" spans="113:113" ht="12.95" customHeight="1" x14ac:dyDescent="0.2">
      <c r="DI171" s="1"/>
    </row>
    <row r="172" spans="113:113" ht="12.95" customHeight="1" x14ac:dyDescent="0.2">
      <c r="DI172" s="1"/>
    </row>
    <row r="173" spans="113:113" ht="12.95" customHeight="1" x14ac:dyDescent="0.2">
      <c r="DI173" s="1"/>
    </row>
    <row r="174" spans="113:113" ht="12.95" customHeight="1" x14ac:dyDescent="0.2">
      <c r="DI174" s="1"/>
    </row>
    <row r="175" spans="113:113" ht="12.95" customHeight="1" x14ac:dyDescent="0.2">
      <c r="DI175" s="1"/>
    </row>
    <row r="176" spans="113:113" ht="12.95" customHeight="1" x14ac:dyDescent="0.2">
      <c r="DI176" s="1"/>
    </row>
    <row r="177" spans="113:113" ht="12.95" customHeight="1" x14ac:dyDescent="0.2">
      <c r="DI177" s="1"/>
    </row>
    <row r="178" spans="113:113" ht="12.95" customHeight="1" x14ac:dyDescent="0.2">
      <c r="DI178" s="1"/>
    </row>
    <row r="179" spans="113:113" ht="12.95" customHeight="1" x14ac:dyDescent="0.2">
      <c r="DI179" s="1"/>
    </row>
    <row r="180" spans="113:113" ht="12.95" customHeight="1" x14ac:dyDescent="0.2">
      <c r="DI180" s="1"/>
    </row>
    <row r="181" spans="113:113" ht="12.95" customHeight="1" x14ac:dyDescent="0.2">
      <c r="DI181" s="1"/>
    </row>
  </sheetData>
  <sheetProtection autoFilter="0"/>
  <mergeCells count="58">
    <mergeCell ref="Q131:W131"/>
    <mergeCell ref="B130:C130"/>
    <mergeCell ref="B131:B132"/>
    <mergeCell ref="C131:C132"/>
    <mergeCell ref="D131:D132"/>
    <mergeCell ref="E131:E132"/>
    <mergeCell ref="F131:F132"/>
    <mergeCell ref="G131:P131"/>
    <mergeCell ref="T83:X83"/>
    <mergeCell ref="B99:B100"/>
    <mergeCell ref="C99:C100"/>
    <mergeCell ref="D99:D100"/>
    <mergeCell ref="E99:E100"/>
    <mergeCell ref="F99:F100"/>
    <mergeCell ref="G99:S99"/>
    <mergeCell ref="T99:X99"/>
    <mergeCell ref="B83:B84"/>
    <mergeCell ref="C83:C84"/>
    <mergeCell ref="D83:D84"/>
    <mergeCell ref="E83:E84"/>
    <mergeCell ref="F83:F84"/>
    <mergeCell ref="G83:S83"/>
    <mergeCell ref="T51:X51"/>
    <mergeCell ref="B67:B68"/>
    <mergeCell ref="C67:C68"/>
    <mergeCell ref="D67:D68"/>
    <mergeCell ref="E67:E68"/>
    <mergeCell ref="F67:F68"/>
    <mergeCell ref="G67:S67"/>
    <mergeCell ref="T67:X67"/>
    <mergeCell ref="B51:B52"/>
    <mergeCell ref="C51:C52"/>
    <mergeCell ref="D51:D52"/>
    <mergeCell ref="E51:E52"/>
    <mergeCell ref="F51:F52"/>
    <mergeCell ref="G51:S51"/>
    <mergeCell ref="T19:X19"/>
    <mergeCell ref="B35:B36"/>
    <mergeCell ref="C35:C36"/>
    <mergeCell ref="D35:D36"/>
    <mergeCell ref="E35:E36"/>
    <mergeCell ref="F35:F36"/>
    <mergeCell ref="G35:S35"/>
    <mergeCell ref="T35:X35"/>
    <mergeCell ref="B19:B20"/>
    <mergeCell ref="C19:C20"/>
    <mergeCell ref="D19:D20"/>
    <mergeCell ref="E19:E20"/>
    <mergeCell ref="F19:F20"/>
    <mergeCell ref="G19:S19"/>
    <mergeCell ref="B1:X1"/>
    <mergeCell ref="B3:B4"/>
    <mergeCell ref="C3:C4"/>
    <mergeCell ref="D3:D4"/>
    <mergeCell ref="E3:E4"/>
    <mergeCell ref="F3:F4"/>
    <mergeCell ref="G3:S3"/>
    <mergeCell ref="T3:X3"/>
  </mergeCells>
  <phoneticPr fontId="1" type="noConversion"/>
  <printOptions horizontalCentered="1"/>
  <pageMargins left="0.196850393700787" right="0.15748031496063" top="0.43307086614173201" bottom="0.23622047244094499" header="0.511811023622047" footer="0.511811023622047"/>
  <pageSetup paperSize="9" scale="90" orientation="portrait" r:id="rId1"/>
  <headerFooter scaleWithDoc="0" alignWithMargins="0"/>
  <rowBreaks count="2" manualBreakCount="2">
    <brk id="49" max="23" man="1"/>
    <brk id="96" max="2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31DB-BAF7-4F61-9BDC-4944679AE7DE}">
  <sheetPr>
    <tabColor theme="4" tint="-0.249977111117893"/>
  </sheetPr>
  <dimension ref="A1"/>
  <sheetViews>
    <sheetView workbookViewId="0">
      <selection activeCell="E31" sqref="E31"/>
    </sheetView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命名范围</vt:lpstr>
      </vt:variant>
      <vt:variant>
        <vt:i4>20</vt:i4>
      </vt:variant>
    </vt:vector>
  </HeadingPairs>
  <TitlesOfParts>
    <vt:vector size="31" baseType="lpstr">
      <vt:lpstr>八年级2025_40</vt:lpstr>
      <vt:lpstr>七年级2025_40</vt:lpstr>
      <vt:lpstr>九年级2025_40</vt:lpstr>
      <vt:lpstr>八年级2025</vt:lpstr>
      <vt:lpstr>七年级2025</vt:lpstr>
      <vt:lpstr>九年级2025</vt:lpstr>
      <vt:lpstr>九年级</vt:lpstr>
      <vt:lpstr>八年级</vt:lpstr>
      <vt:lpstr>八年级新</vt:lpstr>
      <vt:lpstr>七年级</vt:lpstr>
      <vt:lpstr>空白</vt:lpstr>
      <vt:lpstr>八年级!Print_Area</vt:lpstr>
      <vt:lpstr>八年级2025!Print_Area</vt:lpstr>
      <vt:lpstr>八年级2025_40!Print_Area</vt:lpstr>
      <vt:lpstr>八年级新!Print_Area</vt:lpstr>
      <vt:lpstr>九年级!Print_Area</vt:lpstr>
      <vt:lpstr>九年级2025!Print_Area</vt:lpstr>
      <vt:lpstr>九年级2025_40!Print_Area</vt:lpstr>
      <vt:lpstr>七年级!Print_Area</vt:lpstr>
      <vt:lpstr>七年级2025!Print_Area</vt:lpstr>
      <vt:lpstr>七年级2025_40!Print_Area</vt:lpstr>
      <vt:lpstr>八年级!Print_Titles</vt:lpstr>
      <vt:lpstr>八年级2025!Print_Titles</vt:lpstr>
      <vt:lpstr>八年级2025_40!Print_Titles</vt:lpstr>
      <vt:lpstr>八年级新!Print_Titles</vt:lpstr>
      <vt:lpstr>九年级!Print_Titles</vt:lpstr>
      <vt:lpstr>九年级2025!Print_Titles</vt:lpstr>
      <vt:lpstr>九年级2025_40!Print_Titles</vt:lpstr>
      <vt:lpstr>七年级!Print_Titles</vt:lpstr>
      <vt:lpstr>七年级2025!Print_Titles</vt:lpstr>
      <vt:lpstr>七年级2025_40!Print_Titles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loongsea</dc:creator>
  <cp:lastModifiedBy>长海 贾</cp:lastModifiedBy>
  <dcterms:created xsi:type="dcterms:W3CDTF">2015-06-05T18:17:20Z</dcterms:created>
  <dcterms:modified xsi:type="dcterms:W3CDTF">2025-12-26T07:01:55Z</dcterms:modified>
</cp:coreProperties>
</file>